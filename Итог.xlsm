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Татьяна\Downloads\Excel-файлы\"/>
    </mc:Choice>
  </mc:AlternateContent>
  <xr:revisionPtr revIDLastSave="0" documentId="13_ncr:1_{1338B8D1-8650-4ABA-8132-48B41FEB65F2}" xr6:coauthVersionLast="47" xr6:coauthVersionMax="47" xr10:uidLastSave="{00000000-0000-0000-0000-000000000000}"/>
  <bookViews>
    <workbookView xWindow="-108" yWindow="-108" windowWidth="23256" windowHeight="12576" tabRatio="800" activeTab="4" xr2:uid="{00000000-000D-0000-FFFF-FFFF00000000}"/>
  </bookViews>
  <sheets>
    <sheet name="Сравн.с_физ.Кг_s1" sheetId="5" r:id="rId1"/>
    <sheet name="Сравн.с_физ.Кг_s12" sheetId="14" r:id="rId2"/>
    <sheet name="Сравн.Время" sheetId="7" r:id="rId3"/>
    <sheet name="Сравн.Память" sheetId="15" r:id="rId4"/>
    <sheet name="СредаЯзык" sheetId="9" r:id="rId5"/>
    <sheet name="Итог" sheetId="8" r:id="rId6"/>
  </sheets>
  <functionGroups builtInGroupCount="19"/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4" l="1"/>
  <c r="F5" i="14"/>
  <c r="F6" i="14"/>
  <c r="G6" i="14"/>
  <c r="F7" i="14"/>
  <c r="A4" i="15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4" i="14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BC3" i="8"/>
  <c r="AX3" i="8"/>
  <c r="AS3" i="8"/>
  <c r="AN3" i="8"/>
  <c r="AI3" i="8"/>
  <c r="AD3" i="8"/>
  <c r="Y3" i="8"/>
  <c r="T3" i="8"/>
  <c r="O3" i="8"/>
  <c r="J3" i="8"/>
  <c r="E3" i="8"/>
  <c r="BB4" i="8"/>
  <c r="BB5" i="8"/>
  <c r="BB6" i="8"/>
  <c r="BB3" i="8"/>
  <c r="AV3" i="8"/>
  <c r="AW4" i="8" s="1"/>
  <c r="B3" i="5"/>
  <c r="G5" i="14" l="1"/>
  <c r="G7" i="14"/>
  <c r="G4" i="14"/>
  <c r="BA3" i="8"/>
  <c r="AW6" i="8"/>
  <c r="AW5" i="8"/>
  <c r="AW3" i="8"/>
  <c r="C8" i="14"/>
  <c r="B8" i="14"/>
  <c r="C8" i="5"/>
  <c r="B8" i="5" l="1"/>
  <c r="C8" i="15"/>
  <c r="B8" i="15"/>
  <c r="C3" i="15"/>
  <c r="B3" i="15"/>
  <c r="B8" i="7"/>
  <c r="C3" i="7"/>
  <c r="B3" i="7"/>
  <c r="N4" i="7" a="1"/>
  <c r="S5" i="14" a="1"/>
  <c r="N5" i="15" a="1"/>
  <c r="S6" i="5" a="1"/>
  <c r="S4" i="14" a="1"/>
  <c r="K7" i="15" a="1"/>
  <c r="R5" i="14" a="1"/>
  <c r="R6" i="5" a="1"/>
  <c r="Q7" i="14" a="1"/>
  <c r="N4" i="15" a="1"/>
  <c r="R5" i="5" a="1"/>
  <c r="R6" i="14" a="1"/>
  <c r="N7" i="15" a="1"/>
  <c r="R7" i="5" a="1"/>
  <c r="S5" i="5" a="1"/>
  <c r="Q5" i="14" a="1"/>
  <c r="S4" i="5" a="1"/>
  <c r="R4" i="14" a="1"/>
  <c r="S7" i="5" a="1"/>
  <c r="Q4" i="5" a="1"/>
  <c r="Q6" i="5" a="1"/>
  <c r="Q4" i="14" a="1"/>
  <c r="N5" i="7" a="1"/>
  <c r="S7" i="14" a="1"/>
  <c r="S6" i="14" a="1"/>
  <c r="Q5" i="5" a="1"/>
  <c r="M7" i="7" a="1"/>
  <c r="N6" i="7" a="1"/>
  <c r="R4" i="5" a="1"/>
  <c r="Q7" i="5" a="1"/>
  <c r="N7" i="7" a="1"/>
  <c r="L5" i="15" a="1"/>
  <c r="R7" i="14" a="1"/>
  <c r="M6" i="15" a="1"/>
  <c r="Q6" i="14" a="1"/>
  <c r="K3" i="7" a="1"/>
  <c r="Q8" i="14" a="1"/>
  <c r="K3" i="15" a="1"/>
  <c r="R8" i="14" a="1"/>
  <c r="R8" i="5" a="1"/>
  <c r="Q8" i="5" a="1"/>
  <c r="S8" i="5" a="1"/>
  <c r="S8" i="14" a="1"/>
  <c r="M3" i="7" a="1"/>
  <c r="N3" i="7" a="1"/>
  <c r="N8" i="15" a="1"/>
  <c r="K3" i="7" l="1"/>
  <c r="S8" i="14"/>
  <c r="S6" i="14"/>
  <c r="S7" i="14"/>
  <c r="S5" i="14"/>
  <c r="S4" i="14"/>
  <c r="R8" i="14"/>
  <c r="R6" i="14"/>
  <c r="R7" i="14"/>
  <c r="R5" i="14"/>
  <c r="R4" i="14"/>
  <c r="Q8" i="14"/>
  <c r="Q6" i="14"/>
  <c r="Q5" i="14"/>
  <c r="Q7" i="14"/>
  <c r="Q4" i="14"/>
  <c r="S6" i="5"/>
  <c r="S8" i="5"/>
  <c r="S5" i="5"/>
  <c r="S7" i="5"/>
  <c r="S4" i="5"/>
  <c r="R6" i="5"/>
  <c r="R8" i="5"/>
  <c r="R5" i="5"/>
  <c r="R7" i="5"/>
  <c r="R4" i="5"/>
  <c r="Q7" i="5"/>
  <c r="Q8" i="5"/>
  <c r="Q6" i="5"/>
  <c r="Q5" i="5"/>
  <c r="Q4" i="5"/>
  <c r="N8" i="15"/>
  <c r="N5" i="15"/>
  <c r="N7" i="15"/>
  <c r="N4" i="15"/>
  <c r="M6" i="15"/>
  <c r="L5" i="15"/>
  <c r="K7" i="15"/>
  <c r="K3" i="15"/>
  <c r="N6" i="7"/>
  <c r="N5" i="7"/>
  <c r="N7" i="7"/>
  <c r="N4" i="7"/>
  <c r="N3" i="7"/>
  <c r="M7" i="7"/>
  <c r="M3" i="7"/>
  <c r="L4" i="15" a="1"/>
  <c r="L6" i="7" a="1"/>
  <c r="L6" i="15" a="1"/>
  <c r="M6" i="7" a="1"/>
  <c r="K4" i="7" a="1"/>
  <c r="L7" i="7" a="1"/>
  <c r="M5" i="15" a="1"/>
  <c r="L5" i="7" a="1"/>
  <c r="N6" i="15" a="1"/>
  <c r="K6" i="15" a="1"/>
  <c r="K7" i="7" a="1"/>
  <c r="K5" i="7" a="1"/>
  <c r="K6" i="7" a="1"/>
  <c r="K5" i="15" a="1"/>
  <c r="M4" i="7" a="1"/>
  <c r="M4" i="15" a="1"/>
  <c r="M5" i="7" a="1"/>
  <c r="M7" i="15" a="1"/>
  <c r="L4" i="7" a="1"/>
  <c r="K4" i="15" a="1"/>
  <c r="L7" i="15" a="1"/>
  <c r="K8" i="15" a="1"/>
  <c r="M8" i="15" a="1"/>
  <c r="L3" i="15" a="1"/>
  <c r="L3" i="7" a="1"/>
  <c r="M3" i="15" a="1"/>
  <c r="N3" i="15" a="1"/>
  <c r="L8" i="15" a="1"/>
  <c r="M4" i="7" l="1"/>
  <c r="M8" i="15"/>
  <c r="K8" i="15"/>
  <c r="K4" i="7"/>
  <c r="L5" i="7"/>
  <c r="L8" i="15"/>
  <c r="K5" i="7"/>
  <c r="M5" i="7"/>
  <c r="K5" i="15"/>
  <c r="M5" i="15"/>
  <c r="M7" i="15"/>
  <c r="L3" i="15"/>
  <c r="N3" i="15"/>
  <c r="K6" i="15"/>
  <c r="L3" i="7"/>
  <c r="L6" i="7"/>
  <c r="L4" i="15"/>
  <c r="M4" i="15"/>
  <c r="L4" i="7"/>
  <c r="K4" i="15"/>
  <c r="L7" i="15"/>
  <c r="M6" i="7"/>
  <c r="L6" i="15"/>
  <c r="L7" i="7"/>
  <c r="K6" i="7"/>
  <c r="K7" i="7"/>
  <c r="N6" i="15"/>
  <c r="M3" i="15"/>
  <c r="C3" i="14"/>
  <c r="B3" i="14"/>
  <c r="C3" i="5"/>
  <c r="O8" i="14" l="1"/>
  <c r="N8" i="14"/>
  <c r="K8" i="14"/>
  <c r="J8" i="14"/>
  <c r="G8" i="14"/>
  <c r="F8" i="14"/>
  <c r="O7" i="14"/>
  <c r="N7" i="14"/>
  <c r="K7" i="14"/>
  <c r="J7" i="14"/>
  <c r="O6" i="14"/>
  <c r="N6" i="14"/>
  <c r="K6" i="14"/>
  <c r="J6" i="14"/>
  <c r="O5" i="14"/>
  <c r="N5" i="14"/>
  <c r="K5" i="14"/>
  <c r="J5" i="14"/>
  <c r="O4" i="14"/>
  <c r="N4" i="14"/>
  <c r="K4" i="14"/>
  <c r="J4" i="14"/>
  <c r="O3" i="14"/>
  <c r="N3" i="14"/>
  <c r="K3" i="14"/>
  <c r="J3" i="14"/>
  <c r="G3" i="14"/>
  <c r="F3" i="14"/>
  <c r="C6" i="9"/>
  <c r="C5" i="9"/>
  <c r="C4" i="9"/>
  <c r="C3" i="9"/>
  <c r="S3" i="14" a="1"/>
  <c r="R3" i="5" a="1"/>
  <c r="S3" i="5" a="1"/>
  <c r="Q3" i="14" a="1"/>
  <c r="R3" i="14" a="1"/>
  <c r="Q3" i="5" a="1"/>
  <c r="Q3" i="14" l="1"/>
  <c r="S3" i="14"/>
  <c r="R3" i="5"/>
  <c r="S3" i="5"/>
  <c r="R3" i="14"/>
  <c r="Q3" i="5"/>
  <c r="X3" i="5"/>
  <c r="AK4" i="8"/>
  <c r="AK5" i="8"/>
  <c r="AK6" i="8"/>
  <c r="AK3" i="8"/>
  <c r="L3" i="8"/>
  <c r="L4" i="8"/>
  <c r="L5" i="8"/>
  <c r="L6" i="8"/>
  <c r="AG3" i="8"/>
  <c r="AH6" i="8" s="1"/>
  <c r="AB3" i="8"/>
  <c r="AC3" i="8" s="1"/>
  <c r="W3" i="8"/>
  <c r="X4" i="8" s="1"/>
  <c r="R3" i="8"/>
  <c r="S5" i="8" s="1"/>
  <c r="J3" i="5"/>
  <c r="N3" i="5"/>
  <c r="F3" i="5"/>
  <c r="O4" i="5"/>
  <c r="O5" i="5"/>
  <c r="O6" i="5"/>
  <c r="O7" i="5"/>
  <c r="O8" i="5"/>
  <c r="N4" i="5"/>
  <c r="N5" i="5"/>
  <c r="N6" i="5"/>
  <c r="N7" i="5"/>
  <c r="N8" i="5"/>
  <c r="K4" i="5"/>
  <c r="K5" i="5"/>
  <c r="K6" i="5"/>
  <c r="K7" i="5"/>
  <c r="K8" i="5"/>
  <c r="J4" i="5"/>
  <c r="J5" i="5"/>
  <c r="J6" i="5"/>
  <c r="J7" i="5"/>
  <c r="J8" i="5"/>
  <c r="G4" i="5"/>
  <c r="G5" i="5"/>
  <c r="G6" i="5"/>
  <c r="G7" i="5"/>
  <c r="G8" i="5"/>
  <c r="F4" i="5"/>
  <c r="F5" i="5"/>
  <c r="F6" i="5"/>
  <c r="F7" i="5"/>
  <c r="F8" i="5"/>
  <c r="G3" i="5"/>
  <c r="O3" i="5"/>
  <c r="K3" i="5"/>
  <c r="U3" i="14" l="1"/>
  <c r="V3" i="5"/>
  <c r="S3" i="15"/>
  <c r="AP6" i="8" s="1"/>
  <c r="W3" i="5"/>
  <c r="X3" i="14"/>
  <c r="B6" i="8" s="1"/>
  <c r="P3" i="15"/>
  <c r="AP3" i="8" s="1"/>
  <c r="W3" i="14"/>
  <c r="V3" i="14"/>
  <c r="R3" i="15"/>
  <c r="AP5" i="8" s="1"/>
  <c r="Q3" i="15"/>
  <c r="AP4" i="8" s="1"/>
  <c r="S4" i="8"/>
  <c r="S3" i="8"/>
  <c r="S6" i="8"/>
  <c r="M3" i="8"/>
  <c r="N4" i="8" s="1"/>
  <c r="AL3" i="8"/>
  <c r="AM5" i="8" s="1"/>
  <c r="N6" i="8"/>
  <c r="X3" i="8"/>
  <c r="AH5" i="8"/>
  <c r="X6" i="8"/>
  <c r="AH4" i="8"/>
  <c r="AC6" i="8"/>
  <c r="AC5" i="8"/>
  <c r="AC4" i="8"/>
  <c r="AH3" i="8"/>
  <c r="X5" i="8"/>
  <c r="U3" i="5"/>
  <c r="N5" i="8" l="1"/>
  <c r="B4" i="8"/>
  <c r="B5" i="8"/>
  <c r="B3" i="8"/>
  <c r="AQ3" i="8"/>
  <c r="AR5" i="8" s="1"/>
  <c r="N3" i="8"/>
  <c r="AM4" i="8"/>
  <c r="AM6" i="8"/>
  <c r="AM3" i="8"/>
  <c r="C3" i="8" l="1"/>
  <c r="D4" i="8" s="1"/>
  <c r="AR4" i="8"/>
  <c r="AR6" i="8"/>
  <c r="AR3" i="8"/>
  <c r="D6" i="8" l="1"/>
  <c r="D5" i="8"/>
  <c r="D3" i="8"/>
  <c r="C8" i="7" l="1"/>
  <c r="N8" i="7" a="1"/>
  <c r="K8" i="7" a="1"/>
  <c r="L8" i="7" a="1"/>
  <c r="M8" i="7" a="1"/>
  <c r="M8" i="7" l="1"/>
  <c r="R3" i="7" s="1"/>
  <c r="G5" i="8" s="1"/>
  <c r="L8" i="7"/>
  <c r="Q3" i="7" s="1"/>
  <c r="G4" i="8" s="1"/>
  <c r="K8" i="7"/>
  <c r="P3" i="7" s="1"/>
  <c r="G3" i="8" s="1"/>
  <c r="N8" i="7"/>
  <c r="S3" i="7" s="1"/>
  <c r="G6" i="8" s="1"/>
  <c r="H3" i="8" l="1"/>
  <c r="I4" i="8" s="1"/>
  <c r="BH4" i="8" s="1"/>
  <c r="I5" i="8" l="1"/>
  <c r="BH5" i="8" s="1"/>
  <c r="I3" i="8"/>
  <c r="BH3" i="8" s="1"/>
  <c r="I6" i="8"/>
  <c r="BH6" i="8" s="1"/>
  <c r="BI5" i="8" a="1"/>
  <c r="BI6" i="8" a="1"/>
  <c r="BI4" i="8" a="1"/>
  <c r="BI3" i="8" a="1"/>
  <c r="BI6" i="8" l="1"/>
  <c r="BI3" i="8"/>
  <c r="BI4" i="8"/>
  <c r="BI5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<sst xmlns="http://schemas.openxmlformats.org/spreadsheetml/2006/main" count="189" uniqueCount="52">
  <si>
    <t>z_ср [доли]</t>
  </si>
  <si>
    <t>Δz [доли]</t>
  </si>
  <si>
    <t>Физ.</t>
  </si>
  <si>
    <t>Сети Петри</t>
  </si>
  <si>
    <t>Марков</t>
  </si>
  <si>
    <t>Монте-Карло</t>
  </si>
  <si>
    <t>Абс.погр. [доли]</t>
  </si>
  <si>
    <t>Относ.погр. [%]</t>
  </si>
  <si>
    <t>t_ср [с]</t>
  </si>
  <si>
    <t>Δt [с]</t>
  </si>
  <si>
    <t>Δt[с]</t>
  </si>
  <si>
    <t>ΣМарков</t>
  </si>
  <si>
    <t>ΣСети Петри</t>
  </si>
  <si>
    <t>ΣМонте-Карло</t>
  </si>
  <si>
    <t>ΣФиз.</t>
  </si>
  <si>
    <t>Метод идеальной точки (но для одного критерия)</t>
  </si>
  <si>
    <t>https://www.softwareadvice.com/simulation/anylogic-profile/vs/matlab/</t>
  </si>
  <si>
    <t>А1 - Физ.</t>
  </si>
  <si>
    <t>А2 - Марков</t>
  </si>
  <si>
    <t>А3 - Сети Петри</t>
  </si>
  <si>
    <t>А4 - Монте-Карло</t>
  </si>
  <si>
    <t>Ki</t>
  </si>
  <si>
    <t>Ri</t>
  </si>
  <si>
    <t>k1 - Баллы точности с физ. (max)</t>
  </si>
  <si>
    <t>k2 - Баллы времени исполнения (max)</t>
  </si>
  <si>
    <t>k3 - Рейтинг среды моделирования (max)</t>
  </si>
  <si>
    <t>k4 - Наличие нац. cтандарта (max)</t>
  </si>
  <si>
    <t>Оценка</t>
  </si>
  <si>
    <t>Макс</t>
  </si>
  <si>
    <t>Норм_оценка</t>
  </si>
  <si>
    <t>Вес</t>
  </si>
  <si>
    <t>Степень</t>
  </si>
  <si>
    <t>k5 - Изображение топологии сети (max)</t>
  </si>
  <si>
    <t>k6 - Число входных параметров (min)</t>
  </si>
  <si>
    <t>k7 - Наличие связи с другим видом (min)</t>
  </si>
  <si>
    <t>Мин</t>
  </si>
  <si>
    <t>k8 - Место языка программирования (min)</t>
  </si>
  <si>
    <t>Среда моделирования</t>
  </si>
  <si>
    <t>Название</t>
  </si>
  <si>
    <t>AnyLogic</t>
  </si>
  <si>
    <t>MatLab</t>
  </si>
  <si>
    <t>Язык программирования</t>
  </si>
  <si>
    <t>Java</t>
  </si>
  <si>
    <t>Место</t>
  </si>
  <si>
    <t>https://www.tiobe.com/tiobe-index/</t>
  </si>
  <si>
    <t>k9 - Баллы используемой памяти (max)</t>
  </si>
  <si>
    <t>m_ср [МБ]</t>
  </si>
  <si>
    <t>Δm [МБ]</t>
  </si>
  <si>
    <t>Серия экспериментов\статистика</t>
  </si>
  <si>
    <t>Альтернативы\критерии</t>
  </si>
  <si>
    <t>k10 -Критичность использования специализированного ПО (min)</t>
  </si>
  <si>
    <t>k11 -Критичность использования cуперкомпьютера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</si>
</sst>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BBFF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4">
    <xf numFmtId="0" fontId="0" fillId="0" borderId="0" xfId="0"/>
    <xf numFmtId="164" fontId="0" fillId="3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1" fillId="2" borderId="3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164" fontId="1" fillId="3" borderId="4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4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1" fillId="5" borderId="1" xfId="0" applyNumberFormat="1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164" fontId="1" fillId="5" borderId="4" xfId="0" applyNumberFormat="1" applyFont="1" applyFill="1" applyBorder="1" applyAlignment="1">
      <alignment horizontal="center"/>
    </xf>
    <xf numFmtId="164" fontId="1" fillId="5" borderId="3" xfId="0" applyNumberFormat="1" applyFon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1" fillId="3" borderId="5" xfId="0" applyNumberFormat="1" applyFont="1" applyFill="1" applyBorder="1" applyAlignment="1">
      <alignment horizontal="center"/>
    </xf>
    <xf numFmtId="164" fontId="1" fillId="4" borderId="5" xfId="0" applyNumberFormat="1" applyFont="1" applyFill="1" applyBorder="1" applyAlignment="1">
      <alignment horizontal="center"/>
    </xf>
    <xf numFmtId="164" fontId="1" fillId="5" borderId="5" xfId="0" applyNumberFormat="1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" fontId="1" fillId="0" borderId="5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1" fontId="1" fillId="4" borderId="5" xfId="0" applyNumberFormat="1" applyFont="1" applyFill="1" applyBorder="1" applyAlignment="1">
      <alignment horizontal="center"/>
    </xf>
    <xf numFmtId="1" fontId="1" fillId="3" borderId="5" xfId="0" applyNumberFormat="1" applyFont="1" applyFill="1" applyBorder="1" applyAlignment="1">
      <alignment horizontal="center"/>
    </xf>
    <xf numFmtId="1" fontId="1" fillId="5" borderId="5" xfId="0" applyNumberFormat="1" applyFon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5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64" fontId="1" fillId="0" borderId="1" xfId="0" applyNumberFormat="1" applyFont="1" applyBorder="1" applyAlignment="1">
      <alignment horizontal="left"/>
    </xf>
    <xf numFmtId="164" fontId="1" fillId="2" borderId="2" xfId="0" applyNumberFormat="1" applyFont="1" applyFill="1" applyBorder="1" applyAlignment="1">
      <alignment horizontal="left"/>
    </xf>
    <xf numFmtId="164" fontId="1" fillId="2" borderId="4" xfId="0" applyNumberFormat="1" applyFont="1" applyFill="1" applyBorder="1" applyAlignment="1">
      <alignment horizontal="left"/>
    </xf>
    <xf numFmtId="164" fontId="1" fillId="2" borderId="3" xfId="0" applyNumberFormat="1" applyFont="1" applyFill="1" applyBorder="1" applyAlignment="1">
      <alignment horizontal="left"/>
    </xf>
    <xf numFmtId="164" fontId="1" fillId="3" borderId="2" xfId="0" applyNumberFormat="1" applyFont="1" applyFill="1" applyBorder="1" applyAlignment="1">
      <alignment horizontal="left"/>
    </xf>
    <xf numFmtId="164" fontId="1" fillId="3" borderId="4" xfId="0" applyNumberFormat="1" applyFont="1" applyFill="1" applyBorder="1" applyAlignment="1">
      <alignment horizontal="left"/>
    </xf>
    <xf numFmtId="164" fontId="1" fillId="3" borderId="3" xfId="0" applyNumberFormat="1" applyFont="1" applyFill="1" applyBorder="1" applyAlignment="1">
      <alignment horizontal="left"/>
    </xf>
    <xf numFmtId="164" fontId="1" fillId="4" borderId="2" xfId="0" applyNumberFormat="1" applyFont="1" applyFill="1" applyBorder="1" applyAlignment="1">
      <alignment horizontal="left"/>
    </xf>
    <xf numFmtId="164" fontId="1" fillId="4" borderId="4" xfId="0" applyNumberFormat="1" applyFont="1" applyFill="1" applyBorder="1" applyAlignment="1">
      <alignment horizontal="left"/>
    </xf>
    <xf numFmtId="164" fontId="1" fillId="4" borderId="3" xfId="0" applyNumberFormat="1" applyFont="1" applyFill="1" applyBorder="1" applyAlignment="1">
      <alignment horizontal="left"/>
    </xf>
    <xf numFmtId="1" fontId="1" fillId="4" borderId="2" xfId="0" applyNumberFormat="1" applyFont="1" applyFill="1" applyBorder="1" applyAlignment="1">
      <alignment horizontal="left"/>
    </xf>
    <xf numFmtId="1" fontId="1" fillId="4" borderId="4" xfId="0" applyNumberFormat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left"/>
    </xf>
    <xf numFmtId="1" fontId="1" fillId="3" borderId="4" xfId="0" applyNumberFormat="1" applyFont="1" applyFill="1" applyBorder="1" applyAlignment="1">
      <alignment horizontal="left"/>
    </xf>
    <xf numFmtId="164" fontId="1" fillId="5" borderId="1" xfId="0" applyNumberFormat="1" applyFont="1" applyFill="1" applyBorder="1" applyAlignment="1">
      <alignment horizontal="left"/>
    </xf>
    <xf numFmtId="1" fontId="1" fillId="5" borderId="1" xfId="0" applyNumberFormat="1" applyFont="1" applyFill="1" applyBorder="1" applyAlignment="1">
      <alignment horizontal="left"/>
    </xf>
    <xf numFmtId="0" fontId="1" fillId="0" borderId="13" xfId="0" applyFont="1" applyBorder="1" applyAlignment="1">
      <alignment horizontal="center"/>
    </xf>
    <xf numFmtId="164" fontId="1" fillId="2" borderId="4" xfId="0" applyNumberFormat="1" applyFont="1" applyFill="1" applyBorder="1" applyAlignment="1">
      <alignment horizontal="center"/>
    </xf>
    <xf numFmtId="164" fontId="1" fillId="2" borderId="9" xfId="0" applyNumberFormat="1" applyFon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1" fillId="6" borderId="10" xfId="0" applyNumberFormat="1" applyFont="1" applyFill="1" applyBorder="1" applyAlignment="1">
      <alignment horizontal="center"/>
    </xf>
    <xf numFmtId="164" fontId="1" fillId="6" borderId="4" xfId="0" applyNumberFormat="1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164" fontId="1" fillId="6" borderId="8" xfId="0" applyNumberFormat="1" applyFont="1" applyFill="1" applyBorder="1" applyAlignment="1">
      <alignment horizontal="center"/>
    </xf>
    <xf numFmtId="164" fontId="1" fillId="6" borderId="5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164" fontId="1" fillId="6" borderId="6" xfId="0" applyNumberFormat="1" applyFon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64" fontId="1" fillId="6" borderId="1" xfId="0" applyNumberFormat="1" applyFon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0" borderId="1" xfId="1" applyBorder="1" applyAlignment="1">
      <alignment horizontal="center"/>
    </xf>
    <xf numFmtId="164" fontId="0" fillId="2" borderId="3" xfId="0" applyNumberFormat="1" applyFill="1" applyBorder="1" applyAlignment="1">
      <alignment horizontal="left"/>
    </xf>
    <xf numFmtId="164" fontId="1" fillId="0" borderId="15" xfId="0" applyNumberFormat="1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2" fillId="0" borderId="13" xfId="1" applyNumberFormat="1" applyBorder="1" applyAlignment="1">
      <alignment horizontal="center"/>
    </xf>
    <xf numFmtId="164" fontId="1" fillId="0" borderId="14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1" fillId="7" borderId="12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 wrapText="1"/>
    </xf>
    <xf numFmtId="0" fontId="1" fillId="6" borderId="15" xfId="0" applyFont="1" applyFill="1" applyBorder="1" applyAlignment="1">
      <alignment horizont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DBBFF3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1058;&#1072;&#1090;&#1100;&#1103;&#1085;&#1072;\Downloads\Excel-&#1092;&#1072;&#1081;&#1083;&#1099;\&#1060;&#1080;&#1079;.xlsx" TargetMode="External"/><Relationship Id="rId1" Type="http://schemas.openxmlformats.org/officeDocument/2006/relationships/externalLinkPath" Target="&#1060;&#1080;&#107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0_1"/>
      <sheetName val="T0_12"/>
      <sheetName val="Tв_23"/>
      <sheetName val="Tв_3"/>
      <sheetName val="l_12"/>
      <sheetName val="l_13"/>
      <sheetName val="l_23"/>
      <sheetName val="m_21"/>
      <sheetName val="m_31"/>
      <sheetName val="m_32"/>
      <sheetName val="Время"/>
      <sheetName val="Память"/>
      <sheetName val="Кг_s1"/>
      <sheetName val="Кг_s12"/>
      <sheetName val="До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G3">
            <v>155.23766666666668</v>
          </cell>
          <cell r="S3">
            <v>9.3975495196590479</v>
          </cell>
        </row>
        <row r="8">
          <cell r="G8">
            <v>146.49466666666669</v>
          </cell>
          <cell r="S8">
            <v>7.0440424038883762</v>
          </cell>
        </row>
      </sheetData>
      <sheetData sheetId="11">
        <row r="3">
          <cell r="G3">
            <v>1244</v>
          </cell>
          <cell r="S3">
            <v>24.826061575153908</v>
          </cell>
        </row>
        <row r="8">
          <cell r="G8">
            <v>1246</v>
          </cell>
          <cell r="S8">
            <v>31.106965993702012</v>
          </cell>
        </row>
      </sheetData>
      <sheetData sheetId="12">
        <row r="2">
          <cell r="D2">
            <v>1</v>
          </cell>
          <cell r="I2">
            <v>0</v>
          </cell>
        </row>
        <row r="7">
          <cell r="D7">
            <v>1</v>
          </cell>
          <cell r="I7">
            <v>0</v>
          </cell>
        </row>
      </sheetData>
      <sheetData sheetId="13">
        <row r="2">
          <cell r="D2">
            <v>1</v>
          </cell>
          <cell r="I2">
            <v>0</v>
          </cell>
        </row>
        <row r="7">
          <cell r="D7">
            <v>1</v>
          </cell>
          <cell r="I7">
            <v>0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tiobe.com/tiobe-index/" TargetMode="External"/><Relationship Id="rId1" Type="http://schemas.openxmlformats.org/officeDocument/2006/relationships/hyperlink" Target="https://www.softwareadvice.com/simulation/anylogic-profile/vs/matlab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1914-F13D-43DB-B845-891AB6D1503B}">
  <sheetPr codeName="Лист10"/>
  <dimension ref="A1:X162"/>
  <sheetViews>
    <sheetView workbookViewId="0">
      <pane xSplit="1" topLeftCell="B1" activePane="topRight" state="frozen"/>
      <selection pane="topRight" activeCell="L4" activeCellId="3" sqref="B4:C7 D4:E7 H4:I7 L4:M7"/>
    </sheetView>
  </sheetViews>
  <sheetFormatPr defaultRowHeight="14.4" x14ac:dyDescent="0.3"/>
  <cols>
    <col min="1" max="1" width="33.21875" style="99" customWidth="1"/>
    <col min="2" max="2" width="13.77734375" style="71" customWidth="1"/>
    <col min="3" max="3" width="12.6640625" style="5" customWidth="1"/>
    <col min="4" max="4" width="14.44140625" style="1" customWidth="1"/>
    <col min="5" max="5" width="13.109375" style="1" customWidth="1"/>
    <col min="6" max="6" width="15.44140625" style="1" customWidth="1"/>
    <col min="7" max="7" width="28.88671875" style="1" customWidth="1"/>
    <col min="8" max="8" width="13.5546875" style="14" customWidth="1"/>
    <col min="9" max="9" width="11.44140625" style="14" customWidth="1"/>
    <col min="10" max="11" width="18" style="14" customWidth="1"/>
    <col min="12" max="12" width="15" style="19" customWidth="1"/>
    <col min="13" max="13" width="11.21875" style="19" customWidth="1"/>
    <col min="14" max="14" width="18.44140625" style="19" customWidth="1"/>
    <col min="15" max="15" width="17.44140625" style="19" customWidth="1"/>
    <col min="16" max="17" width="8.88671875" style="4"/>
    <col min="18" max="18" width="12" style="4" customWidth="1"/>
    <col min="19" max="19" width="13.21875" style="4" customWidth="1"/>
    <col min="20" max="20" width="8.88671875" style="4"/>
    <col min="21" max="21" width="15.77734375" style="4" customWidth="1"/>
    <col min="22" max="22" width="11.5546875" style="4" customWidth="1"/>
    <col min="23" max="23" width="15.109375" style="4" customWidth="1"/>
    <col min="24" max="24" width="14.21875" style="4" customWidth="1"/>
    <col min="25" max="16384" width="8.88671875" style="4"/>
  </cols>
  <sheetData>
    <row r="1" spans="1:24" s="2" customFormat="1" x14ac:dyDescent="0.3">
      <c r="A1" s="102" t="s">
        <v>48</v>
      </c>
      <c r="B1" s="68" t="s">
        <v>2</v>
      </c>
      <c r="C1" s="7"/>
      <c r="D1" s="9" t="s">
        <v>4</v>
      </c>
      <c r="E1" s="10"/>
      <c r="F1" s="10"/>
      <c r="G1" s="8"/>
      <c r="H1" s="11" t="s">
        <v>3</v>
      </c>
      <c r="I1" s="12"/>
      <c r="J1" s="12"/>
      <c r="K1" s="13"/>
      <c r="L1" s="15" t="s">
        <v>5</v>
      </c>
      <c r="M1" s="16"/>
      <c r="N1" s="17"/>
      <c r="O1" s="18"/>
      <c r="Q1" s="2" t="s">
        <v>4</v>
      </c>
      <c r="R1" s="2" t="s">
        <v>3</v>
      </c>
      <c r="S1" s="2" t="s">
        <v>5</v>
      </c>
      <c r="U1" s="2" t="s">
        <v>14</v>
      </c>
      <c r="V1" s="2" t="s">
        <v>11</v>
      </c>
      <c r="W1" s="2" t="s">
        <v>12</v>
      </c>
      <c r="X1" s="2" t="s">
        <v>13</v>
      </c>
    </row>
    <row r="2" spans="1:24" s="25" customFormat="1" ht="15" thickBot="1" x14ac:dyDescent="0.35">
      <c r="A2" s="103"/>
      <c r="B2" s="69" t="s">
        <v>0</v>
      </c>
      <c r="C2" s="26" t="s">
        <v>1</v>
      </c>
      <c r="D2" s="27" t="s">
        <v>0</v>
      </c>
      <c r="E2" s="27" t="s">
        <v>1</v>
      </c>
      <c r="F2" s="27" t="s">
        <v>6</v>
      </c>
      <c r="G2" s="27" t="s">
        <v>7</v>
      </c>
      <c r="H2" s="28" t="s">
        <v>0</v>
      </c>
      <c r="I2" s="28" t="s">
        <v>1</v>
      </c>
      <c r="J2" s="28" t="s">
        <v>6</v>
      </c>
      <c r="K2" s="28" t="s">
        <v>7</v>
      </c>
      <c r="L2" s="29" t="s">
        <v>0</v>
      </c>
      <c r="M2" s="29" t="s">
        <v>1</v>
      </c>
      <c r="N2" s="29" t="s">
        <v>6</v>
      </c>
      <c r="O2" s="29" t="s">
        <v>7</v>
      </c>
    </row>
    <row r="3" spans="1:24" s="20" customFormat="1" x14ac:dyDescent="0.3">
      <c r="A3" s="98">
        <v>1</v>
      </c>
      <c r="B3" s="70">
        <f>[1]Кг_s1!D2</f>
        <v>1</v>
      </c>
      <c r="C3" s="21">
        <f>[1]Кг_s1!I2</f>
        <v>0</v>
      </c>
      <c r="D3" s="22">
        <v>0.6</v>
      </c>
      <c r="E3" s="22">
        <v>2E-3</v>
      </c>
      <c r="F3" s="22" t="str">
        <f>ROUNDUP(ABS(B3-D3),3) &amp; " ± " &amp; ROUNDUP(ABS(C3-E3),3)</f>
        <v>0,4 ± 0,002</v>
      </c>
      <c r="G3" s="22" t="str">
        <f>ROUNDUP(ABS(B3-D3)/B3*100,3) &amp; " ± " &amp; ROUNDUP(ABS(C3-E3)/B3*100,3)</f>
        <v>40 ± 0,2</v>
      </c>
      <c r="H3" s="23">
        <v>0.5</v>
      </c>
      <c r="I3" s="23">
        <v>0.01</v>
      </c>
      <c r="J3" s="23" t="str">
        <f>ROUNDUP(ABS(B3-H3),3) &amp; " ± " &amp; ROUNDUP(ABS(C3-I3),3)</f>
        <v>0,5 ± 0,01</v>
      </c>
      <c r="K3" s="23" t="str">
        <f>ROUNDUP(ABS(B3-H3)/B3*100,3) &amp; " ± " &amp; ROUNDUP(ABS(C3-I3)/B3*100,3)</f>
        <v>50 ± 1</v>
      </c>
      <c r="L3" s="24">
        <v>0.95</v>
      </c>
      <c r="M3" s="24">
        <v>2E-3</v>
      </c>
      <c r="N3" s="24" t="str">
        <f>ROUNDUP(ABS(B3-L3),3) &amp; " ± " &amp; ROUNDUP(ABS(C3-M3),3)</f>
        <v>0,05 ± 0,002</v>
      </c>
      <c r="O3" s="24" t="str">
        <f>ROUNDUP(ABS(B3-L3)/B3*100,3) &amp; " ± " &amp; ROUNDUP(ABS(C3-M3)/B3*100,3)</f>
        <v>5 ± 0,2</v>
      </c>
      <c r="Q3" s="20" cm="1">
        <f t="array" ref="Q3">PointMin3(ABS(B3-D3)+ABS(C3-E3),ABS(B3-H3)+ABS(C3-I3),ABS(B3-L3)+ABS(C3-M3),ABS(B3-D3)+ABS(C3-E3))</f>
        <v>2</v>
      </c>
      <c r="R3" s="20" cm="1">
        <f t="array" ref="R3">PointMin3(ABS(B3-D3)+ABS(C3-E3),ABS(B3-H3)+ABS(C3-I3),ABS(B3-L3)+ABS(C3-M3),ABS(B3-H3)+ABS(C3-I3))</f>
        <v>1</v>
      </c>
      <c r="S3" s="20" cm="1">
        <f t="array" ref="S3">PointMin3(ABS(B3-D3)+ABS(C3-E3),ABS(B3-H3)+ABS(C3-I3),ABS(B3-L3)+ABS(C3-M3),ABS(B3-L3)+ABS(C3-M3))</f>
        <v>3</v>
      </c>
      <c r="U3" s="20">
        <f>SUM(Q:S)</f>
        <v>21</v>
      </c>
      <c r="V3" s="20">
        <f>SUM(Q:Q)</f>
        <v>7</v>
      </c>
      <c r="W3" s="20">
        <f>SUM(R:R)</f>
        <v>6</v>
      </c>
      <c r="X3" s="20">
        <f>SUM(S:S)</f>
        <v>8</v>
      </c>
    </row>
    <row r="4" spans="1:24" x14ac:dyDescent="0.3">
      <c r="A4" s="99">
        <f>A3+1</f>
        <v>2</v>
      </c>
      <c r="B4" s="70">
        <v>-1</v>
      </c>
      <c r="C4" s="21">
        <v>-1</v>
      </c>
      <c r="D4" s="1">
        <v>-1</v>
      </c>
      <c r="E4" s="1">
        <v>-1</v>
      </c>
      <c r="F4" s="22" t="str">
        <f t="shared" ref="F4:F8" si="0">ROUNDUP(ABS(B4-D4),3) &amp; " ± " &amp; ROUNDUP(ABS(C4-E4),3)</f>
        <v>0 ± 0</v>
      </c>
      <c r="G4" s="22" t="str">
        <f t="shared" ref="G4:G8" si="1">ROUNDUP(ABS(B4-D4)/B4*100,3) &amp; " ± " &amp; ROUNDUP(ABS(C4-E4)/B4*100,3)</f>
        <v>0 ± 0</v>
      </c>
      <c r="H4" s="14">
        <v>-1</v>
      </c>
      <c r="I4" s="14">
        <v>-1</v>
      </c>
      <c r="J4" s="23" t="str">
        <f t="shared" ref="J4:J8" si="2">ROUNDUP(ABS(B4-H4),3) &amp; " ± " &amp; ROUNDUP(ABS(C4-I4),3)</f>
        <v>0 ± 0</v>
      </c>
      <c r="K4" s="23" t="str">
        <f t="shared" ref="K4:K8" si="3">ROUNDUP(ABS(B4-H4)/B4*100,3) &amp; " ± " &amp; ROUNDUP(ABS(C4-I4)/B4*100,3)</f>
        <v>0 ± 0</v>
      </c>
      <c r="L4" s="19">
        <v>-1</v>
      </c>
      <c r="M4" s="19">
        <v>-1</v>
      </c>
      <c r="N4" s="24" t="str">
        <f>ROUNDUP(ABS(B4-L4),3) &amp; " ± " &amp; ROUNDUP(ABS(C4-M4),3)</f>
        <v>0 ± 0</v>
      </c>
      <c r="O4" s="24" t="str">
        <f>ROUNDUP(ABS(B4-L4)/B4*100,3) &amp; " ± " &amp; ROUNDUP(ABS(C4-M4)/B4*100,3)</f>
        <v>0 ± 0</v>
      </c>
      <c r="Q4" s="20" cm="1">
        <f t="array" ref="Q4">PointMin3(ABS(B4-D4)+ABS(C4-E4),ABS(B4-H4)+ABS(C4-I4),ABS(B4-L4)+ABS(C4-M4),ABS(B4-D4)+ABS(C4-E4))</f>
        <v>1</v>
      </c>
      <c r="R4" s="20" cm="1">
        <f t="array" ref="R4">PointMin3(ABS(B4-D4)+ABS(C4-E4),ABS(B4-H4)+ABS(C4-I4),ABS(B4-L4)+ABS(C4-M4),ABS(B4-H4)+ABS(C4-I4))</f>
        <v>1</v>
      </c>
      <c r="S4" s="20" cm="1">
        <f t="array" ref="S4">PointMin3(ABS(B4-D4)+ABS(C4-E4),ABS(B4-H4)+ABS(C4-I4),ABS(B4-L4)+ABS(C4-M4),ABS(B4-L4)+ABS(C4-M4))</f>
        <v>1</v>
      </c>
    </row>
    <row r="5" spans="1:24" x14ac:dyDescent="0.3">
      <c r="A5" s="99">
        <f t="shared" ref="A5:A68" si="4">A4+1</f>
        <v>3</v>
      </c>
      <c r="B5" s="70">
        <v>-1</v>
      </c>
      <c r="C5" s="21">
        <v>-1</v>
      </c>
      <c r="D5" s="1">
        <v>-1</v>
      </c>
      <c r="E5" s="1">
        <v>-1</v>
      </c>
      <c r="F5" s="22" t="str">
        <f t="shared" si="0"/>
        <v>0 ± 0</v>
      </c>
      <c r="G5" s="22" t="str">
        <f t="shared" si="1"/>
        <v>0 ± 0</v>
      </c>
      <c r="H5" s="14">
        <v>-1</v>
      </c>
      <c r="I5" s="14">
        <v>-1</v>
      </c>
      <c r="J5" s="23" t="str">
        <f t="shared" si="2"/>
        <v>0 ± 0</v>
      </c>
      <c r="K5" s="23" t="str">
        <f t="shared" si="3"/>
        <v>0 ± 0</v>
      </c>
      <c r="L5" s="19">
        <v>-1</v>
      </c>
      <c r="M5" s="19">
        <v>-1</v>
      </c>
      <c r="N5" s="24" t="str">
        <f t="shared" ref="N5:N8" si="5">ROUNDUP(ABS(B5-L5),3) &amp; " ± " &amp; ROUNDUP(ABS(C5-M5),3)</f>
        <v>0 ± 0</v>
      </c>
      <c r="O5" s="24" t="str">
        <f t="shared" ref="O5:O8" si="6">ROUNDUP(ABS(B5-L5)/B5*100,3) &amp; " ± " &amp; ROUNDUP(ABS(C5-M5)/B5*100,3)</f>
        <v>0 ± 0</v>
      </c>
      <c r="Q5" s="20" cm="1">
        <f t="array" ref="Q5">PointMin3(ABS(B5-D5)+ABS(C5-E5),ABS(B5-H5)+ABS(C5-I5),ABS(B5-L5)+ABS(C5-M5),ABS(B5-D5)+ABS(C5-E5))</f>
        <v>1</v>
      </c>
      <c r="R5" s="20" cm="1">
        <f t="array" ref="R5">PointMin3(ABS(B5-D5)+ABS(C5-E5),ABS(B5-H5)+ABS(C5-I5),ABS(B5-L5)+ABS(C5-M5),ABS(B5-H5)+ABS(C5-I5))</f>
        <v>1</v>
      </c>
      <c r="S5" s="20" cm="1">
        <f t="array" ref="S5">PointMin3(ABS(B5-D5)+ABS(C5-E5),ABS(B5-H5)+ABS(C5-I5),ABS(B5-L5)+ABS(C5-M5),ABS(B5-L5)+ABS(C5-M5))</f>
        <v>1</v>
      </c>
    </row>
    <row r="6" spans="1:24" x14ac:dyDescent="0.3">
      <c r="A6" s="99">
        <f t="shared" si="4"/>
        <v>4</v>
      </c>
      <c r="B6" s="70">
        <v>-1</v>
      </c>
      <c r="C6" s="21">
        <v>-1</v>
      </c>
      <c r="D6" s="1">
        <v>-1</v>
      </c>
      <c r="E6" s="1">
        <v>-1</v>
      </c>
      <c r="F6" s="22" t="str">
        <f t="shared" si="0"/>
        <v>0 ± 0</v>
      </c>
      <c r="G6" s="22" t="str">
        <f t="shared" si="1"/>
        <v>0 ± 0</v>
      </c>
      <c r="H6" s="14">
        <v>-1</v>
      </c>
      <c r="I6" s="14">
        <v>-1</v>
      </c>
      <c r="J6" s="23" t="str">
        <f t="shared" si="2"/>
        <v>0 ± 0</v>
      </c>
      <c r="K6" s="23" t="str">
        <f t="shared" si="3"/>
        <v>0 ± 0</v>
      </c>
      <c r="L6" s="19">
        <v>-1</v>
      </c>
      <c r="M6" s="19">
        <v>-1</v>
      </c>
      <c r="N6" s="24" t="str">
        <f t="shared" si="5"/>
        <v>0 ± 0</v>
      </c>
      <c r="O6" s="24" t="str">
        <f t="shared" si="6"/>
        <v>0 ± 0</v>
      </c>
      <c r="Q6" s="20" cm="1">
        <f t="array" ref="Q6">PointMin3(ABS(B6-D6)+ABS(C6-E6),ABS(B6-H6)+ABS(C6-I6),ABS(B6-L6)+ABS(C6-M6),ABS(B6-D6)+ABS(C6-E6))</f>
        <v>1</v>
      </c>
      <c r="R6" s="20" cm="1">
        <f t="array" ref="R6">PointMin3(ABS(B6-D6)+ABS(C6-E6),ABS(B6-H6)+ABS(C6-I6),ABS(B6-L6)+ABS(C6-M6),ABS(B6-H6)+ABS(C6-I6))</f>
        <v>1</v>
      </c>
      <c r="S6" s="20" cm="1">
        <f t="array" ref="S6">PointMin3(ABS(B6-D6)+ABS(C6-E6),ABS(B6-H6)+ABS(C6-I6),ABS(B6-L6)+ABS(C6-M6),ABS(B6-L6)+ABS(C6-M6))</f>
        <v>1</v>
      </c>
    </row>
    <row r="7" spans="1:24" x14ac:dyDescent="0.3">
      <c r="A7" s="99">
        <f t="shared" si="4"/>
        <v>5</v>
      </c>
      <c r="B7" s="70">
        <v>-1</v>
      </c>
      <c r="C7" s="21">
        <v>-1</v>
      </c>
      <c r="D7" s="1">
        <v>-1</v>
      </c>
      <c r="E7" s="1">
        <v>-1</v>
      </c>
      <c r="F7" s="22" t="str">
        <f t="shared" si="0"/>
        <v>0 ± 0</v>
      </c>
      <c r="G7" s="22" t="str">
        <f t="shared" si="1"/>
        <v>0 ± 0</v>
      </c>
      <c r="H7" s="14">
        <v>-1</v>
      </c>
      <c r="I7" s="14">
        <v>-1</v>
      </c>
      <c r="J7" s="23" t="str">
        <f t="shared" si="2"/>
        <v>0 ± 0</v>
      </c>
      <c r="K7" s="23" t="str">
        <f t="shared" si="3"/>
        <v>0 ± 0</v>
      </c>
      <c r="L7" s="19">
        <v>-1</v>
      </c>
      <c r="M7" s="19">
        <v>-1</v>
      </c>
      <c r="N7" s="24" t="str">
        <f t="shared" si="5"/>
        <v>0 ± 0</v>
      </c>
      <c r="O7" s="24" t="str">
        <f t="shared" si="6"/>
        <v>0 ± 0</v>
      </c>
      <c r="Q7" s="20" cm="1">
        <f t="array" ref="Q7">PointMin3(ABS(B7-D7)+ABS(C7-E7),ABS(B7-H7)+ABS(C7-I7),ABS(B7-L7)+ABS(C7-M7),ABS(B7-D7)+ABS(C7-E7))</f>
        <v>1</v>
      </c>
      <c r="R7" s="20" cm="1">
        <f t="array" ref="R7">PointMin3(ABS(B7-D7)+ABS(C7-E7),ABS(B7-H7)+ABS(C7-I7),ABS(B7-L7)+ABS(C7-M7),ABS(B7-H7)+ABS(C7-I7))</f>
        <v>1</v>
      </c>
      <c r="S7" s="20" cm="1">
        <f t="array" ref="S7">PointMin3(ABS(B7-D7)+ABS(C7-E7),ABS(B7-H7)+ABS(C7-I7),ABS(B7-L7)+ABS(C7-M7),ABS(B7-L7)+ABS(C7-M7))</f>
        <v>1</v>
      </c>
    </row>
    <row r="8" spans="1:24" x14ac:dyDescent="0.3">
      <c r="A8" s="100">
        <f t="shared" si="4"/>
        <v>6</v>
      </c>
      <c r="B8" s="70">
        <f>[1]Кг_s1!D7</f>
        <v>1</v>
      </c>
      <c r="C8" s="21">
        <f>[1]Кг_s1!I7</f>
        <v>0</v>
      </c>
      <c r="F8" s="22" t="str">
        <f t="shared" si="0"/>
        <v>1 ± 0</v>
      </c>
      <c r="G8" s="22" t="str">
        <f t="shared" si="1"/>
        <v>100 ± 0</v>
      </c>
      <c r="J8" s="23" t="str">
        <f t="shared" si="2"/>
        <v>1 ± 0</v>
      </c>
      <c r="K8" s="23" t="str">
        <f t="shared" si="3"/>
        <v>100 ± 0</v>
      </c>
      <c r="N8" s="24" t="str">
        <f t="shared" si="5"/>
        <v>1 ± 0</v>
      </c>
      <c r="O8" s="24" t="str">
        <f t="shared" si="6"/>
        <v>100 ± 0</v>
      </c>
      <c r="Q8" s="20" cm="1">
        <f t="array" ref="Q8">PointMin3(ABS(B8-D8)+ABS(C8-E8),ABS(B8-H8)+ABS(C8-I8),ABS(B8-L8)+ABS(C8-M8),ABS(B8-D8)+ABS(C8-E8))</f>
        <v>1</v>
      </c>
      <c r="R8" s="20" cm="1">
        <f t="array" ref="R8">PointMin3(ABS(B8-D8)+ABS(C8-E8),ABS(B8-H8)+ABS(C8-I8),ABS(B8-L8)+ABS(C8-M8),ABS(B8-H8)+ABS(C8-I8))</f>
        <v>1</v>
      </c>
      <c r="S8" s="20" cm="1">
        <f t="array" ref="S8">PointMin3(ABS(B8-D8)+ABS(C8-E8),ABS(B8-H8)+ABS(C8-I8),ABS(B8-L8)+ABS(C8-M8),ABS(B8-L8)+ABS(C8-M8))</f>
        <v>1</v>
      </c>
    </row>
    <row r="9" spans="1:24" x14ac:dyDescent="0.3">
      <c r="A9" s="99">
        <f t="shared" si="4"/>
        <v>7</v>
      </c>
    </row>
    <row r="10" spans="1:24" x14ac:dyDescent="0.3">
      <c r="A10" s="99">
        <f t="shared" si="4"/>
        <v>8</v>
      </c>
      <c r="U10" s="36" t="s">
        <v>15</v>
      </c>
    </row>
    <row r="11" spans="1:24" x14ac:dyDescent="0.3">
      <c r="A11" s="99">
        <f t="shared" si="4"/>
        <v>9</v>
      </c>
    </row>
    <row r="12" spans="1:24" x14ac:dyDescent="0.3">
      <c r="A12" s="99">
        <f t="shared" si="4"/>
        <v>10</v>
      </c>
    </row>
    <row r="13" spans="1:24" x14ac:dyDescent="0.3">
      <c r="A13" s="100">
        <f t="shared" si="4"/>
        <v>11</v>
      </c>
    </row>
    <row r="14" spans="1:24" x14ac:dyDescent="0.3">
      <c r="A14" s="99">
        <f t="shared" si="4"/>
        <v>12</v>
      </c>
      <c r="P14" s="30"/>
    </row>
    <row r="15" spans="1:24" x14ac:dyDescent="0.3">
      <c r="A15" s="99">
        <f t="shared" si="4"/>
        <v>13</v>
      </c>
      <c r="Q15" s="30"/>
    </row>
    <row r="16" spans="1:24" x14ac:dyDescent="0.3">
      <c r="A16" s="99">
        <f t="shared" si="4"/>
        <v>14</v>
      </c>
      <c r="Q16" s="97"/>
    </row>
    <row r="17" spans="1:1" x14ac:dyDescent="0.3">
      <c r="A17" s="99">
        <f t="shared" si="4"/>
        <v>15</v>
      </c>
    </row>
    <row r="18" spans="1:1" x14ac:dyDescent="0.3">
      <c r="A18" s="100">
        <f t="shared" si="4"/>
        <v>16</v>
      </c>
    </row>
    <row r="19" spans="1:1" x14ac:dyDescent="0.3">
      <c r="A19" s="99">
        <f t="shared" si="4"/>
        <v>17</v>
      </c>
    </row>
    <row r="20" spans="1:1" x14ac:dyDescent="0.3">
      <c r="A20" s="99">
        <f t="shared" si="4"/>
        <v>18</v>
      </c>
    </row>
    <row r="21" spans="1:1" x14ac:dyDescent="0.3">
      <c r="A21" s="99">
        <f t="shared" si="4"/>
        <v>19</v>
      </c>
    </row>
    <row r="22" spans="1:1" x14ac:dyDescent="0.3">
      <c r="A22" s="99">
        <f t="shared" si="4"/>
        <v>20</v>
      </c>
    </row>
    <row r="23" spans="1:1" x14ac:dyDescent="0.3">
      <c r="A23" s="100">
        <f t="shared" si="4"/>
        <v>21</v>
      </c>
    </row>
    <row r="24" spans="1:1" x14ac:dyDescent="0.3">
      <c r="A24" s="67">
        <f t="shared" si="4"/>
        <v>22</v>
      </c>
    </row>
    <row r="25" spans="1:1" x14ac:dyDescent="0.3">
      <c r="A25" s="67">
        <f t="shared" si="4"/>
        <v>23</v>
      </c>
    </row>
    <row r="26" spans="1:1" x14ac:dyDescent="0.3">
      <c r="A26" s="67">
        <f t="shared" si="4"/>
        <v>24</v>
      </c>
    </row>
    <row r="27" spans="1:1" x14ac:dyDescent="0.3">
      <c r="A27" s="67">
        <f t="shared" si="4"/>
        <v>25</v>
      </c>
    </row>
    <row r="28" spans="1:1" x14ac:dyDescent="0.3">
      <c r="A28" s="100">
        <f t="shared" si="4"/>
        <v>26</v>
      </c>
    </row>
    <row r="29" spans="1:1" x14ac:dyDescent="0.3">
      <c r="A29" s="67">
        <f t="shared" si="4"/>
        <v>27</v>
      </c>
    </row>
    <row r="30" spans="1:1" x14ac:dyDescent="0.3">
      <c r="A30" s="67">
        <f t="shared" si="4"/>
        <v>28</v>
      </c>
    </row>
    <row r="31" spans="1:1" x14ac:dyDescent="0.3">
      <c r="A31" s="67">
        <f t="shared" si="4"/>
        <v>29</v>
      </c>
    </row>
    <row r="32" spans="1:1" x14ac:dyDescent="0.3">
      <c r="A32" s="67">
        <f t="shared" si="4"/>
        <v>30</v>
      </c>
    </row>
    <row r="33" spans="1:1" x14ac:dyDescent="0.3">
      <c r="A33" s="100">
        <f t="shared" si="4"/>
        <v>31</v>
      </c>
    </row>
    <row r="34" spans="1:1" x14ac:dyDescent="0.3">
      <c r="A34" s="67">
        <f t="shared" si="4"/>
        <v>32</v>
      </c>
    </row>
    <row r="35" spans="1:1" x14ac:dyDescent="0.3">
      <c r="A35" s="67">
        <f t="shared" si="4"/>
        <v>33</v>
      </c>
    </row>
    <row r="36" spans="1:1" x14ac:dyDescent="0.3">
      <c r="A36" s="67">
        <f t="shared" si="4"/>
        <v>34</v>
      </c>
    </row>
    <row r="37" spans="1:1" x14ac:dyDescent="0.3">
      <c r="A37" s="67">
        <f t="shared" si="4"/>
        <v>35</v>
      </c>
    </row>
    <row r="38" spans="1:1" x14ac:dyDescent="0.3">
      <c r="A38" s="100">
        <f t="shared" si="4"/>
        <v>36</v>
      </c>
    </row>
    <row r="39" spans="1:1" x14ac:dyDescent="0.3">
      <c r="A39" s="67">
        <f t="shared" si="4"/>
        <v>37</v>
      </c>
    </row>
    <row r="40" spans="1:1" x14ac:dyDescent="0.3">
      <c r="A40" s="67">
        <f t="shared" si="4"/>
        <v>38</v>
      </c>
    </row>
    <row r="41" spans="1:1" x14ac:dyDescent="0.3">
      <c r="A41" s="67">
        <f t="shared" si="4"/>
        <v>39</v>
      </c>
    </row>
    <row r="42" spans="1:1" x14ac:dyDescent="0.3">
      <c r="A42" s="67">
        <f t="shared" si="4"/>
        <v>40</v>
      </c>
    </row>
    <row r="43" spans="1:1" x14ac:dyDescent="0.3">
      <c r="A43" s="100">
        <f t="shared" si="4"/>
        <v>41</v>
      </c>
    </row>
    <row r="44" spans="1:1" x14ac:dyDescent="0.3">
      <c r="A44" s="99">
        <f t="shared" si="4"/>
        <v>42</v>
      </c>
    </row>
    <row r="45" spans="1:1" x14ac:dyDescent="0.3">
      <c r="A45" s="99">
        <f t="shared" si="4"/>
        <v>43</v>
      </c>
    </row>
    <row r="46" spans="1:1" x14ac:dyDescent="0.3">
      <c r="A46" s="99">
        <f t="shared" si="4"/>
        <v>44</v>
      </c>
    </row>
    <row r="47" spans="1:1" x14ac:dyDescent="0.3">
      <c r="A47" s="99">
        <f t="shared" si="4"/>
        <v>45</v>
      </c>
    </row>
    <row r="48" spans="1:1" x14ac:dyDescent="0.3">
      <c r="A48" s="100">
        <f t="shared" si="4"/>
        <v>46</v>
      </c>
    </row>
    <row r="49" spans="1:1" x14ac:dyDescent="0.3">
      <c r="A49" s="99">
        <f t="shared" si="4"/>
        <v>47</v>
      </c>
    </row>
    <row r="50" spans="1:1" x14ac:dyDescent="0.3">
      <c r="A50" s="67">
        <f t="shared" si="4"/>
        <v>48</v>
      </c>
    </row>
    <row r="51" spans="1:1" x14ac:dyDescent="0.3">
      <c r="A51" s="67">
        <f t="shared" si="4"/>
        <v>49</v>
      </c>
    </row>
    <row r="52" spans="1:1" x14ac:dyDescent="0.3">
      <c r="A52" s="67">
        <f t="shared" si="4"/>
        <v>50</v>
      </c>
    </row>
    <row r="53" spans="1:1" x14ac:dyDescent="0.3">
      <c r="A53" s="100">
        <f t="shared" si="4"/>
        <v>51</v>
      </c>
    </row>
    <row r="54" spans="1:1" x14ac:dyDescent="0.3">
      <c r="A54" s="100">
        <f t="shared" si="4"/>
        <v>52</v>
      </c>
    </row>
    <row r="55" spans="1:1" x14ac:dyDescent="0.3">
      <c r="A55" s="67">
        <f t="shared" si="4"/>
        <v>53</v>
      </c>
    </row>
    <row r="56" spans="1:1" x14ac:dyDescent="0.3">
      <c r="A56" s="67">
        <f t="shared" si="4"/>
        <v>54</v>
      </c>
    </row>
    <row r="57" spans="1:1" x14ac:dyDescent="0.3">
      <c r="A57" s="67">
        <f t="shared" si="4"/>
        <v>55</v>
      </c>
    </row>
    <row r="58" spans="1:1" x14ac:dyDescent="0.3">
      <c r="A58" s="100">
        <f t="shared" si="4"/>
        <v>56</v>
      </c>
    </row>
    <row r="59" spans="1:1" x14ac:dyDescent="0.3">
      <c r="A59" s="100">
        <f t="shared" si="4"/>
        <v>57</v>
      </c>
    </row>
    <row r="60" spans="1:1" x14ac:dyDescent="0.3">
      <c r="A60" s="67">
        <f t="shared" si="4"/>
        <v>58</v>
      </c>
    </row>
    <row r="61" spans="1:1" x14ac:dyDescent="0.3">
      <c r="A61" s="67">
        <f t="shared" si="4"/>
        <v>59</v>
      </c>
    </row>
    <row r="62" spans="1:1" x14ac:dyDescent="0.3">
      <c r="A62" s="67">
        <f t="shared" si="4"/>
        <v>60</v>
      </c>
    </row>
    <row r="63" spans="1:1" x14ac:dyDescent="0.3">
      <c r="A63" s="101">
        <f t="shared" si="4"/>
        <v>61</v>
      </c>
    </row>
    <row r="64" spans="1:1" x14ac:dyDescent="0.3">
      <c r="A64" s="99">
        <f t="shared" si="4"/>
        <v>62</v>
      </c>
    </row>
    <row r="65" spans="1:1" x14ac:dyDescent="0.3">
      <c r="A65" s="99">
        <f t="shared" si="4"/>
        <v>63</v>
      </c>
    </row>
    <row r="66" spans="1:1" x14ac:dyDescent="0.3">
      <c r="A66" s="99">
        <f t="shared" si="4"/>
        <v>64</v>
      </c>
    </row>
    <row r="67" spans="1:1" x14ac:dyDescent="0.3">
      <c r="A67" s="99">
        <f t="shared" si="4"/>
        <v>65</v>
      </c>
    </row>
    <row r="68" spans="1:1" x14ac:dyDescent="0.3">
      <c r="A68" s="100">
        <f t="shared" si="4"/>
        <v>66</v>
      </c>
    </row>
    <row r="69" spans="1:1" x14ac:dyDescent="0.3">
      <c r="A69" s="99">
        <f t="shared" ref="A69:A132" si="7">A68+1</f>
        <v>67</v>
      </c>
    </row>
    <row r="70" spans="1:1" x14ac:dyDescent="0.3">
      <c r="A70" s="99">
        <f t="shared" si="7"/>
        <v>68</v>
      </c>
    </row>
    <row r="71" spans="1:1" x14ac:dyDescent="0.3">
      <c r="A71" s="99">
        <f t="shared" si="7"/>
        <v>69</v>
      </c>
    </row>
    <row r="72" spans="1:1" x14ac:dyDescent="0.3">
      <c r="A72" s="99">
        <f t="shared" si="7"/>
        <v>70</v>
      </c>
    </row>
    <row r="73" spans="1:1" x14ac:dyDescent="0.3">
      <c r="A73" s="100">
        <f t="shared" si="7"/>
        <v>71</v>
      </c>
    </row>
    <row r="74" spans="1:1" x14ac:dyDescent="0.3">
      <c r="A74" s="99">
        <f t="shared" si="7"/>
        <v>72</v>
      </c>
    </row>
    <row r="75" spans="1:1" x14ac:dyDescent="0.3">
      <c r="A75" s="99">
        <f t="shared" si="7"/>
        <v>73</v>
      </c>
    </row>
    <row r="76" spans="1:1" x14ac:dyDescent="0.3">
      <c r="A76" s="99">
        <f t="shared" si="7"/>
        <v>74</v>
      </c>
    </row>
    <row r="77" spans="1:1" x14ac:dyDescent="0.3">
      <c r="A77" s="99">
        <f t="shared" si="7"/>
        <v>75</v>
      </c>
    </row>
    <row r="78" spans="1:1" x14ac:dyDescent="0.3">
      <c r="A78" s="100">
        <f t="shared" si="7"/>
        <v>76</v>
      </c>
    </row>
    <row r="79" spans="1:1" x14ac:dyDescent="0.3">
      <c r="A79" s="99">
        <f t="shared" si="7"/>
        <v>77</v>
      </c>
    </row>
    <row r="80" spans="1:1" x14ac:dyDescent="0.3">
      <c r="A80" s="99">
        <f t="shared" si="7"/>
        <v>78</v>
      </c>
    </row>
    <row r="81" spans="1:1" x14ac:dyDescent="0.3">
      <c r="A81" s="99">
        <f t="shared" si="7"/>
        <v>79</v>
      </c>
    </row>
    <row r="82" spans="1:1" x14ac:dyDescent="0.3">
      <c r="A82" s="99">
        <f t="shared" si="7"/>
        <v>80</v>
      </c>
    </row>
    <row r="83" spans="1:1" x14ac:dyDescent="0.3">
      <c r="A83" s="99">
        <f t="shared" si="7"/>
        <v>81</v>
      </c>
    </row>
    <row r="84" spans="1:1" x14ac:dyDescent="0.3">
      <c r="A84" s="99">
        <f t="shared" si="7"/>
        <v>82</v>
      </c>
    </row>
    <row r="85" spans="1:1" x14ac:dyDescent="0.3">
      <c r="A85" s="99">
        <f t="shared" si="7"/>
        <v>83</v>
      </c>
    </row>
    <row r="86" spans="1:1" x14ac:dyDescent="0.3">
      <c r="A86" s="99">
        <f t="shared" si="7"/>
        <v>84</v>
      </c>
    </row>
    <row r="87" spans="1:1" x14ac:dyDescent="0.3">
      <c r="A87" s="99">
        <f t="shared" si="7"/>
        <v>85</v>
      </c>
    </row>
    <row r="88" spans="1:1" x14ac:dyDescent="0.3">
      <c r="A88" s="99">
        <f t="shared" si="7"/>
        <v>86</v>
      </c>
    </row>
    <row r="89" spans="1:1" x14ac:dyDescent="0.3">
      <c r="A89" s="99">
        <f t="shared" si="7"/>
        <v>87</v>
      </c>
    </row>
    <row r="90" spans="1:1" x14ac:dyDescent="0.3">
      <c r="A90" s="99">
        <f t="shared" si="7"/>
        <v>88</v>
      </c>
    </row>
    <row r="91" spans="1:1" x14ac:dyDescent="0.3">
      <c r="A91" s="99">
        <f t="shared" si="7"/>
        <v>89</v>
      </c>
    </row>
    <row r="92" spans="1:1" x14ac:dyDescent="0.3">
      <c r="A92" s="99">
        <f t="shared" si="7"/>
        <v>90</v>
      </c>
    </row>
    <row r="93" spans="1:1" x14ac:dyDescent="0.3">
      <c r="A93" s="99">
        <f t="shared" si="7"/>
        <v>91</v>
      </c>
    </row>
    <row r="94" spans="1:1" x14ac:dyDescent="0.3">
      <c r="A94" s="99">
        <f t="shared" si="7"/>
        <v>92</v>
      </c>
    </row>
    <row r="95" spans="1:1" x14ac:dyDescent="0.3">
      <c r="A95" s="99">
        <f t="shared" si="7"/>
        <v>93</v>
      </c>
    </row>
    <row r="96" spans="1:1" x14ac:dyDescent="0.3">
      <c r="A96" s="99">
        <f t="shared" si="7"/>
        <v>94</v>
      </c>
    </row>
    <row r="97" spans="1:1" x14ac:dyDescent="0.3">
      <c r="A97" s="99">
        <f t="shared" si="7"/>
        <v>95</v>
      </c>
    </row>
    <row r="98" spans="1:1" x14ac:dyDescent="0.3">
      <c r="A98" s="99">
        <f t="shared" si="7"/>
        <v>96</v>
      </c>
    </row>
    <row r="99" spans="1:1" x14ac:dyDescent="0.3">
      <c r="A99" s="99">
        <f t="shared" si="7"/>
        <v>97</v>
      </c>
    </row>
    <row r="100" spans="1:1" x14ac:dyDescent="0.3">
      <c r="A100" s="99">
        <f t="shared" si="7"/>
        <v>98</v>
      </c>
    </row>
    <row r="101" spans="1:1" x14ac:dyDescent="0.3">
      <c r="A101" s="99">
        <f t="shared" si="7"/>
        <v>99</v>
      </c>
    </row>
    <row r="102" spans="1:1" x14ac:dyDescent="0.3">
      <c r="A102" s="99">
        <f t="shared" si="7"/>
        <v>100</v>
      </c>
    </row>
    <row r="103" spans="1:1" x14ac:dyDescent="0.3">
      <c r="A103" s="99">
        <f t="shared" si="7"/>
        <v>101</v>
      </c>
    </row>
    <row r="104" spans="1:1" x14ac:dyDescent="0.3">
      <c r="A104" s="99">
        <f t="shared" si="7"/>
        <v>102</v>
      </c>
    </row>
    <row r="105" spans="1:1" x14ac:dyDescent="0.3">
      <c r="A105" s="99">
        <f t="shared" si="7"/>
        <v>103</v>
      </c>
    </row>
    <row r="106" spans="1:1" x14ac:dyDescent="0.3">
      <c r="A106" s="99">
        <f t="shared" si="7"/>
        <v>104</v>
      </c>
    </row>
    <row r="107" spans="1:1" x14ac:dyDescent="0.3">
      <c r="A107" s="99">
        <f t="shared" si="7"/>
        <v>105</v>
      </c>
    </row>
    <row r="108" spans="1:1" x14ac:dyDescent="0.3">
      <c r="A108" s="99">
        <f t="shared" si="7"/>
        <v>106</v>
      </c>
    </row>
    <row r="109" spans="1:1" x14ac:dyDescent="0.3">
      <c r="A109" s="99">
        <f t="shared" si="7"/>
        <v>107</v>
      </c>
    </row>
    <row r="110" spans="1:1" x14ac:dyDescent="0.3">
      <c r="A110" s="99">
        <f t="shared" si="7"/>
        <v>108</v>
      </c>
    </row>
    <row r="111" spans="1:1" x14ac:dyDescent="0.3">
      <c r="A111" s="99">
        <f t="shared" si="7"/>
        <v>109</v>
      </c>
    </row>
    <row r="112" spans="1:1" x14ac:dyDescent="0.3">
      <c r="A112" s="99">
        <f t="shared" si="7"/>
        <v>110</v>
      </c>
    </row>
    <row r="113" spans="1:1" x14ac:dyDescent="0.3">
      <c r="A113" s="99">
        <f t="shared" si="7"/>
        <v>111</v>
      </c>
    </row>
    <row r="114" spans="1:1" x14ac:dyDescent="0.3">
      <c r="A114" s="99">
        <f t="shared" si="7"/>
        <v>112</v>
      </c>
    </row>
    <row r="115" spans="1:1" x14ac:dyDescent="0.3">
      <c r="A115" s="99">
        <f t="shared" si="7"/>
        <v>113</v>
      </c>
    </row>
    <row r="116" spans="1:1" x14ac:dyDescent="0.3">
      <c r="A116" s="99">
        <f t="shared" si="7"/>
        <v>114</v>
      </c>
    </row>
    <row r="117" spans="1:1" x14ac:dyDescent="0.3">
      <c r="A117" s="99">
        <f t="shared" si="7"/>
        <v>115</v>
      </c>
    </row>
    <row r="118" spans="1:1" x14ac:dyDescent="0.3">
      <c r="A118" s="99">
        <f t="shared" si="7"/>
        <v>116</v>
      </c>
    </row>
    <row r="119" spans="1:1" x14ac:dyDescent="0.3">
      <c r="A119" s="99">
        <f t="shared" si="7"/>
        <v>117</v>
      </c>
    </row>
    <row r="120" spans="1:1" x14ac:dyDescent="0.3">
      <c r="A120" s="99">
        <f t="shared" si="7"/>
        <v>118</v>
      </c>
    </row>
    <row r="121" spans="1:1" x14ac:dyDescent="0.3">
      <c r="A121" s="99">
        <f t="shared" si="7"/>
        <v>119</v>
      </c>
    </row>
    <row r="122" spans="1:1" x14ac:dyDescent="0.3">
      <c r="A122" s="99">
        <f t="shared" si="7"/>
        <v>120</v>
      </c>
    </row>
    <row r="123" spans="1:1" x14ac:dyDescent="0.3">
      <c r="A123" s="99">
        <f t="shared" si="7"/>
        <v>121</v>
      </c>
    </row>
    <row r="124" spans="1:1" x14ac:dyDescent="0.3">
      <c r="A124" s="99">
        <f t="shared" si="7"/>
        <v>122</v>
      </c>
    </row>
    <row r="125" spans="1:1" x14ac:dyDescent="0.3">
      <c r="A125" s="99">
        <f t="shared" si="7"/>
        <v>123</v>
      </c>
    </row>
    <row r="126" spans="1:1" x14ac:dyDescent="0.3">
      <c r="A126" s="99">
        <f t="shared" si="7"/>
        <v>124</v>
      </c>
    </row>
    <row r="127" spans="1:1" x14ac:dyDescent="0.3">
      <c r="A127" s="99">
        <f t="shared" si="7"/>
        <v>125</v>
      </c>
    </row>
    <row r="128" spans="1:1" x14ac:dyDescent="0.3">
      <c r="A128" s="99">
        <f t="shared" si="7"/>
        <v>126</v>
      </c>
    </row>
    <row r="129" spans="1:1" x14ac:dyDescent="0.3">
      <c r="A129" s="99">
        <f t="shared" si="7"/>
        <v>127</v>
      </c>
    </row>
    <row r="130" spans="1:1" x14ac:dyDescent="0.3">
      <c r="A130" s="99">
        <f t="shared" si="7"/>
        <v>128</v>
      </c>
    </row>
    <row r="131" spans="1:1" x14ac:dyDescent="0.3">
      <c r="A131" s="99">
        <f t="shared" si="7"/>
        <v>129</v>
      </c>
    </row>
    <row r="132" spans="1:1" x14ac:dyDescent="0.3">
      <c r="A132" s="99">
        <f t="shared" si="7"/>
        <v>130</v>
      </c>
    </row>
    <row r="133" spans="1:1" x14ac:dyDescent="0.3">
      <c r="A133" s="99">
        <f t="shared" ref="A133:A162" si="8">A132+1</f>
        <v>131</v>
      </c>
    </row>
    <row r="134" spans="1:1" x14ac:dyDescent="0.3">
      <c r="A134" s="99">
        <f t="shared" si="8"/>
        <v>132</v>
      </c>
    </row>
    <row r="135" spans="1:1" x14ac:dyDescent="0.3">
      <c r="A135" s="99">
        <f t="shared" si="8"/>
        <v>133</v>
      </c>
    </row>
    <row r="136" spans="1:1" x14ac:dyDescent="0.3">
      <c r="A136" s="99">
        <f t="shared" si="8"/>
        <v>134</v>
      </c>
    </row>
    <row r="137" spans="1:1" x14ac:dyDescent="0.3">
      <c r="A137" s="99">
        <f t="shared" si="8"/>
        <v>135</v>
      </c>
    </row>
    <row r="138" spans="1:1" x14ac:dyDescent="0.3">
      <c r="A138" s="99">
        <f t="shared" si="8"/>
        <v>136</v>
      </c>
    </row>
    <row r="139" spans="1:1" x14ac:dyDescent="0.3">
      <c r="A139" s="99">
        <f t="shared" si="8"/>
        <v>137</v>
      </c>
    </row>
    <row r="140" spans="1:1" x14ac:dyDescent="0.3">
      <c r="A140" s="99">
        <f t="shared" si="8"/>
        <v>138</v>
      </c>
    </row>
    <row r="141" spans="1:1" x14ac:dyDescent="0.3">
      <c r="A141" s="99">
        <f t="shared" si="8"/>
        <v>139</v>
      </c>
    </row>
    <row r="142" spans="1:1" x14ac:dyDescent="0.3">
      <c r="A142" s="99">
        <f t="shared" si="8"/>
        <v>140</v>
      </c>
    </row>
    <row r="143" spans="1:1" x14ac:dyDescent="0.3">
      <c r="A143" s="99">
        <f t="shared" si="8"/>
        <v>141</v>
      </c>
    </row>
    <row r="144" spans="1:1" x14ac:dyDescent="0.3">
      <c r="A144" s="99">
        <f t="shared" si="8"/>
        <v>142</v>
      </c>
    </row>
    <row r="145" spans="1:1" x14ac:dyDescent="0.3">
      <c r="A145" s="99">
        <f t="shared" si="8"/>
        <v>143</v>
      </c>
    </row>
    <row r="146" spans="1:1" x14ac:dyDescent="0.3">
      <c r="A146" s="99">
        <f t="shared" si="8"/>
        <v>144</v>
      </c>
    </row>
    <row r="147" spans="1:1" x14ac:dyDescent="0.3">
      <c r="A147" s="99">
        <f t="shared" si="8"/>
        <v>145</v>
      </c>
    </row>
    <row r="148" spans="1:1" x14ac:dyDescent="0.3">
      <c r="A148" s="99">
        <f t="shared" si="8"/>
        <v>146</v>
      </c>
    </row>
    <row r="149" spans="1:1" x14ac:dyDescent="0.3">
      <c r="A149" s="99">
        <f t="shared" si="8"/>
        <v>147</v>
      </c>
    </row>
    <row r="150" spans="1:1" x14ac:dyDescent="0.3">
      <c r="A150" s="99">
        <f t="shared" si="8"/>
        <v>148</v>
      </c>
    </row>
    <row r="151" spans="1:1" x14ac:dyDescent="0.3">
      <c r="A151" s="99">
        <f t="shared" si="8"/>
        <v>149</v>
      </c>
    </row>
    <row r="152" spans="1:1" x14ac:dyDescent="0.3">
      <c r="A152" s="99">
        <f t="shared" si="8"/>
        <v>150</v>
      </c>
    </row>
    <row r="153" spans="1:1" x14ac:dyDescent="0.3">
      <c r="A153" s="99">
        <f t="shared" si="8"/>
        <v>151</v>
      </c>
    </row>
    <row r="154" spans="1:1" x14ac:dyDescent="0.3">
      <c r="A154" s="99">
        <f t="shared" si="8"/>
        <v>152</v>
      </c>
    </row>
    <row r="155" spans="1:1" x14ac:dyDescent="0.3">
      <c r="A155" s="99">
        <f t="shared" si="8"/>
        <v>153</v>
      </c>
    </row>
    <row r="156" spans="1:1" x14ac:dyDescent="0.3">
      <c r="A156" s="99">
        <f t="shared" si="8"/>
        <v>154</v>
      </c>
    </row>
    <row r="157" spans="1:1" x14ac:dyDescent="0.3">
      <c r="A157" s="99">
        <f t="shared" si="8"/>
        <v>155</v>
      </c>
    </row>
    <row r="158" spans="1:1" x14ac:dyDescent="0.3">
      <c r="A158" s="99">
        <f t="shared" si="8"/>
        <v>156</v>
      </c>
    </row>
    <row r="159" spans="1:1" x14ac:dyDescent="0.3">
      <c r="A159" s="99">
        <f t="shared" si="8"/>
        <v>157</v>
      </c>
    </row>
    <row r="160" spans="1:1" x14ac:dyDescent="0.3">
      <c r="A160" s="99">
        <f t="shared" si="8"/>
        <v>158</v>
      </c>
    </row>
    <row r="161" spans="1:1" x14ac:dyDescent="0.3">
      <c r="A161" s="99">
        <f t="shared" si="8"/>
        <v>159</v>
      </c>
    </row>
    <row r="162" spans="1:1" x14ac:dyDescent="0.3">
      <c r="A162" s="99">
        <f t="shared" si="8"/>
        <v>160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1E013-B658-4F02-B923-EFBBC34533C2}">
  <sheetPr codeName="Лист11"/>
  <dimension ref="A1:X162"/>
  <sheetViews>
    <sheetView workbookViewId="0">
      <selection activeCell="U11" sqref="U11"/>
    </sheetView>
  </sheetViews>
  <sheetFormatPr defaultRowHeight="14.4" x14ac:dyDescent="0.3"/>
  <cols>
    <col min="1" max="1" width="33.21875" style="99" customWidth="1"/>
    <col min="2" max="2" width="13.77734375" style="71" customWidth="1"/>
    <col min="3" max="3" width="12.6640625" style="5" customWidth="1"/>
    <col min="4" max="4" width="14.44140625" style="1" customWidth="1"/>
    <col min="5" max="5" width="13.109375" style="1" customWidth="1"/>
    <col min="6" max="6" width="15.44140625" style="1" customWidth="1"/>
    <col min="7" max="7" width="28.88671875" style="1" customWidth="1"/>
    <col min="8" max="8" width="13.5546875" style="14" customWidth="1"/>
    <col min="9" max="9" width="11.44140625" style="14" customWidth="1"/>
    <col min="10" max="11" width="18" style="14" customWidth="1"/>
    <col min="12" max="12" width="15" style="19" customWidth="1"/>
    <col min="13" max="13" width="11.21875" style="19" customWidth="1"/>
    <col min="14" max="14" width="18.44140625" style="19" customWidth="1"/>
    <col min="15" max="15" width="17.44140625" style="19" customWidth="1"/>
    <col min="16" max="17" width="8.88671875" style="4"/>
    <col min="18" max="18" width="12" style="4" customWidth="1"/>
    <col min="19" max="19" width="13.21875" style="4" customWidth="1"/>
    <col min="20" max="20" width="8.88671875" style="4"/>
    <col min="21" max="21" width="15.77734375" style="4" customWidth="1"/>
    <col min="22" max="22" width="11.5546875" style="4" customWidth="1"/>
    <col min="23" max="23" width="15.109375" style="4" customWidth="1"/>
    <col min="24" max="24" width="14.21875" style="4" customWidth="1"/>
    <col min="25" max="16384" width="8.88671875" style="4"/>
  </cols>
  <sheetData>
    <row r="1" spans="1:24" s="2" customFormat="1" x14ac:dyDescent="0.3">
      <c r="A1" s="102" t="s">
        <v>48</v>
      </c>
      <c r="B1" s="68" t="s">
        <v>2</v>
      </c>
      <c r="C1" s="7"/>
      <c r="D1" s="9" t="s">
        <v>4</v>
      </c>
      <c r="E1" s="10"/>
      <c r="F1" s="10"/>
      <c r="G1" s="8"/>
      <c r="H1" s="11" t="s">
        <v>3</v>
      </c>
      <c r="I1" s="12"/>
      <c r="J1" s="12"/>
      <c r="K1" s="13"/>
      <c r="L1" s="15" t="s">
        <v>5</v>
      </c>
      <c r="M1" s="16"/>
      <c r="N1" s="17"/>
      <c r="O1" s="18"/>
      <c r="Q1" s="2" t="s">
        <v>4</v>
      </c>
      <c r="R1" s="2" t="s">
        <v>3</v>
      </c>
      <c r="S1" s="2" t="s">
        <v>5</v>
      </c>
      <c r="U1" s="2" t="s">
        <v>14</v>
      </c>
      <c r="V1" s="2" t="s">
        <v>11</v>
      </c>
      <c r="W1" s="2" t="s">
        <v>12</v>
      </c>
      <c r="X1" s="2" t="s">
        <v>13</v>
      </c>
    </row>
    <row r="2" spans="1:24" s="25" customFormat="1" ht="15" thickBot="1" x14ac:dyDescent="0.35">
      <c r="A2" s="103"/>
      <c r="B2" s="69" t="s">
        <v>0</v>
      </c>
      <c r="C2" s="26" t="s">
        <v>1</v>
      </c>
      <c r="D2" s="27" t="s">
        <v>0</v>
      </c>
      <c r="E2" s="27" t="s">
        <v>1</v>
      </c>
      <c r="F2" s="27" t="s">
        <v>6</v>
      </c>
      <c r="G2" s="27" t="s">
        <v>7</v>
      </c>
      <c r="H2" s="28" t="s">
        <v>0</v>
      </c>
      <c r="I2" s="28" t="s">
        <v>1</v>
      </c>
      <c r="J2" s="28" t="s">
        <v>6</v>
      </c>
      <c r="K2" s="28" t="s">
        <v>7</v>
      </c>
      <c r="L2" s="29" t="s">
        <v>0</v>
      </c>
      <c r="M2" s="29" t="s">
        <v>1</v>
      </c>
      <c r="N2" s="29" t="s">
        <v>6</v>
      </c>
      <c r="O2" s="29" t="s">
        <v>7</v>
      </c>
    </row>
    <row r="3" spans="1:24" s="20" customFormat="1" x14ac:dyDescent="0.3">
      <c r="A3" s="98">
        <v>1</v>
      </c>
      <c r="B3" s="70">
        <f>[1]Кг_s12!D2</f>
        <v>1</v>
      </c>
      <c r="C3" s="21">
        <f>[1]Кг_s12!I2</f>
        <v>0</v>
      </c>
      <c r="D3" s="22">
        <v>0.6</v>
      </c>
      <c r="E3" s="22">
        <v>2E-3</v>
      </c>
      <c r="F3" s="22" t="str">
        <f>ROUNDUP(ABS(B3-D3),3) &amp; " ± " &amp; ROUNDUP(ABS(C3-E3),3)</f>
        <v>0,4 ± 0,002</v>
      </c>
      <c r="G3" s="22" t="str">
        <f>ROUNDUP(ABS(B3-D3)/B3*100,3) &amp; " ± " &amp; ROUNDUP(ABS(C3-E3)/B3*100,3)</f>
        <v>40 ± 0,2</v>
      </c>
      <c r="H3" s="23">
        <v>0.5</v>
      </c>
      <c r="I3" s="23">
        <v>0.01</v>
      </c>
      <c r="J3" s="23" t="str">
        <f>ROUNDUP(ABS(B3-H3),3) &amp; " ± " &amp; ROUNDUP(ABS(C3-I3),3)</f>
        <v>0,5 ± 0,01</v>
      </c>
      <c r="K3" s="23" t="str">
        <f>ROUNDUP(ABS(B3-H3)/B3*100,3) &amp; " ± " &amp; ROUNDUP(ABS(C3-I3)/B3*100,3)</f>
        <v>50 ± 1</v>
      </c>
      <c r="L3" s="24">
        <v>0.95</v>
      </c>
      <c r="M3" s="24">
        <v>2E-3</v>
      </c>
      <c r="N3" s="24" t="str">
        <f>ROUNDUP(ABS(B3-L3),3) &amp; " ± " &amp; ROUNDUP(ABS(C3-M3),3)</f>
        <v>0,05 ± 0,002</v>
      </c>
      <c r="O3" s="24" t="str">
        <f>ROUNDUP(ABS(B3-L3)/B3*100,3) &amp; " ± " &amp; ROUNDUP(ABS(C3-M3)/B3*100,3)</f>
        <v>5 ± 0,2</v>
      </c>
      <c r="Q3" s="20" cm="1">
        <f t="array" ref="Q3">PointMin3(ABS(B3-D3)+ABS(C3-E3),ABS(B3-H3)+ABS(C3-I3),ABS(B3-L3)+ABS(C3-M3),ABS(B3-D3)+ABS(C3-E3))</f>
        <v>2</v>
      </c>
      <c r="R3" s="20" cm="1">
        <f t="array" ref="R3">PointMin3(ABS(B3-D3)+ABS(C3-E3),ABS(B3-H3)+ABS(C3-I3),ABS(B3-L3)+ABS(C3-M3),ABS(B3-H3)+ABS(C3-I3))</f>
        <v>1</v>
      </c>
      <c r="S3" s="20" cm="1">
        <f t="array" ref="S3">PointMin3(ABS(B3-D3)+ABS(C3-E3),ABS(B3-H3)+ABS(C3-I3),ABS(B3-L3)+ABS(C3-M3),ABS(B3-L3)+ABS(C3-M3))</f>
        <v>3</v>
      </c>
      <c r="U3" s="20">
        <f>SUM(Q:S)</f>
        <v>21</v>
      </c>
      <c r="V3" s="20">
        <f>SUM(Q:Q)</f>
        <v>7</v>
      </c>
      <c r="W3" s="20">
        <f>SUM(R:R)</f>
        <v>6</v>
      </c>
      <c r="X3" s="20">
        <f>SUM(S:S)</f>
        <v>8</v>
      </c>
    </row>
    <row r="4" spans="1:24" x14ac:dyDescent="0.3">
      <c r="A4" s="99">
        <f>A3+1</f>
        <v>2</v>
      </c>
      <c r="B4" s="70">
        <v>-1</v>
      </c>
      <c r="C4" s="21">
        <v>-1</v>
      </c>
      <c r="D4" s="1">
        <v>-1</v>
      </c>
      <c r="E4" s="1">
        <v>-1</v>
      </c>
      <c r="F4" s="22" t="str">
        <f t="shared" ref="F4:F8" si="0">ROUNDUP(ABS(B4-D4),3) &amp; " ± " &amp; ROUNDUP(ABS(C4-E4),3)</f>
        <v>0 ± 0</v>
      </c>
      <c r="G4" s="22" t="str">
        <f t="shared" ref="G4:G8" si="1">ROUNDUP(ABS(B4-D4)/B4*100,3) &amp; " ± " &amp; ROUNDUP(ABS(C4-E4)/B4*100,3)</f>
        <v>0 ± 0</v>
      </c>
      <c r="H4" s="14">
        <v>-1</v>
      </c>
      <c r="I4" s="14">
        <v>-1</v>
      </c>
      <c r="J4" s="23" t="str">
        <f t="shared" ref="J4:J8" si="2">ROUNDUP(ABS(B4-H4),3) &amp; " ± " &amp; ROUNDUP(ABS(C4-I4),3)</f>
        <v>0 ± 0</v>
      </c>
      <c r="K4" s="23" t="str">
        <f t="shared" ref="K4:K8" si="3">ROUNDUP(ABS(B4-H4)/B4*100,3) &amp; " ± " &amp; ROUNDUP(ABS(C4-I4)/B4*100,3)</f>
        <v>0 ± 0</v>
      </c>
      <c r="L4" s="19">
        <v>-1</v>
      </c>
      <c r="M4" s="19">
        <v>-1</v>
      </c>
      <c r="N4" s="24" t="str">
        <f>ROUNDUP(ABS(B4-L4),3) &amp; " ± " &amp; ROUNDUP(ABS(C4-M4),3)</f>
        <v>0 ± 0</v>
      </c>
      <c r="O4" s="24" t="str">
        <f>ROUNDUP(ABS(B4-L4)/B4*100,3) &amp; " ± " &amp; ROUNDUP(ABS(C4-M4)/B4*100,3)</f>
        <v>0 ± 0</v>
      </c>
      <c r="Q4" s="20" cm="1">
        <f t="array" ref="Q4">PointMin3(ABS(B4-D4)+ABS(C4-E4),ABS(B4-H4)+ABS(C4-I4),ABS(B4-L4)+ABS(C4-M4),ABS(B4-D4)+ABS(C4-E4))</f>
        <v>1</v>
      </c>
      <c r="R4" s="20" cm="1">
        <f t="array" ref="R4">PointMin3(ABS(B4-D4)+ABS(C4-E4),ABS(B4-H4)+ABS(C4-I4),ABS(B4-L4)+ABS(C4-M4),ABS(B4-H4)+ABS(C4-I4))</f>
        <v>1</v>
      </c>
      <c r="S4" s="20" cm="1">
        <f t="array" ref="S4">PointMin3(ABS(B4-D4)+ABS(C4-E4),ABS(B4-H4)+ABS(C4-I4),ABS(B4-L4)+ABS(C4-M4),ABS(B4-L4)+ABS(C4-M4))</f>
        <v>1</v>
      </c>
    </row>
    <row r="5" spans="1:24" x14ac:dyDescent="0.3">
      <c r="A5" s="99">
        <f t="shared" ref="A5:A68" si="4">A4+1</f>
        <v>3</v>
      </c>
      <c r="B5" s="70">
        <v>-1</v>
      </c>
      <c r="C5" s="21">
        <v>-1</v>
      </c>
      <c r="D5" s="1">
        <v>-1</v>
      </c>
      <c r="E5" s="1">
        <v>-1</v>
      </c>
      <c r="F5" s="22" t="str">
        <f t="shared" si="0"/>
        <v>0 ± 0</v>
      </c>
      <c r="G5" s="22" t="str">
        <f t="shared" si="1"/>
        <v>0 ± 0</v>
      </c>
      <c r="H5" s="14">
        <v>-1</v>
      </c>
      <c r="I5" s="14">
        <v>-1</v>
      </c>
      <c r="J5" s="23" t="str">
        <f t="shared" si="2"/>
        <v>0 ± 0</v>
      </c>
      <c r="K5" s="23" t="str">
        <f t="shared" si="3"/>
        <v>0 ± 0</v>
      </c>
      <c r="L5" s="19">
        <v>-1</v>
      </c>
      <c r="M5" s="19">
        <v>-1</v>
      </c>
      <c r="N5" s="24" t="str">
        <f t="shared" ref="N5:N8" si="5">ROUNDUP(ABS(B5-L5),3) &amp; " ± " &amp; ROUNDUP(ABS(C5-M5),3)</f>
        <v>0 ± 0</v>
      </c>
      <c r="O5" s="24" t="str">
        <f t="shared" ref="O5:O8" si="6">ROUNDUP(ABS(B5-L5)/B5*100,3) &amp; " ± " &amp; ROUNDUP(ABS(C5-M5)/B5*100,3)</f>
        <v>0 ± 0</v>
      </c>
      <c r="Q5" s="20" cm="1">
        <f t="array" ref="Q5">PointMin3(ABS(B5-D5)+ABS(C5-E5),ABS(B5-H5)+ABS(C5-I5),ABS(B5-L5)+ABS(C5-M5),ABS(B5-D5)+ABS(C5-E5))</f>
        <v>1</v>
      </c>
      <c r="R5" s="20" cm="1">
        <f t="array" ref="R5">PointMin3(ABS(B5-D5)+ABS(C5-E5),ABS(B5-H5)+ABS(C5-I5),ABS(B5-L5)+ABS(C5-M5),ABS(B5-H5)+ABS(C5-I5))</f>
        <v>1</v>
      </c>
      <c r="S5" s="20" cm="1">
        <f t="array" ref="S5">PointMin3(ABS(B5-D5)+ABS(C5-E5),ABS(B5-H5)+ABS(C5-I5),ABS(B5-L5)+ABS(C5-M5),ABS(B5-L5)+ABS(C5-M5))</f>
        <v>1</v>
      </c>
    </row>
    <row r="6" spans="1:24" x14ac:dyDescent="0.3">
      <c r="A6" s="99">
        <f t="shared" si="4"/>
        <v>4</v>
      </c>
      <c r="B6" s="70">
        <v>-1</v>
      </c>
      <c r="C6" s="21">
        <v>-1</v>
      </c>
      <c r="D6" s="1">
        <v>-1</v>
      </c>
      <c r="E6" s="1">
        <v>-1</v>
      </c>
      <c r="F6" s="22" t="str">
        <f t="shared" si="0"/>
        <v>0 ± 0</v>
      </c>
      <c r="G6" s="22" t="str">
        <f t="shared" si="1"/>
        <v>0 ± 0</v>
      </c>
      <c r="H6" s="14">
        <v>-1</v>
      </c>
      <c r="I6" s="14">
        <v>-1</v>
      </c>
      <c r="J6" s="23" t="str">
        <f t="shared" si="2"/>
        <v>0 ± 0</v>
      </c>
      <c r="K6" s="23" t="str">
        <f t="shared" si="3"/>
        <v>0 ± 0</v>
      </c>
      <c r="L6" s="19">
        <v>-1</v>
      </c>
      <c r="M6" s="19">
        <v>-1</v>
      </c>
      <c r="N6" s="24" t="str">
        <f t="shared" si="5"/>
        <v>0 ± 0</v>
      </c>
      <c r="O6" s="24" t="str">
        <f t="shared" si="6"/>
        <v>0 ± 0</v>
      </c>
      <c r="Q6" s="20" cm="1">
        <f t="array" ref="Q6">PointMin3(ABS(B6-D6)+ABS(C6-E6),ABS(B6-H6)+ABS(C6-I6),ABS(B6-L6)+ABS(C6-M6),ABS(B6-D6)+ABS(C6-E6))</f>
        <v>1</v>
      </c>
      <c r="R6" s="20" cm="1">
        <f t="array" ref="R6">PointMin3(ABS(B6-D6)+ABS(C6-E6),ABS(B6-H6)+ABS(C6-I6),ABS(B6-L6)+ABS(C6-M6),ABS(B6-H6)+ABS(C6-I6))</f>
        <v>1</v>
      </c>
      <c r="S6" s="20" cm="1">
        <f t="array" ref="S6">PointMin3(ABS(B6-D6)+ABS(C6-E6),ABS(B6-H6)+ABS(C6-I6),ABS(B6-L6)+ABS(C6-M6),ABS(B6-L6)+ABS(C6-M6))</f>
        <v>1</v>
      </c>
    </row>
    <row r="7" spans="1:24" x14ac:dyDescent="0.3">
      <c r="A7" s="99">
        <f t="shared" si="4"/>
        <v>5</v>
      </c>
      <c r="B7" s="70">
        <v>-1</v>
      </c>
      <c r="C7" s="21">
        <v>-1</v>
      </c>
      <c r="D7" s="1">
        <v>-1</v>
      </c>
      <c r="E7" s="1">
        <v>-1</v>
      </c>
      <c r="F7" s="22" t="str">
        <f t="shared" si="0"/>
        <v>0 ± 0</v>
      </c>
      <c r="G7" s="22" t="str">
        <f t="shared" si="1"/>
        <v>0 ± 0</v>
      </c>
      <c r="H7" s="14">
        <v>-1</v>
      </c>
      <c r="I7" s="14">
        <v>-1</v>
      </c>
      <c r="J7" s="23" t="str">
        <f t="shared" si="2"/>
        <v>0 ± 0</v>
      </c>
      <c r="K7" s="23" t="str">
        <f t="shared" si="3"/>
        <v>0 ± 0</v>
      </c>
      <c r="L7" s="19">
        <v>-1</v>
      </c>
      <c r="M7" s="19">
        <v>-1</v>
      </c>
      <c r="N7" s="24" t="str">
        <f t="shared" si="5"/>
        <v>0 ± 0</v>
      </c>
      <c r="O7" s="24" t="str">
        <f t="shared" si="6"/>
        <v>0 ± 0</v>
      </c>
      <c r="Q7" s="20" cm="1">
        <f t="array" ref="Q7">PointMin3(ABS(B7-D7)+ABS(C7-E7),ABS(B7-H7)+ABS(C7-I7),ABS(B7-L7)+ABS(C7-M7),ABS(B7-D7)+ABS(C7-E7))</f>
        <v>1</v>
      </c>
      <c r="R7" s="20" cm="1">
        <f t="array" ref="R7">PointMin3(ABS(B7-D7)+ABS(C7-E7),ABS(B7-H7)+ABS(C7-I7),ABS(B7-L7)+ABS(C7-M7),ABS(B7-H7)+ABS(C7-I7))</f>
        <v>1</v>
      </c>
      <c r="S7" s="20" cm="1">
        <f t="array" ref="S7">PointMin3(ABS(B7-D7)+ABS(C7-E7),ABS(B7-H7)+ABS(C7-I7),ABS(B7-L7)+ABS(C7-M7),ABS(B7-L7)+ABS(C7-M7))</f>
        <v>1</v>
      </c>
    </row>
    <row r="8" spans="1:24" x14ac:dyDescent="0.3">
      <c r="A8" s="100">
        <f t="shared" si="4"/>
        <v>6</v>
      </c>
      <c r="B8" s="70">
        <f>[1]Кг_s12!D7</f>
        <v>1</v>
      </c>
      <c r="C8" s="21">
        <f>[1]Кг_s12!I7</f>
        <v>0</v>
      </c>
      <c r="F8" s="22" t="str">
        <f t="shared" si="0"/>
        <v>1 ± 0</v>
      </c>
      <c r="G8" s="22" t="str">
        <f t="shared" si="1"/>
        <v>100 ± 0</v>
      </c>
      <c r="J8" s="23" t="str">
        <f t="shared" si="2"/>
        <v>1 ± 0</v>
      </c>
      <c r="K8" s="23" t="str">
        <f t="shared" si="3"/>
        <v>100 ± 0</v>
      </c>
      <c r="N8" s="24" t="str">
        <f t="shared" si="5"/>
        <v>1 ± 0</v>
      </c>
      <c r="O8" s="24" t="str">
        <f t="shared" si="6"/>
        <v>100 ± 0</v>
      </c>
      <c r="Q8" s="20" cm="1">
        <f t="array" ref="Q8">PointMin3(ABS(B8-D8)+ABS(C8-E8),ABS(B8-H8)+ABS(C8-I8),ABS(B8-L8)+ABS(C8-M8),ABS(B8-D8)+ABS(C8-E8))</f>
        <v>1</v>
      </c>
      <c r="R8" s="20" cm="1">
        <f t="array" ref="R8">PointMin3(ABS(B8-D8)+ABS(C8-E8),ABS(B8-H8)+ABS(C8-I8),ABS(B8-L8)+ABS(C8-M8),ABS(B8-H8)+ABS(C8-I8))</f>
        <v>1</v>
      </c>
      <c r="S8" s="20" cm="1">
        <f t="array" ref="S8">PointMin3(ABS(B8-D8)+ABS(C8-E8),ABS(B8-H8)+ABS(C8-I8),ABS(B8-L8)+ABS(C8-M8),ABS(B8-L8)+ABS(C8-M8))</f>
        <v>1</v>
      </c>
    </row>
    <row r="9" spans="1:24" x14ac:dyDescent="0.3">
      <c r="A9" s="99">
        <f t="shared" si="4"/>
        <v>7</v>
      </c>
    </row>
    <row r="10" spans="1:24" x14ac:dyDescent="0.3">
      <c r="A10" s="99">
        <f t="shared" si="4"/>
        <v>8</v>
      </c>
      <c r="U10" s="36"/>
    </row>
    <row r="11" spans="1:24" x14ac:dyDescent="0.3">
      <c r="A11" s="99">
        <f t="shared" si="4"/>
        <v>9</v>
      </c>
    </row>
    <row r="12" spans="1:24" x14ac:dyDescent="0.3">
      <c r="A12" s="99">
        <f t="shared" si="4"/>
        <v>10</v>
      </c>
    </row>
    <row r="13" spans="1:24" x14ac:dyDescent="0.3">
      <c r="A13" s="100">
        <f t="shared" si="4"/>
        <v>11</v>
      </c>
    </row>
    <row r="14" spans="1:24" x14ac:dyDescent="0.3">
      <c r="A14" s="99">
        <f t="shared" si="4"/>
        <v>12</v>
      </c>
    </row>
    <row r="15" spans="1:24" x14ac:dyDescent="0.3">
      <c r="A15" s="99">
        <f t="shared" si="4"/>
        <v>13</v>
      </c>
    </row>
    <row r="16" spans="1:24" x14ac:dyDescent="0.3">
      <c r="A16" s="99">
        <f t="shared" si="4"/>
        <v>14</v>
      </c>
    </row>
    <row r="17" spans="1:1" x14ac:dyDescent="0.3">
      <c r="A17" s="99">
        <f t="shared" si="4"/>
        <v>15</v>
      </c>
    </row>
    <row r="18" spans="1:1" x14ac:dyDescent="0.3">
      <c r="A18" s="100">
        <f t="shared" si="4"/>
        <v>16</v>
      </c>
    </row>
    <row r="19" spans="1:1" x14ac:dyDescent="0.3">
      <c r="A19" s="99">
        <f t="shared" si="4"/>
        <v>17</v>
      </c>
    </row>
    <row r="20" spans="1:1" x14ac:dyDescent="0.3">
      <c r="A20" s="99">
        <f t="shared" si="4"/>
        <v>18</v>
      </c>
    </row>
    <row r="21" spans="1:1" x14ac:dyDescent="0.3">
      <c r="A21" s="99">
        <f t="shared" si="4"/>
        <v>19</v>
      </c>
    </row>
    <row r="22" spans="1:1" x14ac:dyDescent="0.3">
      <c r="A22" s="99">
        <f t="shared" si="4"/>
        <v>20</v>
      </c>
    </row>
    <row r="23" spans="1:1" x14ac:dyDescent="0.3">
      <c r="A23" s="100">
        <f t="shared" si="4"/>
        <v>21</v>
      </c>
    </row>
    <row r="24" spans="1:1" x14ac:dyDescent="0.3">
      <c r="A24" s="67">
        <f t="shared" si="4"/>
        <v>22</v>
      </c>
    </row>
    <row r="25" spans="1:1" x14ac:dyDescent="0.3">
      <c r="A25" s="67">
        <f t="shared" si="4"/>
        <v>23</v>
      </c>
    </row>
    <row r="26" spans="1:1" x14ac:dyDescent="0.3">
      <c r="A26" s="67">
        <f t="shared" si="4"/>
        <v>24</v>
      </c>
    </row>
    <row r="27" spans="1:1" x14ac:dyDescent="0.3">
      <c r="A27" s="67">
        <f t="shared" si="4"/>
        <v>25</v>
      </c>
    </row>
    <row r="28" spans="1:1" x14ac:dyDescent="0.3">
      <c r="A28" s="100">
        <f t="shared" si="4"/>
        <v>26</v>
      </c>
    </row>
    <row r="29" spans="1:1" x14ac:dyDescent="0.3">
      <c r="A29" s="67">
        <f t="shared" si="4"/>
        <v>27</v>
      </c>
    </row>
    <row r="30" spans="1:1" x14ac:dyDescent="0.3">
      <c r="A30" s="67">
        <f t="shared" si="4"/>
        <v>28</v>
      </c>
    </row>
    <row r="31" spans="1:1" x14ac:dyDescent="0.3">
      <c r="A31" s="67">
        <f t="shared" si="4"/>
        <v>29</v>
      </c>
    </row>
    <row r="32" spans="1:1" x14ac:dyDescent="0.3">
      <c r="A32" s="67">
        <f t="shared" si="4"/>
        <v>30</v>
      </c>
    </row>
    <row r="33" spans="1:1" x14ac:dyDescent="0.3">
      <c r="A33" s="100">
        <f t="shared" si="4"/>
        <v>31</v>
      </c>
    </row>
    <row r="34" spans="1:1" x14ac:dyDescent="0.3">
      <c r="A34" s="67">
        <f t="shared" si="4"/>
        <v>32</v>
      </c>
    </row>
    <row r="35" spans="1:1" x14ac:dyDescent="0.3">
      <c r="A35" s="67">
        <f t="shared" si="4"/>
        <v>33</v>
      </c>
    </row>
    <row r="36" spans="1:1" x14ac:dyDescent="0.3">
      <c r="A36" s="67">
        <f t="shared" si="4"/>
        <v>34</v>
      </c>
    </row>
    <row r="37" spans="1:1" x14ac:dyDescent="0.3">
      <c r="A37" s="67">
        <f t="shared" si="4"/>
        <v>35</v>
      </c>
    </row>
    <row r="38" spans="1:1" x14ac:dyDescent="0.3">
      <c r="A38" s="100">
        <f t="shared" si="4"/>
        <v>36</v>
      </c>
    </row>
    <row r="39" spans="1:1" x14ac:dyDescent="0.3">
      <c r="A39" s="67">
        <f t="shared" si="4"/>
        <v>37</v>
      </c>
    </row>
    <row r="40" spans="1:1" x14ac:dyDescent="0.3">
      <c r="A40" s="67">
        <f t="shared" si="4"/>
        <v>38</v>
      </c>
    </row>
    <row r="41" spans="1:1" x14ac:dyDescent="0.3">
      <c r="A41" s="67">
        <f t="shared" si="4"/>
        <v>39</v>
      </c>
    </row>
    <row r="42" spans="1:1" x14ac:dyDescent="0.3">
      <c r="A42" s="67">
        <f t="shared" si="4"/>
        <v>40</v>
      </c>
    </row>
    <row r="43" spans="1:1" x14ac:dyDescent="0.3">
      <c r="A43" s="100">
        <f t="shared" si="4"/>
        <v>41</v>
      </c>
    </row>
    <row r="44" spans="1:1" x14ac:dyDescent="0.3">
      <c r="A44" s="99">
        <f t="shared" si="4"/>
        <v>42</v>
      </c>
    </row>
    <row r="45" spans="1:1" x14ac:dyDescent="0.3">
      <c r="A45" s="99">
        <f t="shared" si="4"/>
        <v>43</v>
      </c>
    </row>
    <row r="46" spans="1:1" x14ac:dyDescent="0.3">
      <c r="A46" s="99">
        <f t="shared" si="4"/>
        <v>44</v>
      </c>
    </row>
    <row r="47" spans="1:1" x14ac:dyDescent="0.3">
      <c r="A47" s="99">
        <f t="shared" si="4"/>
        <v>45</v>
      </c>
    </row>
    <row r="48" spans="1:1" x14ac:dyDescent="0.3">
      <c r="A48" s="100">
        <f t="shared" si="4"/>
        <v>46</v>
      </c>
    </row>
    <row r="49" spans="1:1" x14ac:dyDescent="0.3">
      <c r="A49" s="99">
        <f t="shared" si="4"/>
        <v>47</v>
      </c>
    </row>
    <row r="50" spans="1:1" x14ac:dyDescent="0.3">
      <c r="A50" s="67">
        <f t="shared" si="4"/>
        <v>48</v>
      </c>
    </row>
    <row r="51" spans="1:1" x14ac:dyDescent="0.3">
      <c r="A51" s="67">
        <f t="shared" si="4"/>
        <v>49</v>
      </c>
    </row>
    <row r="52" spans="1:1" x14ac:dyDescent="0.3">
      <c r="A52" s="67">
        <f t="shared" si="4"/>
        <v>50</v>
      </c>
    </row>
    <row r="53" spans="1:1" x14ac:dyDescent="0.3">
      <c r="A53" s="100">
        <f t="shared" si="4"/>
        <v>51</v>
      </c>
    </row>
    <row r="54" spans="1:1" x14ac:dyDescent="0.3">
      <c r="A54" s="100">
        <f t="shared" si="4"/>
        <v>52</v>
      </c>
    </row>
    <row r="55" spans="1:1" x14ac:dyDescent="0.3">
      <c r="A55" s="67">
        <f t="shared" si="4"/>
        <v>53</v>
      </c>
    </row>
    <row r="56" spans="1:1" x14ac:dyDescent="0.3">
      <c r="A56" s="67">
        <f t="shared" si="4"/>
        <v>54</v>
      </c>
    </row>
    <row r="57" spans="1:1" x14ac:dyDescent="0.3">
      <c r="A57" s="67">
        <f t="shared" si="4"/>
        <v>55</v>
      </c>
    </row>
    <row r="58" spans="1:1" x14ac:dyDescent="0.3">
      <c r="A58" s="100">
        <f t="shared" si="4"/>
        <v>56</v>
      </c>
    </row>
    <row r="59" spans="1:1" x14ac:dyDescent="0.3">
      <c r="A59" s="100">
        <f t="shared" si="4"/>
        <v>57</v>
      </c>
    </row>
    <row r="60" spans="1:1" x14ac:dyDescent="0.3">
      <c r="A60" s="67">
        <f t="shared" si="4"/>
        <v>58</v>
      </c>
    </row>
    <row r="61" spans="1:1" x14ac:dyDescent="0.3">
      <c r="A61" s="67">
        <f t="shared" si="4"/>
        <v>59</v>
      </c>
    </row>
    <row r="62" spans="1:1" x14ac:dyDescent="0.3">
      <c r="A62" s="67">
        <f t="shared" si="4"/>
        <v>60</v>
      </c>
    </row>
    <row r="63" spans="1:1" x14ac:dyDescent="0.3">
      <c r="A63" s="101">
        <f t="shared" si="4"/>
        <v>61</v>
      </c>
    </row>
    <row r="64" spans="1:1" x14ac:dyDescent="0.3">
      <c r="A64" s="99">
        <f t="shared" si="4"/>
        <v>62</v>
      </c>
    </row>
    <row r="65" spans="1:1" x14ac:dyDescent="0.3">
      <c r="A65" s="99">
        <f t="shared" si="4"/>
        <v>63</v>
      </c>
    </row>
    <row r="66" spans="1:1" x14ac:dyDescent="0.3">
      <c r="A66" s="99">
        <f t="shared" si="4"/>
        <v>64</v>
      </c>
    </row>
    <row r="67" spans="1:1" x14ac:dyDescent="0.3">
      <c r="A67" s="99">
        <f t="shared" si="4"/>
        <v>65</v>
      </c>
    </row>
    <row r="68" spans="1:1" x14ac:dyDescent="0.3">
      <c r="A68" s="100">
        <f t="shared" si="4"/>
        <v>66</v>
      </c>
    </row>
    <row r="69" spans="1:1" x14ac:dyDescent="0.3">
      <c r="A69" s="99">
        <f t="shared" ref="A69:A132" si="7">A68+1</f>
        <v>67</v>
      </c>
    </row>
    <row r="70" spans="1:1" x14ac:dyDescent="0.3">
      <c r="A70" s="99">
        <f t="shared" si="7"/>
        <v>68</v>
      </c>
    </row>
    <row r="71" spans="1:1" x14ac:dyDescent="0.3">
      <c r="A71" s="99">
        <f t="shared" si="7"/>
        <v>69</v>
      </c>
    </row>
    <row r="72" spans="1:1" x14ac:dyDescent="0.3">
      <c r="A72" s="99">
        <f t="shared" si="7"/>
        <v>70</v>
      </c>
    </row>
    <row r="73" spans="1:1" x14ac:dyDescent="0.3">
      <c r="A73" s="100">
        <f t="shared" si="7"/>
        <v>71</v>
      </c>
    </row>
    <row r="74" spans="1:1" x14ac:dyDescent="0.3">
      <c r="A74" s="99">
        <f t="shared" si="7"/>
        <v>72</v>
      </c>
    </row>
    <row r="75" spans="1:1" x14ac:dyDescent="0.3">
      <c r="A75" s="99">
        <f t="shared" si="7"/>
        <v>73</v>
      </c>
    </row>
    <row r="76" spans="1:1" x14ac:dyDescent="0.3">
      <c r="A76" s="99">
        <f t="shared" si="7"/>
        <v>74</v>
      </c>
    </row>
    <row r="77" spans="1:1" x14ac:dyDescent="0.3">
      <c r="A77" s="99">
        <f t="shared" si="7"/>
        <v>75</v>
      </c>
    </row>
    <row r="78" spans="1:1" x14ac:dyDescent="0.3">
      <c r="A78" s="100">
        <f t="shared" si="7"/>
        <v>76</v>
      </c>
    </row>
    <row r="79" spans="1:1" x14ac:dyDescent="0.3">
      <c r="A79" s="99">
        <f t="shared" si="7"/>
        <v>77</v>
      </c>
    </row>
    <row r="80" spans="1:1" x14ac:dyDescent="0.3">
      <c r="A80" s="99">
        <f t="shared" si="7"/>
        <v>78</v>
      </c>
    </row>
    <row r="81" spans="1:1" x14ac:dyDescent="0.3">
      <c r="A81" s="99">
        <f t="shared" si="7"/>
        <v>79</v>
      </c>
    </row>
    <row r="82" spans="1:1" x14ac:dyDescent="0.3">
      <c r="A82" s="99">
        <f t="shared" si="7"/>
        <v>80</v>
      </c>
    </row>
    <row r="83" spans="1:1" x14ac:dyDescent="0.3">
      <c r="A83" s="99">
        <f t="shared" si="7"/>
        <v>81</v>
      </c>
    </row>
    <row r="84" spans="1:1" x14ac:dyDescent="0.3">
      <c r="A84" s="99">
        <f t="shared" si="7"/>
        <v>82</v>
      </c>
    </row>
    <row r="85" spans="1:1" x14ac:dyDescent="0.3">
      <c r="A85" s="99">
        <f t="shared" si="7"/>
        <v>83</v>
      </c>
    </row>
    <row r="86" spans="1:1" x14ac:dyDescent="0.3">
      <c r="A86" s="99">
        <f t="shared" si="7"/>
        <v>84</v>
      </c>
    </row>
    <row r="87" spans="1:1" x14ac:dyDescent="0.3">
      <c r="A87" s="99">
        <f t="shared" si="7"/>
        <v>85</v>
      </c>
    </row>
    <row r="88" spans="1:1" x14ac:dyDescent="0.3">
      <c r="A88" s="99">
        <f t="shared" si="7"/>
        <v>86</v>
      </c>
    </row>
    <row r="89" spans="1:1" x14ac:dyDescent="0.3">
      <c r="A89" s="99">
        <f t="shared" si="7"/>
        <v>87</v>
      </c>
    </row>
    <row r="90" spans="1:1" x14ac:dyDescent="0.3">
      <c r="A90" s="99">
        <f t="shared" si="7"/>
        <v>88</v>
      </c>
    </row>
    <row r="91" spans="1:1" x14ac:dyDescent="0.3">
      <c r="A91" s="99">
        <f t="shared" si="7"/>
        <v>89</v>
      </c>
    </row>
    <row r="92" spans="1:1" x14ac:dyDescent="0.3">
      <c r="A92" s="99">
        <f t="shared" si="7"/>
        <v>90</v>
      </c>
    </row>
    <row r="93" spans="1:1" x14ac:dyDescent="0.3">
      <c r="A93" s="99">
        <f t="shared" si="7"/>
        <v>91</v>
      </c>
    </row>
    <row r="94" spans="1:1" x14ac:dyDescent="0.3">
      <c r="A94" s="99">
        <f t="shared" si="7"/>
        <v>92</v>
      </c>
    </row>
    <row r="95" spans="1:1" x14ac:dyDescent="0.3">
      <c r="A95" s="99">
        <f t="shared" si="7"/>
        <v>93</v>
      </c>
    </row>
    <row r="96" spans="1:1" x14ac:dyDescent="0.3">
      <c r="A96" s="99">
        <f t="shared" si="7"/>
        <v>94</v>
      </c>
    </row>
    <row r="97" spans="1:1" x14ac:dyDescent="0.3">
      <c r="A97" s="99">
        <f t="shared" si="7"/>
        <v>95</v>
      </c>
    </row>
    <row r="98" spans="1:1" x14ac:dyDescent="0.3">
      <c r="A98" s="99">
        <f t="shared" si="7"/>
        <v>96</v>
      </c>
    </row>
    <row r="99" spans="1:1" x14ac:dyDescent="0.3">
      <c r="A99" s="99">
        <f t="shared" si="7"/>
        <v>97</v>
      </c>
    </row>
    <row r="100" spans="1:1" x14ac:dyDescent="0.3">
      <c r="A100" s="99">
        <f t="shared" si="7"/>
        <v>98</v>
      </c>
    </row>
    <row r="101" spans="1:1" x14ac:dyDescent="0.3">
      <c r="A101" s="99">
        <f t="shared" si="7"/>
        <v>99</v>
      </c>
    </row>
    <row r="102" spans="1:1" x14ac:dyDescent="0.3">
      <c r="A102" s="99">
        <f t="shared" si="7"/>
        <v>100</v>
      </c>
    </row>
    <row r="103" spans="1:1" x14ac:dyDescent="0.3">
      <c r="A103" s="99">
        <f t="shared" si="7"/>
        <v>101</v>
      </c>
    </row>
    <row r="104" spans="1:1" x14ac:dyDescent="0.3">
      <c r="A104" s="99">
        <f t="shared" si="7"/>
        <v>102</v>
      </c>
    </row>
    <row r="105" spans="1:1" x14ac:dyDescent="0.3">
      <c r="A105" s="99">
        <f t="shared" si="7"/>
        <v>103</v>
      </c>
    </row>
    <row r="106" spans="1:1" x14ac:dyDescent="0.3">
      <c r="A106" s="99">
        <f t="shared" si="7"/>
        <v>104</v>
      </c>
    </row>
    <row r="107" spans="1:1" x14ac:dyDescent="0.3">
      <c r="A107" s="99">
        <f t="shared" si="7"/>
        <v>105</v>
      </c>
    </row>
    <row r="108" spans="1:1" x14ac:dyDescent="0.3">
      <c r="A108" s="99">
        <f t="shared" si="7"/>
        <v>106</v>
      </c>
    </row>
    <row r="109" spans="1:1" x14ac:dyDescent="0.3">
      <c r="A109" s="99">
        <f t="shared" si="7"/>
        <v>107</v>
      </c>
    </row>
    <row r="110" spans="1:1" x14ac:dyDescent="0.3">
      <c r="A110" s="99">
        <f t="shared" si="7"/>
        <v>108</v>
      </c>
    </row>
    <row r="111" spans="1:1" x14ac:dyDescent="0.3">
      <c r="A111" s="99">
        <f t="shared" si="7"/>
        <v>109</v>
      </c>
    </row>
    <row r="112" spans="1:1" x14ac:dyDescent="0.3">
      <c r="A112" s="99">
        <f t="shared" si="7"/>
        <v>110</v>
      </c>
    </row>
    <row r="113" spans="1:1" x14ac:dyDescent="0.3">
      <c r="A113" s="99">
        <f t="shared" si="7"/>
        <v>111</v>
      </c>
    </row>
    <row r="114" spans="1:1" x14ac:dyDescent="0.3">
      <c r="A114" s="99">
        <f t="shared" si="7"/>
        <v>112</v>
      </c>
    </row>
    <row r="115" spans="1:1" x14ac:dyDescent="0.3">
      <c r="A115" s="99">
        <f t="shared" si="7"/>
        <v>113</v>
      </c>
    </row>
    <row r="116" spans="1:1" x14ac:dyDescent="0.3">
      <c r="A116" s="99">
        <f t="shared" si="7"/>
        <v>114</v>
      </c>
    </row>
    <row r="117" spans="1:1" x14ac:dyDescent="0.3">
      <c r="A117" s="99">
        <f t="shared" si="7"/>
        <v>115</v>
      </c>
    </row>
    <row r="118" spans="1:1" x14ac:dyDescent="0.3">
      <c r="A118" s="99">
        <f t="shared" si="7"/>
        <v>116</v>
      </c>
    </row>
    <row r="119" spans="1:1" x14ac:dyDescent="0.3">
      <c r="A119" s="99">
        <f t="shared" si="7"/>
        <v>117</v>
      </c>
    </row>
    <row r="120" spans="1:1" x14ac:dyDescent="0.3">
      <c r="A120" s="99">
        <f t="shared" si="7"/>
        <v>118</v>
      </c>
    </row>
    <row r="121" spans="1:1" x14ac:dyDescent="0.3">
      <c r="A121" s="99">
        <f t="shared" si="7"/>
        <v>119</v>
      </c>
    </row>
    <row r="122" spans="1:1" x14ac:dyDescent="0.3">
      <c r="A122" s="99">
        <f t="shared" si="7"/>
        <v>120</v>
      </c>
    </row>
    <row r="123" spans="1:1" x14ac:dyDescent="0.3">
      <c r="A123" s="99">
        <f t="shared" si="7"/>
        <v>121</v>
      </c>
    </row>
    <row r="124" spans="1:1" x14ac:dyDescent="0.3">
      <c r="A124" s="99">
        <f t="shared" si="7"/>
        <v>122</v>
      </c>
    </row>
    <row r="125" spans="1:1" x14ac:dyDescent="0.3">
      <c r="A125" s="99">
        <f t="shared" si="7"/>
        <v>123</v>
      </c>
    </row>
    <row r="126" spans="1:1" x14ac:dyDescent="0.3">
      <c r="A126" s="99">
        <f t="shared" si="7"/>
        <v>124</v>
      </c>
    </row>
    <row r="127" spans="1:1" x14ac:dyDescent="0.3">
      <c r="A127" s="99">
        <f t="shared" si="7"/>
        <v>125</v>
      </c>
    </row>
    <row r="128" spans="1:1" x14ac:dyDescent="0.3">
      <c r="A128" s="99">
        <f t="shared" si="7"/>
        <v>126</v>
      </c>
    </row>
    <row r="129" spans="1:1" x14ac:dyDescent="0.3">
      <c r="A129" s="99">
        <f t="shared" si="7"/>
        <v>127</v>
      </c>
    </row>
    <row r="130" spans="1:1" x14ac:dyDescent="0.3">
      <c r="A130" s="99">
        <f t="shared" si="7"/>
        <v>128</v>
      </c>
    </row>
    <row r="131" spans="1:1" x14ac:dyDescent="0.3">
      <c r="A131" s="99">
        <f t="shared" si="7"/>
        <v>129</v>
      </c>
    </row>
    <row r="132" spans="1:1" x14ac:dyDescent="0.3">
      <c r="A132" s="99">
        <f t="shared" si="7"/>
        <v>130</v>
      </c>
    </row>
    <row r="133" spans="1:1" x14ac:dyDescent="0.3">
      <c r="A133" s="99">
        <f t="shared" ref="A133:A162" si="8">A132+1</f>
        <v>131</v>
      </c>
    </row>
    <row r="134" spans="1:1" x14ac:dyDescent="0.3">
      <c r="A134" s="99">
        <f t="shared" si="8"/>
        <v>132</v>
      </c>
    </row>
    <row r="135" spans="1:1" x14ac:dyDescent="0.3">
      <c r="A135" s="99">
        <f t="shared" si="8"/>
        <v>133</v>
      </c>
    </row>
    <row r="136" spans="1:1" x14ac:dyDescent="0.3">
      <c r="A136" s="99">
        <f t="shared" si="8"/>
        <v>134</v>
      </c>
    </row>
    <row r="137" spans="1:1" x14ac:dyDescent="0.3">
      <c r="A137" s="99">
        <f t="shared" si="8"/>
        <v>135</v>
      </c>
    </row>
    <row r="138" spans="1:1" x14ac:dyDescent="0.3">
      <c r="A138" s="99">
        <f t="shared" si="8"/>
        <v>136</v>
      </c>
    </row>
    <row r="139" spans="1:1" x14ac:dyDescent="0.3">
      <c r="A139" s="99">
        <f t="shared" si="8"/>
        <v>137</v>
      </c>
    </row>
    <row r="140" spans="1:1" x14ac:dyDescent="0.3">
      <c r="A140" s="99">
        <f t="shared" si="8"/>
        <v>138</v>
      </c>
    </row>
    <row r="141" spans="1:1" x14ac:dyDescent="0.3">
      <c r="A141" s="99">
        <f t="shared" si="8"/>
        <v>139</v>
      </c>
    </row>
    <row r="142" spans="1:1" x14ac:dyDescent="0.3">
      <c r="A142" s="99">
        <f t="shared" si="8"/>
        <v>140</v>
      </c>
    </row>
    <row r="143" spans="1:1" x14ac:dyDescent="0.3">
      <c r="A143" s="99">
        <f t="shared" si="8"/>
        <v>141</v>
      </c>
    </row>
    <row r="144" spans="1:1" x14ac:dyDescent="0.3">
      <c r="A144" s="99">
        <f t="shared" si="8"/>
        <v>142</v>
      </c>
    </row>
    <row r="145" spans="1:1" x14ac:dyDescent="0.3">
      <c r="A145" s="99">
        <f t="shared" si="8"/>
        <v>143</v>
      </c>
    </row>
    <row r="146" spans="1:1" x14ac:dyDescent="0.3">
      <c r="A146" s="99">
        <f t="shared" si="8"/>
        <v>144</v>
      </c>
    </row>
    <row r="147" spans="1:1" x14ac:dyDescent="0.3">
      <c r="A147" s="99">
        <f t="shared" si="8"/>
        <v>145</v>
      </c>
    </row>
    <row r="148" spans="1:1" x14ac:dyDescent="0.3">
      <c r="A148" s="99">
        <f t="shared" si="8"/>
        <v>146</v>
      </c>
    </row>
    <row r="149" spans="1:1" x14ac:dyDescent="0.3">
      <c r="A149" s="99">
        <f t="shared" si="8"/>
        <v>147</v>
      </c>
    </row>
    <row r="150" spans="1:1" x14ac:dyDescent="0.3">
      <c r="A150" s="99">
        <f t="shared" si="8"/>
        <v>148</v>
      </c>
    </row>
    <row r="151" spans="1:1" x14ac:dyDescent="0.3">
      <c r="A151" s="99">
        <f t="shared" si="8"/>
        <v>149</v>
      </c>
    </row>
    <row r="152" spans="1:1" x14ac:dyDescent="0.3">
      <c r="A152" s="99">
        <f t="shared" si="8"/>
        <v>150</v>
      </c>
    </row>
    <row r="153" spans="1:1" x14ac:dyDescent="0.3">
      <c r="A153" s="99">
        <f t="shared" si="8"/>
        <v>151</v>
      </c>
    </row>
    <row r="154" spans="1:1" x14ac:dyDescent="0.3">
      <c r="A154" s="99">
        <f t="shared" si="8"/>
        <v>152</v>
      </c>
    </row>
    <row r="155" spans="1:1" x14ac:dyDescent="0.3">
      <c r="A155" s="99">
        <f t="shared" si="8"/>
        <v>153</v>
      </c>
    </row>
    <row r="156" spans="1:1" x14ac:dyDescent="0.3">
      <c r="A156" s="99">
        <f t="shared" si="8"/>
        <v>154</v>
      </c>
    </row>
    <row r="157" spans="1:1" x14ac:dyDescent="0.3">
      <c r="A157" s="99">
        <f t="shared" si="8"/>
        <v>155</v>
      </c>
    </row>
    <row r="158" spans="1:1" x14ac:dyDescent="0.3">
      <c r="A158" s="99">
        <f t="shared" si="8"/>
        <v>156</v>
      </c>
    </row>
    <row r="159" spans="1:1" x14ac:dyDescent="0.3">
      <c r="A159" s="99">
        <f t="shared" si="8"/>
        <v>157</v>
      </c>
    </row>
    <row r="160" spans="1:1" x14ac:dyDescent="0.3">
      <c r="A160" s="99">
        <f t="shared" si="8"/>
        <v>158</v>
      </c>
    </row>
    <row r="161" spans="1:1" x14ac:dyDescent="0.3">
      <c r="A161" s="99">
        <f t="shared" si="8"/>
        <v>159</v>
      </c>
    </row>
    <row r="162" spans="1:1" x14ac:dyDescent="0.3">
      <c r="A162" s="99">
        <f t="shared" si="8"/>
        <v>160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5132A-80C4-410D-A18F-1C32BE43DD94}">
  <sheetPr codeName="Лист12"/>
  <dimension ref="A1:S162"/>
  <sheetViews>
    <sheetView workbookViewId="0">
      <pane xSplit="1" topLeftCell="B1" activePane="topRight" state="frozen"/>
      <selection pane="topRight" activeCell="D14" sqref="D14"/>
    </sheetView>
  </sheetViews>
  <sheetFormatPr defaultRowHeight="14.4" x14ac:dyDescent="0.3"/>
  <cols>
    <col min="1" max="1" width="33.21875" style="99" customWidth="1"/>
    <col min="2" max="2" width="13.77734375" style="71" customWidth="1"/>
    <col min="3" max="3" width="12.6640625" style="5" customWidth="1"/>
    <col min="4" max="4" width="10.88671875" style="1" customWidth="1"/>
    <col min="5" max="5" width="10.21875" style="1" customWidth="1"/>
    <col min="6" max="6" width="12.33203125" style="14" customWidth="1"/>
    <col min="7" max="7" width="9.21875" style="14" customWidth="1"/>
    <col min="8" max="8" width="13.5546875" style="19" customWidth="1"/>
    <col min="9" max="9" width="11.44140625" style="19" customWidth="1"/>
    <col min="10" max="10" width="18" style="96" customWidth="1"/>
    <col min="11" max="11" width="18" style="30" customWidth="1"/>
    <col min="12" max="12" width="15" style="30" customWidth="1"/>
    <col min="13" max="13" width="14.88671875" style="30" customWidth="1"/>
    <col min="14" max="14" width="18.44140625" style="30" customWidth="1"/>
    <col min="15" max="15" width="17.44140625" style="6" customWidth="1"/>
    <col min="16" max="17" width="8.88671875" style="4"/>
    <col min="18" max="18" width="12" style="4" customWidth="1"/>
    <col min="19" max="19" width="13.21875" style="4" customWidth="1"/>
    <col min="20" max="16384" width="8.88671875" style="4"/>
  </cols>
  <sheetData>
    <row r="1" spans="1:19" s="2" customFormat="1" x14ac:dyDescent="0.3">
      <c r="A1" s="102" t="s">
        <v>48</v>
      </c>
      <c r="B1" s="68" t="s">
        <v>2</v>
      </c>
      <c r="C1" s="7"/>
      <c r="D1" s="9" t="s">
        <v>4</v>
      </c>
      <c r="E1" s="8"/>
      <c r="F1" s="11" t="s">
        <v>3</v>
      </c>
      <c r="G1" s="13"/>
      <c r="H1" s="16" t="s">
        <v>5</v>
      </c>
      <c r="I1" s="18"/>
      <c r="J1" s="93"/>
      <c r="K1" s="34" t="s">
        <v>2</v>
      </c>
      <c r="L1" s="34" t="s">
        <v>4</v>
      </c>
      <c r="M1" s="34" t="s">
        <v>3</v>
      </c>
      <c r="N1" s="34" t="s">
        <v>5</v>
      </c>
      <c r="O1" s="3"/>
      <c r="P1" s="2" t="s">
        <v>14</v>
      </c>
      <c r="Q1" s="2" t="s">
        <v>11</v>
      </c>
      <c r="R1" s="2" t="s">
        <v>12</v>
      </c>
      <c r="S1" s="2" t="s">
        <v>13</v>
      </c>
    </row>
    <row r="2" spans="1:19" s="25" customFormat="1" ht="15" thickBot="1" x14ac:dyDescent="0.35">
      <c r="A2" s="103"/>
      <c r="B2" s="69" t="s">
        <v>8</v>
      </c>
      <c r="C2" s="26" t="s">
        <v>9</v>
      </c>
      <c r="D2" s="27" t="s">
        <v>8</v>
      </c>
      <c r="E2" s="27" t="s">
        <v>9</v>
      </c>
      <c r="F2" s="28" t="s">
        <v>8</v>
      </c>
      <c r="G2" s="28" t="s">
        <v>9</v>
      </c>
      <c r="H2" s="29" t="s">
        <v>8</v>
      </c>
      <c r="I2" s="29" t="s">
        <v>10</v>
      </c>
      <c r="J2" s="94"/>
      <c r="K2" s="32"/>
      <c r="L2" s="32"/>
      <c r="M2" s="32"/>
      <c r="N2" s="32"/>
      <c r="O2" s="33"/>
    </row>
    <row r="3" spans="1:19" s="20" customFormat="1" x14ac:dyDescent="0.3">
      <c r="A3" s="98">
        <v>1</v>
      </c>
      <c r="B3" s="70">
        <f>[1]Время!G3</f>
        <v>155.23766666666668</v>
      </c>
      <c r="C3" s="21">
        <f>[1]Время!S3</f>
        <v>9.3975495196590479</v>
      </c>
      <c r="D3" s="22">
        <v>15</v>
      </c>
      <c r="E3" s="22">
        <v>2E-3</v>
      </c>
      <c r="F3" s="23">
        <v>20</v>
      </c>
      <c r="G3" s="23">
        <v>0.01</v>
      </c>
      <c r="H3" s="24">
        <v>60</v>
      </c>
      <c r="I3" s="24">
        <v>2E-3</v>
      </c>
      <c r="J3" s="95"/>
      <c r="K3" s="35" cm="1">
        <f t="array" ref="K3">PointMin4(B3+C3,D3+E3,F3+G3,H3+I3,B3+C3)</f>
        <v>1</v>
      </c>
      <c r="L3" s="35" cm="1">
        <f t="array" ref="L3">PointMin4(B3+C3,D3+E3,F3+G3,H3+I3,D3+E3)</f>
        <v>4</v>
      </c>
      <c r="M3" s="35" cm="1">
        <f t="array" ref="M3">PointMin4(B3+C3,D3+E3,F3+G3,H3+I3,F3+G3)</f>
        <v>3</v>
      </c>
      <c r="N3" s="35" cm="1">
        <f t="array" ref="N3">PointMin4(B3+C3,D3+E3,F3+G3,H3+I3,H3+I3)</f>
        <v>2</v>
      </c>
      <c r="O3" s="31"/>
      <c r="P3" s="35">
        <f>SUM(K:K)</f>
        <v>6</v>
      </c>
      <c r="Q3" s="35">
        <f>SUM(L:L)</f>
        <v>10</v>
      </c>
      <c r="R3" s="35">
        <f>SUM(M:M)</f>
        <v>9</v>
      </c>
      <c r="S3" s="35">
        <f>SUM(N:N)</f>
        <v>8</v>
      </c>
    </row>
    <row r="4" spans="1:19" x14ac:dyDescent="0.3">
      <c r="A4" s="99">
        <f>A3+1</f>
        <v>2</v>
      </c>
      <c r="B4" s="70">
        <v>-1</v>
      </c>
      <c r="C4" s="21">
        <v>-1</v>
      </c>
      <c r="D4" s="1">
        <v>-1</v>
      </c>
      <c r="E4" s="1">
        <v>-1</v>
      </c>
      <c r="F4" s="23">
        <v>-1</v>
      </c>
      <c r="G4" s="23">
        <v>-1</v>
      </c>
      <c r="H4" s="19">
        <v>-1</v>
      </c>
      <c r="I4" s="19">
        <v>-1</v>
      </c>
      <c r="J4" s="95"/>
      <c r="K4" s="35" cm="1">
        <f t="array" ref="K4">PointMin4(B4+C4,D4+E4,F4+G4,H4+I4,B4+C4)</f>
        <v>1</v>
      </c>
      <c r="L4" s="35" cm="1">
        <f t="array" ref="L4">PointMin4(B4+C4,D4+E4,F4+G4,H4+I4,D4+E4)</f>
        <v>1</v>
      </c>
      <c r="M4" s="35" cm="1">
        <f t="array" ref="M4">PointMin4(B4+C4,D4+E4,F4+G4,H4+I4,F4+G4)</f>
        <v>1</v>
      </c>
      <c r="N4" s="35" cm="1">
        <f t="array" ref="N4">PointMin4(B4+C4,D4+E4,F4+G4,H4+I4,H4+I4)</f>
        <v>1</v>
      </c>
      <c r="O4" s="31"/>
    </row>
    <row r="5" spans="1:19" x14ac:dyDescent="0.3">
      <c r="A5" s="99">
        <f t="shared" ref="A5:A68" si="0">A4+1</f>
        <v>3</v>
      </c>
      <c r="B5" s="70">
        <v>-1</v>
      </c>
      <c r="C5" s="21">
        <v>-1</v>
      </c>
      <c r="D5" s="1">
        <v>-1</v>
      </c>
      <c r="E5" s="1">
        <v>-1</v>
      </c>
      <c r="F5" s="23">
        <v>-1</v>
      </c>
      <c r="G5" s="23">
        <v>-1</v>
      </c>
      <c r="H5" s="19">
        <v>-1</v>
      </c>
      <c r="I5" s="19">
        <v>-1</v>
      </c>
      <c r="J5" s="95"/>
      <c r="K5" s="35" cm="1">
        <f t="array" ref="K5">PointMin4(B5+C5,D5+E5,F5+G5,H5+I5,B5+C5)</f>
        <v>1</v>
      </c>
      <c r="L5" s="35" cm="1">
        <f t="array" ref="L5">PointMin4(B5+C5,D5+E5,F5+G5,H5+I5,D5+E5)</f>
        <v>1</v>
      </c>
      <c r="M5" s="35" cm="1">
        <f t="array" ref="M5">PointMin4(B5+C5,D5+E5,F5+G5,H5+I5,F5+G5)</f>
        <v>1</v>
      </c>
      <c r="N5" s="35" cm="1">
        <f t="array" ref="N5">PointMin4(B5+C5,D5+E5,F5+G5,H5+I5,H5+I5)</f>
        <v>1</v>
      </c>
      <c r="O5" s="31"/>
    </row>
    <row r="6" spans="1:19" x14ac:dyDescent="0.3">
      <c r="A6" s="99">
        <f t="shared" si="0"/>
        <v>4</v>
      </c>
      <c r="B6" s="70">
        <v>-1</v>
      </c>
      <c r="C6" s="21">
        <v>-1</v>
      </c>
      <c r="D6" s="1">
        <v>-1</v>
      </c>
      <c r="E6" s="1">
        <v>-1</v>
      </c>
      <c r="F6" s="23">
        <v>-1</v>
      </c>
      <c r="G6" s="23">
        <v>-1</v>
      </c>
      <c r="H6" s="19">
        <v>-1</v>
      </c>
      <c r="I6" s="19">
        <v>-1</v>
      </c>
      <c r="J6" s="95"/>
      <c r="K6" s="35" cm="1">
        <f t="array" ref="K6">PointMin4(B6+C6,D6+E6,F6+G6,H6+I6,B6+C6)</f>
        <v>1</v>
      </c>
      <c r="L6" s="35" cm="1">
        <f t="array" ref="L6">PointMin4(B6+C6,D6+E6,F6+G6,H6+I6,D6+E6)</f>
        <v>1</v>
      </c>
      <c r="M6" s="35" cm="1">
        <f t="array" ref="M6">PointMin4(B6+C6,D6+E6,F6+G6,H6+I6,F6+G6)</f>
        <v>1</v>
      </c>
      <c r="N6" s="35" cm="1">
        <f t="array" ref="N6">PointMin4(B6+C6,D6+E6,F6+G6,H6+I6,H6+I6)</f>
        <v>1</v>
      </c>
      <c r="O6" s="31"/>
    </row>
    <row r="7" spans="1:19" x14ac:dyDescent="0.3">
      <c r="A7" s="99">
        <f t="shared" si="0"/>
        <v>5</v>
      </c>
      <c r="B7" s="70">
        <v>-1</v>
      </c>
      <c r="C7" s="21">
        <v>-1</v>
      </c>
      <c r="D7" s="1">
        <v>-1</v>
      </c>
      <c r="E7" s="1">
        <v>-1</v>
      </c>
      <c r="F7" s="23">
        <v>-1</v>
      </c>
      <c r="G7" s="23">
        <v>-1</v>
      </c>
      <c r="H7" s="19">
        <v>-1</v>
      </c>
      <c r="I7" s="19">
        <v>-1</v>
      </c>
      <c r="J7" s="95"/>
      <c r="K7" s="35" cm="1">
        <f t="array" ref="K7">PointMin4(B7+C7,D7+E7,F7+G7,H7+I7,B7+C7)</f>
        <v>1</v>
      </c>
      <c r="L7" s="35" cm="1">
        <f t="array" ref="L7">PointMin4(B7+C7,D7+E7,F7+G7,H7+I7,D7+E7)</f>
        <v>1</v>
      </c>
      <c r="M7" s="35" cm="1">
        <f t="array" ref="M7">PointMin4(B7+C7,D7+E7,F7+G7,H7+I7,F7+G7)</f>
        <v>1</v>
      </c>
      <c r="N7" s="35" cm="1">
        <f t="array" ref="N7">PointMin4(B7+C7,D7+E7,F7+G7,H7+I7,H7+I7)</f>
        <v>1</v>
      </c>
      <c r="O7" s="31"/>
    </row>
    <row r="8" spans="1:19" x14ac:dyDescent="0.3">
      <c r="A8" s="100">
        <f t="shared" si="0"/>
        <v>6</v>
      </c>
      <c r="B8" s="70">
        <f>[1]Время!G8</f>
        <v>146.49466666666669</v>
      </c>
      <c r="C8" s="21">
        <f>[1]Время!S8</f>
        <v>7.0440424038883762</v>
      </c>
      <c r="F8" s="23"/>
      <c r="G8" s="23"/>
      <c r="J8" s="95"/>
      <c r="K8" s="35" cm="1">
        <f t="array" ref="K8">PointMin4(B8+C8,D8+E8,F8+G8,H8+I8,B8+C8)</f>
        <v>1</v>
      </c>
      <c r="L8" s="35" cm="1">
        <f t="array" ref="L8">PointMin4(B8+C8,D8+E8,F8+G8,H8+I8,D8+E8)</f>
        <v>2</v>
      </c>
      <c r="M8" s="35" cm="1">
        <f t="array" ref="M8">PointMin4(B8+C8,D8+E8,F8+G8,H8+I8,F8+G8)</f>
        <v>2</v>
      </c>
      <c r="N8" s="35" cm="1">
        <f t="array" ref="N8">PointMin4(B8+C8,D8+E8,F8+G8,H8+I8,H8+I8)</f>
        <v>2</v>
      </c>
      <c r="O8" s="31"/>
    </row>
    <row r="9" spans="1:19" x14ac:dyDescent="0.3">
      <c r="A9" s="99">
        <f t="shared" si="0"/>
        <v>7</v>
      </c>
    </row>
    <row r="10" spans="1:19" x14ac:dyDescent="0.3">
      <c r="A10" s="99">
        <f t="shared" si="0"/>
        <v>8</v>
      </c>
    </row>
    <row r="11" spans="1:19" x14ac:dyDescent="0.3">
      <c r="A11" s="99">
        <f t="shared" si="0"/>
        <v>9</v>
      </c>
    </row>
    <row r="12" spans="1:19" x14ac:dyDescent="0.3">
      <c r="A12" s="99">
        <f t="shared" si="0"/>
        <v>10</v>
      </c>
    </row>
    <row r="13" spans="1:19" x14ac:dyDescent="0.3">
      <c r="A13" s="100">
        <f t="shared" si="0"/>
        <v>11</v>
      </c>
    </row>
    <row r="14" spans="1:19" x14ac:dyDescent="0.3">
      <c r="A14" s="99">
        <f t="shared" si="0"/>
        <v>12</v>
      </c>
    </row>
    <row r="15" spans="1:19" x14ac:dyDescent="0.3">
      <c r="A15" s="99">
        <f t="shared" si="0"/>
        <v>13</v>
      </c>
    </row>
    <row r="16" spans="1:19" x14ac:dyDescent="0.3">
      <c r="A16" s="99">
        <f t="shared" si="0"/>
        <v>14</v>
      </c>
    </row>
    <row r="17" spans="1:1" x14ac:dyDescent="0.3">
      <c r="A17" s="99">
        <f t="shared" si="0"/>
        <v>15</v>
      </c>
    </row>
    <row r="18" spans="1:1" x14ac:dyDescent="0.3">
      <c r="A18" s="100">
        <f t="shared" si="0"/>
        <v>16</v>
      </c>
    </row>
    <row r="19" spans="1:1" x14ac:dyDescent="0.3">
      <c r="A19" s="99">
        <f t="shared" si="0"/>
        <v>17</v>
      </c>
    </row>
    <row r="20" spans="1:1" x14ac:dyDescent="0.3">
      <c r="A20" s="99">
        <f t="shared" si="0"/>
        <v>18</v>
      </c>
    </row>
    <row r="21" spans="1:1" x14ac:dyDescent="0.3">
      <c r="A21" s="99">
        <f t="shared" si="0"/>
        <v>19</v>
      </c>
    </row>
    <row r="22" spans="1:1" x14ac:dyDescent="0.3">
      <c r="A22" s="99">
        <f t="shared" si="0"/>
        <v>20</v>
      </c>
    </row>
    <row r="23" spans="1:1" x14ac:dyDescent="0.3">
      <c r="A23" s="100">
        <f t="shared" si="0"/>
        <v>21</v>
      </c>
    </row>
    <row r="24" spans="1:1" x14ac:dyDescent="0.3">
      <c r="A24" s="67">
        <f t="shared" si="0"/>
        <v>22</v>
      </c>
    </row>
    <row r="25" spans="1:1" x14ac:dyDescent="0.3">
      <c r="A25" s="67">
        <f t="shared" si="0"/>
        <v>23</v>
      </c>
    </row>
    <row r="26" spans="1:1" x14ac:dyDescent="0.3">
      <c r="A26" s="67">
        <f t="shared" si="0"/>
        <v>24</v>
      </c>
    </row>
    <row r="27" spans="1:1" x14ac:dyDescent="0.3">
      <c r="A27" s="67">
        <f t="shared" si="0"/>
        <v>25</v>
      </c>
    </row>
    <row r="28" spans="1:1" x14ac:dyDescent="0.3">
      <c r="A28" s="100">
        <f t="shared" si="0"/>
        <v>26</v>
      </c>
    </row>
    <row r="29" spans="1:1" x14ac:dyDescent="0.3">
      <c r="A29" s="67">
        <f t="shared" si="0"/>
        <v>27</v>
      </c>
    </row>
    <row r="30" spans="1:1" x14ac:dyDescent="0.3">
      <c r="A30" s="67">
        <f t="shared" si="0"/>
        <v>28</v>
      </c>
    </row>
    <row r="31" spans="1:1" x14ac:dyDescent="0.3">
      <c r="A31" s="67">
        <f t="shared" si="0"/>
        <v>29</v>
      </c>
    </row>
    <row r="32" spans="1:1" x14ac:dyDescent="0.3">
      <c r="A32" s="67">
        <f t="shared" si="0"/>
        <v>30</v>
      </c>
    </row>
    <row r="33" spans="1:1" x14ac:dyDescent="0.3">
      <c r="A33" s="100">
        <f t="shared" si="0"/>
        <v>31</v>
      </c>
    </row>
    <row r="34" spans="1:1" x14ac:dyDescent="0.3">
      <c r="A34" s="67">
        <f t="shared" si="0"/>
        <v>32</v>
      </c>
    </row>
    <row r="35" spans="1:1" x14ac:dyDescent="0.3">
      <c r="A35" s="67">
        <f t="shared" si="0"/>
        <v>33</v>
      </c>
    </row>
    <row r="36" spans="1:1" x14ac:dyDescent="0.3">
      <c r="A36" s="67">
        <f t="shared" si="0"/>
        <v>34</v>
      </c>
    </row>
    <row r="37" spans="1:1" x14ac:dyDescent="0.3">
      <c r="A37" s="67">
        <f t="shared" si="0"/>
        <v>35</v>
      </c>
    </row>
    <row r="38" spans="1:1" x14ac:dyDescent="0.3">
      <c r="A38" s="100">
        <f t="shared" si="0"/>
        <v>36</v>
      </c>
    </row>
    <row r="39" spans="1:1" x14ac:dyDescent="0.3">
      <c r="A39" s="67">
        <f t="shared" si="0"/>
        <v>37</v>
      </c>
    </row>
    <row r="40" spans="1:1" x14ac:dyDescent="0.3">
      <c r="A40" s="67">
        <f t="shared" si="0"/>
        <v>38</v>
      </c>
    </row>
    <row r="41" spans="1:1" x14ac:dyDescent="0.3">
      <c r="A41" s="67">
        <f t="shared" si="0"/>
        <v>39</v>
      </c>
    </row>
    <row r="42" spans="1:1" x14ac:dyDescent="0.3">
      <c r="A42" s="67">
        <f t="shared" si="0"/>
        <v>40</v>
      </c>
    </row>
    <row r="43" spans="1:1" x14ac:dyDescent="0.3">
      <c r="A43" s="100">
        <f t="shared" si="0"/>
        <v>41</v>
      </c>
    </row>
    <row r="44" spans="1:1" x14ac:dyDescent="0.3">
      <c r="A44" s="99">
        <f t="shared" si="0"/>
        <v>42</v>
      </c>
    </row>
    <row r="45" spans="1:1" x14ac:dyDescent="0.3">
      <c r="A45" s="99">
        <f t="shared" si="0"/>
        <v>43</v>
      </c>
    </row>
    <row r="46" spans="1:1" x14ac:dyDescent="0.3">
      <c r="A46" s="99">
        <f t="shared" si="0"/>
        <v>44</v>
      </c>
    </row>
    <row r="47" spans="1:1" x14ac:dyDescent="0.3">
      <c r="A47" s="99">
        <f t="shared" si="0"/>
        <v>45</v>
      </c>
    </row>
    <row r="48" spans="1:1" x14ac:dyDescent="0.3">
      <c r="A48" s="100">
        <f t="shared" si="0"/>
        <v>46</v>
      </c>
    </row>
    <row r="49" spans="1:1" x14ac:dyDescent="0.3">
      <c r="A49" s="99">
        <f t="shared" si="0"/>
        <v>47</v>
      </c>
    </row>
    <row r="50" spans="1:1" x14ac:dyDescent="0.3">
      <c r="A50" s="67">
        <f t="shared" si="0"/>
        <v>48</v>
      </c>
    </row>
    <row r="51" spans="1:1" x14ac:dyDescent="0.3">
      <c r="A51" s="67">
        <f t="shared" si="0"/>
        <v>49</v>
      </c>
    </row>
    <row r="52" spans="1:1" x14ac:dyDescent="0.3">
      <c r="A52" s="67">
        <f t="shared" si="0"/>
        <v>50</v>
      </c>
    </row>
    <row r="53" spans="1:1" x14ac:dyDescent="0.3">
      <c r="A53" s="100">
        <f t="shared" si="0"/>
        <v>51</v>
      </c>
    </row>
    <row r="54" spans="1:1" x14ac:dyDescent="0.3">
      <c r="A54" s="100">
        <f t="shared" si="0"/>
        <v>52</v>
      </c>
    </row>
    <row r="55" spans="1:1" x14ac:dyDescent="0.3">
      <c r="A55" s="67">
        <f t="shared" si="0"/>
        <v>53</v>
      </c>
    </row>
    <row r="56" spans="1:1" x14ac:dyDescent="0.3">
      <c r="A56" s="67">
        <f t="shared" si="0"/>
        <v>54</v>
      </c>
    </row>
    <row r="57" spans="1:1" x14ac:dyDescent="0.3">
      <c r="A57" s="67">
        <f t="shared" si="0"/>
        <v>55</v>
      </c>
    </row>
    <row r="58" spans="1:1" x14ac:dyDescent="0.3">
      <c r="A58" s="100">
        <f t="shared" si="0"/>
        <v>56</v>
      </c>
    </row>
    <row r="59" spans="1:1" x14ac:dyDescent="0.3">
      <c r="A59" s="100">
        <f t="shared" si="0"/>
        <v>57</v>
      </c>
    </row>
    <row r="60" spans="1:1" x14ac:dyDescent="0.3">
      <c r="A60" s="67">
        <f t="shared" si="0"/>
        <v>58</v>
      </c>
    </row>
    <row r="61" spans="1:1" x14ac:dyDescent="0.3">
      <c r="A61" s="67">
        <f t="shared" si="0"/>
        <v>59</v>
      </c>
    </row>
    <row r="62" spans="1:1" x14ac:dyDescent="0.3">
      <c r="A62" s="67">
        <f t="shared" si="0"/>
        <v>60</v>
      </c>
    </row>
    <row r="63" spans="1:1" x14ac:dyDescent="0.3">
      <c r="A63" s="101">
        <f t="shared" si="0"/>
        <v>61</v>
      </c>
    </row>
    <row r="64" spans="1:1" x14ac:dyDescent="0.3">
      <c r="A64" s="99">
        <f t="shared" si="0"/>
        <v>62</v>
      </c>
    </row>
    <row r="65" spans="1:1" x14ac:dyDescent="0.3">
      <c r="A65" s="99">
        <f t="shared" si="0"/>
        <v>63</v>
      </c>
    </row>
    <row r="66" spans="1:1" x14ac:dyDescent="0.3">
      <c r="A66" s="99">
        <f t="shared" si="0"/>
        <v>64</v>
      </c>
    </row>
    <row r="67" spans="1:1" x14ac:dyDescent="0.3">
      <c r="A67" s="99">
        <f t="shared" si="0"/>
        <v>65</v>
      </c>
    </row>
    <row r="68" spans="1:1" x14ac:dyDescent="0.3">
      <c r="A68" s="100">
        <f t="shared" si="0"/>
        <v>66</v>
      </c>
    </row>
    <row r="69" spans="1:1" x14ac:dyDescent="0.3">
      <c r="A69" s="99">
        <f t="shared" ref="A69:A132" si="1">A68+1</f>
        <v>67</v>
      </c>
    </row>
    <row r="70" spans="1:1" x14ac:dyDescent="0.3">
      <c r="A70" s="99">
        <f t="shared" si="1"/>
        <v>68</v>
      </c>
    </row>
    <row r="71" spans="1:1" x14ac:dyDescent="0.3">
      <c r="A71" s="99">
        <f t="shared" si="1"/>
        <v>69</v>
      </c>
    </row>
    <row r="72" spans="1:1" x14ac:dyDescent="0.3">
      <c r="A72" s="99">
        <f t="shared" si="1"/>
        <v>70</v>
      </c>
    </row>
    <row r="73" spans="1:1" x14ac:dyDescent="0.3">
      <c r="A73" s="100">
        <f t="shared" si="1"/>
        <v>71</v>
      </c>
    </row>
    <row r="74" spans="1:1" x14ac:dyDescent="0.3">
      <c r="A74" s="99">
        <f t="shared" si="1"/>
        <v>72</v>
      </c>
    </row>
    <row r="75" spans="1:1" x14ac:dyDescent="0.3">
      <c r="A75" s="99">
        <f t="shared" si="1"/>
        <v>73</v>
      </c>
    </row>
    <row r="76" spans="1:1" x14ac:dyDescent="0.3">
      <c r="A76" s="99">
        <f t="shared" si="1"/>
        <v>74</v>
      </c>
    </row>
    <row r="77" spans="1:1" x14ac:dyDescent="0.3">
      <c r="A77" s="99">
        <f t="shared" si="1"/>
        <v>75</v>
      </c>
    </row>
    <row r="78" spans="1:1" x14ac:dyDescent="0.3">
      <c r="A78" s="100">
        <f t="shared" si="1"/>
        <v>76</v>
      </c>
    </row>
    <row r="79" spans="1:1" x14ac:dyDescent="0.3">
      <c r="A79" s="99">
        <f t="shared" si="1"/>
        <v>77</v>
      </c>
    </row>
    <row r="80" spans="1:1" x14ac:dyDescent="0.3">
      <c r="A80" s="99">
        <f t="shared" si="1"/>
        <v>78</v>
      </c>
    </row>
    <row r="81" spans="1:1" x14ac:dyDescent="0.3">
      <c r="A81" s="99">
        <f t="shared" si="1"/>
        <v>79</v>
      </c>
    </row>
    <row r="82" spans="1:1" x14ac:dyDescent="0.3">
      <c r="A82" s="99">
        <f t="shared" si="1"/>
        <v>80</v>
      </c>
    </row>
    <row r="83" spans="1:1" x14ac:dyDescent="0.3">
      <c r="A83" s="99">
        <f t="shared" si="1"/>
        <v>81</v>
      </c>
    </row>
    <row r="84" spans="1:1" x14ac:dyDescent="0.3">
      <c r="A84" s="99">
        <f t="shared" si="1"/>
        <v>82</v>
      </c>
    </row>
    <row r="85" spans="1:1" x14ac:dyDescent="0.3">
      <c r="A85" s="99">
        <f t="shared" si="1"/>
        <v>83</v>
      </c>
    </row>
    <row r="86" spans="1:1" x14ac:dyDescent="0.3">
      <c r="A86" s="99">
        <f t="shared" si="1"/>
        <v>84</v>
      </c>
    </row>
    <row r="87" spans="1:1" x14ac:dyDescent="0.3">
      <c r="A87" s="99">
        <f t="shared" si="1"/>
        <v>85</v>
      </c>
    </row>
    <row r="88" spans="1:1" x14ac:dyDescent="0.3">
      <c r="A88" s="99">
        <f t="shared" si="1"/>
        <v>86</v>
      </c>
    </row>
    <row r="89" spans="1:1" x14ac:dyDescent="0.3">
      <c r="A89" s="99">
        <f t="shared" si="1"/>
        <v>87</v>
      </c>
    </row>
    <row r="90" spans="1:1" x14ac:dyDescent="0.3">
      <c r="A90" s="99">
        <f t="shared" si="1"/>
        <v>88</v>
      </c>
    </row>
    <row r="91" spans="1:1" x14ac:dyDescent="0.3">
      <c r="A91" s="99">
        <f t="shared" si="1"/>
        <v>89</v>
      </c>
    </row>
    <row r="92" spans="1:1" x14ac:dyDescent="0.3">
      <c r="A92" s="99">
        <f t="shared" si="1"/>
        <v>90</v>
      </c>
    </row>
    <row r="93" spans="1:1" x14ac:dyDescent="0.3">
      <c r="A93" s="99">
        <f t="shared" si="1"/>
        <v>91</v>
      </c>
    </row>
    <row r="94" spans="1:1" x14ac:dyDescent="0.3">
      <c r="A94" s="99">
        <f t="shared" si="1"/>
        <v>92</v>
      </c>
    </row>
    <row r="95" spans="1:1" x14ac:dyDescent="0.3">
      <c r="A95" s="99">
        <f t="shared" si="1"/>
        <v>93</v>
      </c>
    </row>
    <row r="96" spans="1:1" x14ac:dyDescent="0.3">
      <c r="A96" s="99">
        <f t="shared" si="1"/>
        <v>94</v>
      </c>
    </row>
    <row r="97" spans="1:1" x14ac:dyDescent="0.3">
      <c r="A97" s="99">
        <f t="shared" si="1"/>
        <v>95</v>
      </c>
    </row>
    <row r="98" spans="1:1" x14ac:dyDescent="0.3">
      <c r="A98" s="99">
        <f t="shared" si="1"/>
        <v>96</v>
      </c>
    </row>
    <row r="99" spans="1:1" x14ac:dyDescent="0.3">
      <c r="A99" s="99">
        <f t="shared" si="1"/>
        <v>97</v>
      </c>
    </row>
    <row r="100" spans="1:1" x14ac:dyDescent="0.3">
      <c r="A100" s="99">
        <f t="shared" si="1"/>
        <v>98</v>
      </c>
    </row>
    <row r="101" spans="1:1" x14ac:dyDescent="0.3">
      <c r="A101" s="99">
        <f t="shared" si="1"/>
        <v>99</v>
      </c>
    </row>
    <row r="102" spans="1:1" x14ac:dyDescent="0.3">
      <c r="A102" s="99">
        <f t="shared" si="1"/>
        <v>100</v>
      </c>
    </row>
    <row r="103" spans="1:1" x14ac:dyDescent="0.3">
      <c r="A103" s="99">
        <f t="shared" si="1"/>
        <v>101</v>
      </c>
    </row>
    <row r="104" spans="1:1" x14ac:dyDescent="0.3">
      <c r="A104" s="99">
        <f t="shared" si="1"/>
        <v>102</v>
      </c>
    </row>
    <row r="105" spans="1:1" x14ac:dyDescent="0.3">
      <c r="A105" s="99">
        <f t="shared" si="1"/>
        <v>103</v>
      </c>
    </row>
    <row r="106" spans="1:1" x14ac:dyDescent="0.3">
      <c r="A106" s="99">
        <f t="shared" si="1"/>
        <v>104</v>
      </c>
    </row>
    <row r="107" spans="1:1" x14ac:dyDescent="0.3">
      <c r="A107" s="99">
        <f t="shared" si="1"/>
        <v>105</v>
      </c>
    </row>
    <row r="108" spans="1:1" x14ac:dyDescent="0.3">
      <c r="A108" s="99">
        <f t="shared" si="1"/>
        <v>106</v>
      </c>
    </row>
    <row r="109" spans="1:1" x14ac:dyDescent="0.3">
      <c r="A109" s="99">
        <f t="shared" si="1"/>
        <v>107</v>
      </c>
    </row>
    <row r="110" spans="1:1" x14ac:dyDescent="0.3">
      <c r="A110" s="99">
        <f t="shared" si="1"/>
        <v>108</v>
      </c>
    </row>
    <row r="111" spans="1:1" x14ac:dyDescent="0.3">
      <c r="A111" s="99">
        <f t="shared" si="1"/>
        <v>109</v>
      </c>
    </row>
    <row r="112" spans="1:1" x14ac:dyDescent="0.3">
      <c r="A112" s="99">
        <f t="shared" si="1"/>
        <v>110</v>
      </c>
    </row>
    <row r="113" spans="1:1" x14ac:dyDescent="0.3">
      <c r="A113" s="99">
        <f t="shared" si="1"/>
        <v>111</v>
      </c>
    </row>
    <row r="114" spans="1:1" x14ac:dyDescent="0.3">
      <c r="A114" s="99">
        <f t="shared" si="1"/>
        <v>112</v>
      </c>
    </row>
    <row r="115" spans="1:1" x14ac:dyDescent="0.3">
      <c r="A115" s="99">
        <f t="shared" si="1"/>
        <v>113</v>
      </c>
    </row>
    <row r="116" spans="1:1" x14ac:dyDescent="0.3">
      <c r="A116" s="99">
        <f t="shared" si="1"/>
        <v>114</v>
      </c>
    </row>
    <row r="117" spans="1:1" x14ac:dyDescent="0.3">
      <c r="A117" s="99">
        <f t="shared" si="1"/>
        <v>115</v>
      </c>
    </row>
    <row r="118" spans="1:1" x14ac:dyDescent="0.3">
      <c r="A118" s="99">
        <f t="shared" si="1"/>
        <v>116</v>
      </c>
    </row>
    <row r="119" spans="1:1" x14ac:dyDescent="0.3">
      <c r="A119" s="99">
        <f t="shared" si="1"/>
        <v>117</v>
      </c>
    </row>
    <row r="120" spans="1:1" x14ac:dyDescent="0.3">
      <c r="A120" s="99">
        <f t="shared" si="1"/>
        <v>118</v>
      </c>
    </row>
    <row r="121" spans="1:1" x14ac:dyDescent="0.3">
      <c r="A121" s="99">
        <f t="shared" si="1"/>
        <v>119</v>
      </c>
    </row>
    <row r="122" spans="1:1" x14ac:dyDescent="0.3">
      <c r="A122" s="99">
        <f t="shared" si="1"/>
        <v>120</v>
      </c>
    </row>
    <row r="123" spans="1:1" x14ac:dyDescent="0.3">
      <c r="A123" s="99">
        <f t="shared" si="1"/>
        <v>121</v>
      </c>
    </row>
    <row r="124" spans="1:1" x14ac:dyDescent="0.3">
      <c r="A124" s="99">
        <f t="shared" si="1"/>
        <v>122</v>
      </c>
    </row>
    <row r="125" spans="1:1" x14ac:dyDescent="0.3">
      <c r="A125" s="99">
        <f t="shared" si="1"/>
        <v>123</v>
      </c>
    </row>
    <row r="126" spans="1:1" x14ac:dyDescent="0.3">
      <c r="A126" s="99">
        <f t="shared" si="1"/>
        <v>124</v>
      </c>
    </row>
    <row r="127" spans="1:1" x14ac:dyDescent="0.3">
      <c r="A127" s="99">
        <f t="shared" si="1"/>
        <v>125</v>
      </c>
    </row>
    <row r="128" spans="1:1" x14ac:dyDescent="0.3">
      <c r="A128" s="99">
        <f t="shared" si="1"/>
        <v>126</v>
      </c>
    </row>
    <row r="129" spans="1:1" x14ac:dyDescent="0.3">
      <c r="A129" s="99">
        <f t="shared" si="1"/>
        <v>127</v>
      </c>
    </row>
    <row r="130" spans="1:1" x14ac:dyDescent="0.3">
      <c r="A130" s="99">
        <f t="shared" si="1"/>
        <v>128</v>
      </c>
    </row>
    <row r="131" spans="1:1" x14ac:dyDescent="0.3">
      <c r="A131" s="99">
        <f t="shared" si="1"/>
        <v>129</v>
      </c>
    </row>
    <row r="132" spans="1:1" x14ac:dyDescent="0.3">
      <c r="A132" s="99">
        <f t="shared" si="1"/>
        <v>130</v>
      </c>
    </row>
    <row r="133" spans="1:1" x14ac:dyDescent="0.3">
      <c r="A133" s="99">
        <f t="shared" ref="A133:A162" si="2">A132+1</f>
        <v>131</v>
      </c>
    </row>
    <row r="134" spans="1:1" x14ac:dyDescent="0.3">
      <c r="A134" s="99">
        <f t="shared" si="2"/>
        <v>132</v>
      </c>
    </row>
    <row r="135" spans="1:1" x14ac:dyDescent="0.3">
      <c r="A135" s="99">
        <f t="shared" si="2"/>
        <v>133</v>
      </c>
    </row>
    <row r="136" spans="1:1" x14ac:dyDescent="0.3">
      <c r="A136" s="99">
        <f t="shared" si="2"/>
        <v>134</v>
      </c>
    </row>
    <row r="137" spans="1:1" x14ac:dyDescent="0.3">
      <c r="A137" s="99">
        <f t="shared" si="2"/>
        <v>135</v>
      </c>
    </row>
    <row r="138" spans="1:1" x14ac:dyDescent="0.3">
      <c r="A138" s="99">
        <f t="shared" si="2"/>
        <v>136</v>
      </c>
    </row>
    <row r="139" spans="1:1" x14ac:dyDescent="0.3">
      <c r="A139" s="99">
        <f t="shared" si="2"/>
        <v>137</v>
      </c>
    </row>
    <row r="140" spans="1:1" x14ac:dyDescent="0.3">
      <c r="A140" s="99">
        <f t="shared" si="2"/>
        <v>138</v>
      </c>
    </row>
    <row r="141" spans="1:1" x14ac:dyDescent="0.3">
      <c r="A141" s="99">
        <f t="shared" si="2"/>
        <v>139</v>
      </c>
    </row>
    <row r="142" spans="1:1" x14ac:dyDescent="0.3">
      <c r="A142" s="99">
        <f t="shared" si="2"/>
        <v>140</v>
      </c>
    </row>
    <row r="143" spans="1:1" x14ac:dyDescent="0.3">
      <c r="A143" s="99">
        <f t="shared" si="2"/>
        <v>141</v>
      </c>
    </row>
    <row r="144" spans="1:1" x14ac:dyDescent="0.3">
      <c r="A144" s="99">
        <f t="shared" si="2"/>
        <v>142</v>
      </c>
    </row>
    <row r="145" spans="1:1" x14ac:dyDescent="0.3">
      <c r="A145" s="99">
        <f t="shared" si="2"/>
        <v>143</v>
      </c>
    </row>
    <row r="146" spans="1:1" x14ac:dyDescent="0.3">
      <c r="A146" s="99">
        <f t="shared" si="2"/>
        <v>144</v>
      </c>
    </row>
    <row r="147" spans="1:1" x14ac:dyDescent="0.3">
      <c r="A147" s="99">
        <f t="shared" si="2"/>
        <v>145</v>
      </c>
    </row>
    <row r="148" spans="1:1" x14ac:dyDescent="0.3">
      <c r="A148" s="99">
        <f t="shared" si="2"/>
        <v>146</v>
      </c>
    </row>
    <row r="149" spans="1:1" x14ac:dyDescent="0.3">
      <c r="A149" s="99">
        <f t="shared" si="2"/>
        <v>147</v>
      </c>
    </row>
    <row r="150" spans="1:1" x14ac:dyDescent="0.3">
      <c r="A150" s="99">
        <f t="shared" si="2"/>
        <v>148</v>
      </c>
    </row>
    <row r="151" spans="1:1" x14ac:dyDescent="0.3">
      <c r="A151" s="99">
        <f t="shared" si="2"/>
        <v>149</v>
      </c>
    </row>
    <row r="152" spans="1:1" x14ac:dyDescent="0.3">
      <c r="A152" s="99">
        <f t="shared" si="2"/>
        <v>150</v>
      </c>
    </row>
    <row r="153" spans="1:1" x14ac:dyDescent="0.3">
      <c r="A153" s="99">
        <f t="shared" si="2"/>
        <v>151</v>
      </c>
    </row>
    <row r="154" spans="1:1" x14ac:dyDescent="0.3">
      <c r="A154" s="99">
        <f t="shared" si="2"/>
        <v>152</v>
      </c>
    </row>
    <row r="155" spans="1:1" x14ac:dyDescent="0.3">
      <c r="A155" s="99">
        <f t="shared" si="2"/>
        <v>153</v>
      </c>
    </row>
    <row r="156" spans="1:1" x14ac:dyDescent="0.3">
      <c r="A156" s="99">
        <f t="shared" si="2"/>
        <v>154</v>
      </c>
    </row>
    <row r="157" spans="1:1" x14ac:dyDescent="0.3">
      <c r="A157" s="99">
        <f t="shared" si="2"/>
        <v>155</v>
      </c>
    </row>
    <row r="158" spans="1:1" x14ac:dyDescent="0.3">
      <c r="A158" s="99">
        <f t="shared" si="2"/>
        <v>156</v>
      </c>
    </row>
    <row r="159" spans="1:1" x14ac:dyDescent="0.3">
      <c r="A159" s="99">
        <f t="shared" si="2"/>
        <v>157</v>
      </c>
    </row>
    <row r="160" spans="1:1" x14ac:dyDescent="0.3">
      <c r="A160" s="99">
        <f t="shared" si="2"/>
        <v>158</v>
      </c>
    </row>
    <row r="161" spans="1:1" x14ac:dyDescent="0.3">
      <c r="A161" s="99">
        <f t="shared" si="2"/>
        <v>159</v>
      </c>
    </row>
    <row r="162" spans="1:1" x14ac:dyDescent="0.3">
      <c r="A162" s="99">
        <f t="shared" si="2"/>
        <v>160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4F2D-F915-440E-AA25-6DFC666AE1CE}">
  <sheetPr codeName="Лист13"/>
  <dimension ref="A1:S162"/>
  <sheetViews>
    <sheetView workbookViewId="0">
      <selection activeCell="I12" sqref="I12"/>
    </sheetView>
  </sheetViews>
  <sheetFormatPr defaultRowHeight="14.4" x14ac:dyDescent="0.3"/>
  <cols>
    <col min="1" max="1" width="33.21875" style="99" customWidth="1"/>
    <col min="2" max="2" width="13.77734375" style="71" customWidth="1"/>
    <col min="3" max="3" width="12.6640625" style="5" customWidth="1"/>
    <col min="4" max="4" width="14.44140625" style="1" customWidth="1"/>
    <col min="5" max="5" width="13.109375" style="1" customWidth="1"/>
    <col min="6" max="6" width="15.44140625" style="14" customWidth="1"/>
    <col min="7" max="7" width="17.21875" style="14" customWidth="1"/>
    <col min="8" max="8" width="13.5546875" style="19" customWidth="1"/>
    <col min="9" max="9" width="11.44140625" style="19" customWidth="1"/>
    <col min="10" max="10" width="18" style="6" customWidth="1"/>
    <col min="11" max="11" width="18" style="30" customWidth="1"/>
    <col min="12" max="12" width="15" style="30" customWidth="1"/>
    <col min="13" max="13" width="14.88671875" style="30" customWidth="1"/>
    <col min="14" max="14" width="18.44140625" style="30" customWidth="1"/>
    <col min="15" max="15" width="17.44140625" style="6" customWidth="1"/>
    <col min="16" max="17" width="8.88671875" style="4"/>
    <col min="18" max="18" width="12" style="4" customWidth="1"/>
    <col min="19" max="19" width="13.21875" style="4" customWidth="1"/>
    <col min="20" max="16384" width="8.88671875" style="4"/>
  </cols>
  <sheetData>
    <row r="1" spans="1:19" s="2" customFormat="1" x14ac:dyDescent="0.3">
      <c r="A1" s="102" t="s">
        <v>48</v>
      </c>
      <c r="B1" s="68" t="s">
        <v>2</v>
      </c>
      <c r="C1" s="7"/>
      <c r="D1" s="9" t="s">
        <v>4</v>
      </c>
      <c r="E1" s="8"/>
      <c r="F1" s="11" t="s">
        <v>3</v>
      </c>
      <c r="G1" s="13"/>
      <c r="H1" s="16" t="s">
        <v>5</v>
      </c>
      <c r="I1" s="18"/>
      <c r="J1" s="3"/>
      <c r="K1" s="34" t="s">
        <v>2</v>
      </c>
      <c r="L1" s="34" t="s">
        <v>4</v>
      </c>
      <c r="M1" s="34" t="s">
        <v>3</v>
      </c>
      <c r="N1" s="34" t="s">
        <v>5</v>
      </c>
      <c r="O1" s="3"/>
      <c r="P1" s="2" t="s">
        <v>14</v>
      </c>
      <c r="Q1" s="2" t="s">
        <v>11</v>
      </c>
      <c r="R1" s="2" t="s">
        <v>12</v>
      </c>
      <c r="S1" s="2" t="s">
        <v>13</v>
      </c>
    </row>
    <row r="2" spans="1:19" s="25" customFormat="1" ht="15" thickBot="1" x14ac:dyDescent="0.35">
      <c r="A2" s="103"/>
      <c r="B2" s="69" t="s">
        <v>46</v>
      </c>
      <c r="C2" s="26" t="s">
        <v>47</v>
      </c>
      <c r="D2" s="27" t="s">
        <v>46</v>
      </c>
      <c r="E2" s="27" t="s">
        <v>47</v>
      </c>
      <c r="F2" s="28" t="s">
        <v>46</v>
      </c>
      <c r="G2" s="28" t="s">
        <v>47</v>
      </c>
      <c r="H2" s="29" t="s">
        <v>46</v>
      </c>
      <c r="I2" s="29" t="s">
        <v>47</v>
      </c>
      <c r="J2" s="33"/>
      <c r="K2" s="32"/>
      <c r="L2" s="32"/>
      <c r="M2" s="32"/>
      <c r="N2" s="32"/>
      <c r="O2" s="33"/>
    </row>
    <row r="3" spans="1:19" s="20" customFormat="1" x14ac:dyDescent="0.3">
      <c r="A3" s="98">
        <v>1</v>
      </c>
      <c r="B3" s="70">
        <f>[1]Память!G3</f>
        <v>1244</v>
      </c>
      <c r="C3" s="21">
        <f>[1]Память!S3</f>
        <v>24.826061575153908</v>
      </c>
      <c r="D3" s="22">
        <v>15</v>
      </c>
      <c r="E3" s="22">
        <v>2E-3</v>
      </c>
      <c r="F3" s="23">
        <v>8</v>
      </c>
      <c r="G3" s="23">
        <v>0.01</v>
      </c>
      <c r="H3" s="24">
        <v>60</v>
      </c>
      <c r="I3" s="24">
        <v>2E-3</v>
      </c>
      <c r="J3" s="31"/>
      <c r="K3" s="35" cm="1">
        <f t="array" ref="K3">PointMin4(B3+C3,D3+E3,F3+G3,H3+I3,B3+C3)</f>
        <v>1</v>
      </c>
      <c r="L3" s="35" cm="1">
        <f t="array" ref="L3">PointMin4(B3+C3,D3+E3,F3+G3,H3+I3,D3+E3)</f>
        <v>3</v>
      </c>
      <c r="M3" s="35" cm="1">
        <f t="array" ref="M3">PointMin4(B3+C3,D3+E3,F3+G3,H3+I3,F3+G3)</f>
        <v>4</v>
      </c>
      <c r="N3" s="35" cm="1">
        <f t="array" ref="N3">PointMin4(B3+C3,D3+E3,F3+G3,H3+I3,H3+I3)</f>
        <v>2</v>
      </c>
      <c r="O3" s="31"/>
      <c r="P3" s="35">
        <f>SUM(K:K)</f>
        <v>6</v>
      </c>
      <c r="Q3" s="35">
        <f>SUM(L:L)</f>
        <v>9</v>
      </c>
      <c r="R3" s="35">
        <f>SUM(M:M)</f>
        <v>10</v>
      </c>
      <c r="S3" s="35">
        <f>SUM(N:N)</f>
        <v>8</v>
      </c>
    </row>
    <row r="4" spans="1:19" x14ac:dyDescent="0.3">
      <c r="A4" s="99">
        <f>A3+1</f>
        <v>2</v>
      </c>
      <c r="B4" s="70">
        <v>-1</v>
      </c>
      <c r="C4" s="21">
        <v>-1</v>
      </c>
      <c r="D4" s="1">
        <v>-1</v>
      </c>
      <c r="E4" s="1">
        <v>-1</v>
      </c>
      <c r="F4" s="23">
        <v>-1</v>
      </c>
      <c r="G4" s="23">
        <v>-1</v>
      </c>
      <c r="H4" s="19">
        <v>-1</v>
      </c>
      <c r="I4" s="19">
        <v>-1</v>
      </c>
      <c r="J4" s="31"/>
      <c r="K4" s="35" cm="1">
        <f t="array" ref="K4">PointMin4(B4+C4,D4+E4,F4+G4,H4+I4,B4+C4)</f>
        <v>1</v>
      </c>
      <c r="L4" s="35" cm="1">
        <f t="array" ref="L4">PointMin4(B4+C4,D4+E4,F4+G4,H4+I4,D4+E4)</f>
        <v>1</v>
      </c>
      <c r="M4" s="35" cm="1">
        <f t="array" ref="M4">PointMin4(B4+C4,D4+E4,F4+G4,H4+I4,F4+G4)</f>
        <v>1</v>
      </c>
      <c r="N4" s="35" cm="1">
        <f t="array" ref="N4">PointMin4(B4+C4,D4+E4,F4+G4,H4+I4,H4+I4)</f>
        <v>1</v>
      </c>
      <c r="O4" s="31"/>
    </row>
    <row r="5" spans="1:19" x14ac:dyDescent="0.3">
      <c r="A5" s="99">
        <f t="shared" ref="A5:A68" si="0">A4+1</f>
        <v>3</v>
      </c>
      <c r="B5" s="70">
        <v>-1</v>
      </c>
      <c r="C5" s="21">
        <v>-1</v>
      </c>
      <c r="D5" s="1">
        <v>-1</v>
      </c>
      <c r="E5" s="1">
        <v>-1</v>
      </c>
      <c r="F5" s="23">
        <v>-1</v>
      </c>
      <c r="G5" s="23">
        <v>-1</v>
      </c>
      <c r="H5" s="19">
        <v>-1</v>
      </c>
      <c r="I5" s="19">
        <v>-1</v>
      </c>
      <c r="J5" s="31"/>
      <c r="K5" s="35" cm="1">
        <f t="array" ref="K5">PointMin4(B5+C5,D5+E5,F5+G5,H5+I5,B5+C5)</f>
        <v>1</v>
      </c>
      <c r="L5" s="35" cm="1">
        <f t="array" ref="L5">PointMin4(B5+C5,D5+E5,F5+G5,H5+I5,D5+E5)</f>
        <v>1</v>
      </c>
      <c r="M5" s="35" cm="1">
        <f t="array" ref="M5">PointMin4(B5+C5,D5+E5,F5+G5,H5+I5,F5+G5)</f>
        <v>1</v>
      </c>
      <c r="N5" s="35" cm="1">
        <f t="array" ref="N5">PointMin4(B5+C5,D5+E5,F5+G5,H5+I5,H5+I5)</f>
        <v>1</v>
      </c>
      <c r="O5" s="31"/>
    </row>
    <row r="6" spans="1:19" x14ac:dyDescent="0.3">
      <c r="A6" s="99">
        <f t="shared" si="0"/>
        <v>4</v>
      </c>
      <c r="B6" s="70">
        <v>-1</v>
      </c>
      <c r="C6" s="21">
        <v>-1</v>
      </c>
      <c r="D6" s="1">
        <v>-1</v>
      </c>
      <c r="E6" s="1">
        <v>-1</v>
      </c>
      <c r="F6" s="23">
        <v>-1</v>
      </c>
      <c r="G6" s="23">
        <v>-1</v>
      </c>
      <c r="H6" s="19">
        <v>-1</v>
      </c>
      <c r="I6" s="19">
        <v>-1</v>
      </c>
      <c r="J6" s="31"/>
      <c r="K6" s="35" cm="1">
        <f t="array" ref="K6">PointMin4(B6+C6,D6+E6,F6+G6,H6+I6,B6+C6)</f>
        <v>1</v>
      </c>
      <c r="L6" s="35" cm="1">
        <f t="array" ref="L6">PointMin4(B6+C6,D6+E6,F6+G6,H6+I6,D6+E6)</f>
        <v>1</v>
      </c>
      <c r="M6" s="35" cm="1">
        <f t="array" ref="M6">PointMin4(B6+C6,D6+E6,F6+G6,H6+I6,F6+G6)</f>
        <v>1</v>
      </c>
      <c r="N6" s="35" cm="1">
        <f t="array" ref="N6">PointMin4(B6+C6,D6+E6,F6+G6,H6+I6,H6+I6)</f>
        <v>1</v>
      </c>
      <c r="O6" s="31"/>
    </row>
    <row r="7" spans="1:19" x14ac:dyDescent="0.3">
      <c r="A7" s="99">
        <f t="shared" si="0"/>
        <v>5</v>
      </c>
      <c r="B7" s="70">
        <v>-1</v>
      </c>
      <c r="C7" s="21">
        <v>-1</v>
      </c>
      <c r="D7" s="1">
        <v>-1</v>
      </c>
      <c r="E7" s="1">
        <v>-1</v>
      </c>
      <c r="F7" s="23">
        <v>-1</v>
      </c>
      <c r="G7" s="23">
        <v>-1</v>
      </c>
      <c r="H7" s="19">
        <v>-1</v>
      </c>
      <c r="I7" s="19">
        <v>-1</v>
      </c>
      <c r="J7" s="31"/>
      <c r="K7" s="35" cm="1">
        <f t="array" ref="K7">PointMin4(B7+C7,D7+E7,F7+G7,H7+I7,B7+C7)</f>
        <v>1</v>
      </c>
      <c r="L7" s="35" cm="1">
        <f t="array" ref="L7">PointMin4(B7+C7,D7+E7,F7+G7,H7+I7,D7+E7)</f>
        <v>1</v>
      </c>
      <c r="M7" s="35" cm="1">
        <f t="array" ref="M7">PointMin4(B7+C7,D7+E7,F7+G7,H7+I7,F7+G7)</f>
        <v>1</v>
      </c>
      <c r="N7" s="35" cm="1">
        <f t="array" ref="N7">PointMin4(B7+C7,D7+E7,F7+G7,H7+I7,H7+I7)</f>
        <v>1</v>
      </c>
      <c r="O7" s="31"/>
    </row>
    <row r="8" spans="1:19" x14ac:dyDescent="0.3">
      <c r="A8" s="100">
        <f t="shared" si="0"/>
        <v>6</v>
      </c>
      <c r="B8" s="70">
        <f>[1]Память!G8</f>
        <v>1246</v>
      </c>
      <c r="C8" s="21">
        <f>[1]Память!S8</f>
        <v>31.106965993702012</v>
      </c>
      <c r="F8" s="23"/>
      <c r="G8" s="23"/>
      <c r="J8" s="31"/>
      <c r="K8" s="35" cm="1">
        <f t="array" ref="K8">PointMin4(B8+C8,D8+E8,F8+G8,H8+I8,B8+C8)</f>
        <v>1</v>
      </c>
      <c r="L8" s="35" cm="1">
        <f t="array" ref="L8">PointMin4(B8+C8,D8+E8,F8+G8,H8+I8,D8+E8)</f>
        <v>2</v>
      </c>
      <c r="M8" s="35" cm="1">
        <f t="array" ref="M8">PointMin4(B8+C8,D8+E8,F8+G8,H8+I8,F8+G8)</f>
        <v>2</v>
      </c>
      <c r="N8" s="35" cm="1">
        <f t="array" ref="N8">PointMin4(B8+C8,D8+E8,F8+G8,H8+I8,H8+I8)</f>
        <v>2</v>
      </c>
      <c r="O8" s="31"/>
    </row>
    <row r="9" spans="1:19" x14ac:dyDescent="0.3">
      <c r="A9" s="99">
        <f t="shared" si="0"/>
        <v>7</v>
      </c>
    </row>
    <row r="10" spans="1:19" x14ac:dyDescent="0.3">
      <c r="A10" s="99">
        <f t="shared" si="0"/>
        <v>8</v>
      </c>
    </row>
    <row r="11" spans="1:19" x14ac:dyDescent="0.3">
      <c r="A11" s="99">
        <f t="shared" si="0"/>
        <v>9</v>
      </c>
    </row>
    <row r="12" spans="1:19" x14ac:dyDescent="0.3">
      <c r="A12" s="99">
        <f t="shared" si="0"/>
        <v>10</v>
      </c>
    </row>
    <row r="13" spans="1:19" x14ac:dyDescent="0.3">
      <c r="A13" s="100">
        <f t="shared" si="0"/>
        <v>11</v>
      </c>
    </row>
    <row r="14" spans="1:19" x14ac:dyDescent="0.3">
      <c r="A14" s="99">
        <f t="shared" si="0"/>
        <v>12</v>
      </c>
      <c r="K14" s="6"/>
    </row>
    <row r="15" spans="1:19" x14ac:dyDescent="0.3">
      <c r="A15" s="99">
        <f t="shared" si="0"/>
        <v>13</v>
      </c>
    </row>
    <row r="16" spans="1:19" x14ac:dyDescent="0.3">
      <c r="A16" s="99">
        <f t="shared" si="0"/>
        <v>14</v>
      </c>
    </row>
    <row r="17" spans="1:1" x14ac:dyDescent="0.3">
      <c r="A17" s="99">
        <f t="shared" si="0"/>
        <v>15</v>
      </c>
    </row>
    <row r="18" spans="1:1" x14ac:dyDescent="0.3">
      <c r="A18" s="100">
        <f t="shared" si="0"/>
        <v>16</v>
      </c>
    </row>
    <row r="19" spans="1:1" x14ac:dyDescent="0.3">
      <c r="A19" s="99">
        <f t="shared" si="0"/>
        <v>17</v>
      </c>
    </row>
    <row r="20" spans="1:1" x14ac:dyDescent="0.3">
      <c r="A20" s="99">
        <f t="shared" si="0"/>
        <v>18</v>
      </c>
    </row>
    <row r="21" spans="1:1" x14ac:dyDescent="0.3">
      <c r="A21" s="99">
        <f t="shared" si="0"/>
        <v>19</v>
      </c>
    </row>
    <row r="22" spans="1:1" x14ac:dyDescent="0.3">
      <c r="A22" s="99">
        <f t="shared" si="0"/>
        <v>20</v>
      </c>
    </row>
    <row r="23" spans="1:1" x14ac:dyDescent="0.3">
      <c r="A23" s="100">
        <f t="shared" si="0"/>
        <v>21</v>
      </c>
    </row>
    <row r="24" spans="1:1" x14ac:dyDescent="0.3">
      <c r="A24" s="67">
        <f t="shared" si="0"/>
        <v>22</v>
      </c>
    </row>
    <row r="25" spans="1:1" x14ac:dyDescent="0.3">
      <c r="A25" s="67">
        <f t="shared" si="0"/>
        <v>23</v>
      </c>
    </row>
    <row r="26" spans="1:1" x14ac:dyDescent="0.3">
      <c r="A26" s="67">
        <f t="shared" si="0"/>
        <v>24</v>
      </c>
    </row>
    <row r="27" spans="1:1" x14ac:dyDescent="0.3">
      <c r="A27" s="67">
        <f t="shared" si="0"/>
        <v>25</v>
      </c>
    </row>
    <row r="28" spans="1:1" x14ac:dyDescent="0.3">
      <c r="A28" s="100">
        <f t="shared" si="0"/>
        <v>26</v>
      </c>
    </row>
    <row r="29" spans="1:1" x14ac:dyDescent="0.3">
      <c r="A29" s="67">
        <f t="shared" si="0"/>
        <v>27</v>
      </c>
    </row>
    <row r="30" spans="1:1" x14ac:dyDescent="0.3">
      <c r="A30" s="67">
        <f t="shared" si="0"/>
        <v>28</v>
      </c>
    </row>
    <row r="31" spans="1:1" x14ac:dyDescent="0.3">
      <c r="A31" s="67">
        <f t="shared" si="0"/>
        <v>29</v>
      </c>
    </row>
    <row r="32" spans="1:1" x14ac:dyDescent="0.3">
      <c r="A32" s="67">
        <f t="shared" si="0"/>
        <v>30</v>
      </c>
    </row>
    <row r="33" spans="1:1" x14ac:dyDescent="0.3">
      <c r="A33" s="100">
        <f t="shared" si="0"/>
        <v>31</v>
      </c>
    </row>
    <row r="34" spans="1:1" x14ac:dyDescent="0.3">
      <c r="A34" s="67">
        <f t="shared" si="0"/>
        <v>32</v>
      </c>
    </row>
    <row r="35" spans="1:1" x14ac:dyDescent="0.3">
      <c r="A35" s="67">
        <f t="shared" si="0"/>
        <v>33</v>
      </c>
    </row>
    <row r="36" spans="1:1" x14ac:dyDescent="0.3">
      <c r="A36" s="67">
        <f t="shared" si="0"/>
        <v>34</v>
      </c>
    </row>
    <row r="37" spans="1:1" x14ac:dyDescent="0.3">
      <c r="A37" s="67">
        <f t="shared" si="0"/>
        <v>35</v>
      </c>
    </row>
    <row r="38" spans="1:1" x14ac:dyDescent="0.3">
      <c r="A38" s="100">
        <f t="shared" si="0"/>
        <v>36</v>
      </c>
    </row>
    <row r="39" spans="1:1" x14ac:dyDescent="0.3">
      <c r="A39" s="67">
        <f t="shared" si="0"/>
        <v>37</v>
      </c>
    </row>
    <row r="40" spans="1:1" x14ac:dyDescent="0.3">
      <c r="A40" s="67">
        <f t="shared" si="0"/>
        <v>38</v>
      </c>
    </row>
    <row r="41" spans="1:1" x14ac:dyDescent="0.3">
      <c r="A41" s="67">
        <f t="shared" si="0"/>
        <v>39</v>
      </c>
    </row>
    <row r="42" spans="1:1" x14ac:dyDescent="0.3">
      <c r="A42" s="67">
        <f t="shared" si="0"/>
        <v>40</v>
      </c>
    </row>
    <row r="43" spans="1:1" x14ac:dyDescent="0.3">
      <c r="A43" s="100">
        <f t="shared" si="0"/>
        <v>41</v>
      </c>
    </row>
    <row r="44" spans="1:1" x14ac:dyDescent="0.3">
      <c r="A44" s="99">
        <f t="shared" si="0"/>
        <v>42</v>
      </c>
    </row>
    <row r="45" spans="1:1" x14ac:dyDescent="0.3">
      <c r="A45" s="99">
        <f t="shared" si="0"/>
        <v>43</v>
      </c>
    </row>
    <row r="46" spans="1:1" x14ac:dyDescent="0.3">
      <c r="A46" s="99">
        <f t="shared" si="0"/>
        <v>44</v>
      </c>
    </row>
    <row r="47" spans="1:1" x14ac:dyDescent="0.3">
      <c r="A47" s="99">
        <f t="shared" si="0"/>
        <v>45</v>
      </c>
    </row>
    <row r="48" spans="1:1" x14ac:dyDescent="0.3">
      <c r="A48" s="100">
        <f t="shared" si="0"/>
        <v>46</v>
      </c>
    </row>
    <row r="49" spans="1:1" x14ac:dyDescent="0.3">
      <c r="A49" s="99">
        <f t="shared" si="0"/>
        <v>47</v>
      </c>
    </row>
    <row r="50" spans="1:1" x14ac:dyDescent="0.3">
      <c r="A50" s="67">
        <f t="shared" si="0"/>
        <v>48</v>
      </c>
    </row>
    <row r="51" spans="1:1" x14ac:dyDescent="0.3">
      <c r="A51" s="67">
        <f t="shared" si="0"/>
        <v>49</v>
      </c>
    </row>
    <row r="52" spans="1:1" x14ac:dyDescent="0.3">
      <c r="A52" s="67">
        <f t="shared" si="0"/>
        <v>50</v>
      </c>
    </row>
    <row r="53" spans="1:1" x14ac:dyDescent="0.3">
      <c r="A53" s="100">
        <f t="shared" si="0"/>
        <v>51</v>
      </c>
    </row>
    <row r="54" spans="1:1" x14ac:dyDescent="0.3">
      <c r="A54" s="100">
        <f t="shared" si="0"/>
        <v>52</v>
      </c>
    </row>
    <row r="55" spans="1:1" x14ac:dyDescent="0.3">
      <c r="A55" s="67">
        <f t="shared" si="0"/>
        <v>53</v>
      </c>
    </row>
    <row r="56" spans="1:1" x14ac:dyDescent="0.3">
      <c r="A56" s="67">
        <f t="shared" si="0"/>
        <v>54</v>
      </c>
    </row>
    <row r="57" spans="1:1" x14ac:dyDescent="0.3">
      <c r="A57" s="67">
        <f t="shared" si="0"/>
        <v>55</v>
      </c>
    </row>
    <row r="58" spans="1:1" x14ac:dyDescent="0.3">
      <c r="A58" s="100">
        <f t="shared" si="0"/>
        <v>56</v>
      </c>
    </row>
    <row r="59" spans="1:1" x14ac:dyDescent="0.3">
      <c r="A59" s="100">
        <f t="shared" si="0"/>
        <v>57</v>
      </c>
    </row>
    <row r="60" spans="1:1" x14ac:dyDescent="0.3">
      <c r="A60" s="67">
        <f t="shared" si="0"/>
        <v>58</v>
      </c>
    </row>
    <row r="61" spans="1:1" x14ac:dyDescent="0.3">
      <c r="A61" s="67">
        <f t="shared" si="0"/>
        <v>59</v>
      </c>
    </row>
    <row r="62" spans="1:1" x14ac:dyDescent="0.3">
      <c r="A62" s="67">
        <f t="shared" si="0"/>
        <v>60</v>
      </c>
    </row>
    <row r="63" spans="1:1" x14ac:dyDescent="0.3">
      <c r="A63" s="101">
        <f t="shared" si="0"/>
        <v>61</v>
      </c>
    </row>
    <row r="64" spans="1:1" x14ac:dyDescent="0.3">
      <c r="A64" s="99">
        <f t="shared" si="0"/>
        <v>62</v>
      </c>
    </row>
    <row r="65" spans="1:1" x14ac:dyDescent="0.3">
      <c r="A65" s="99">
        <f t="shared" si="0"/>
        <v>63</v>
      </c>
    </row>
    <row r="66" spans="1:1" x14ac:dyDescent="0.3">
      <c r="A66" s="99">
        <f t="shared" si="0"/>
        <v>64</v>
      </c>
    </row>
    <row r="67" spans="1:1" x14ac:dyDescent="0.3">
      <c r="A67" s="99">
        <f t="shared" si="0"/>
        <v>65</v>
      </c>
    </row>
    <row r="68" spans="1:1" x14ac:dyDescent="0.3">
      <c r="A68" s="100">
        <f t="shared" si="0"/>
        <v>66</v>
      </c>
    </row>
    <row r="69" spans="1:1" x14ac:dyDescent="0.3">
      <c r="A69" s="99">
        <f t="shared" ref="A69:A132" si="1">A68+1</f>
        <v>67</v>
      </c>
    </row>
    <row r="70" spans="1:1" x14ac:dyDescent="0.3">
      <c r="A70" s="99">
        <f t="shared" si="1"/>
        <v>68</v>
      </c>
    </row>
    <row r="71" spans="1:1" x14ac:dyDescent="0.3">
      <c r="A71" s="99">
        <f t="shared" si="1"/>
        <v>69</v>
      </c>
    </row>
    <row r="72" spans="1:1" x14ac:dyDescent="0.3">
      <c r="A72" s="99">
        <f t="shared" si="1"/>
        <v>70</v>
      </c>
    </row>
    <row r="73" spans="1:1" x14ac:dyDescent="0.3">
      <c r="A73" s="100">
        <f t="shared" si="1"/>
        <v>71</v>
      </c>
    </row>
    <row r="74" spans="1:1" x14ac:dyDescent="0.3">
      <c r="A74" s="99">
        <f t="shared" si="1"/>
        <v>72</v>
      </c>
    </row>
    <row r="75" spans="1:1" x14ac:dyDescent="0.3">
      <c r="A75" s="99">
        <f t="shared" si="1"/>
        <v>73</v>
      </c>
    </row>
    <row r="76" spans="1:1" x14ac:dyDescent="0.3">
      <c r="A76" s="99">
        <f t="shared" si="1"/>
        <v>74</v>
      </c>
    </row>
    <row r="77" spans="1:1" x14ac:dyDescent="0.3">
      <c r="A77" s="99">
        <f t="shared" si="1"/>
        <v>75</v>
      </c>
    </row>
    <row r="78" spans="1:1" x14ac:dyDescent="0.3">
      <c r="A78" s="100">
        <f t="shared" si="1"/>
        <v>76</v>
      </c>
    </row>
    <row r="79" spans="1:1" x14ac:dyDescent="0.3">
      <c r="A79" s="99">
        <f t="shared" si="1"/>
        <v>77</v>
      </c>
    </row>
    <row r="80" spans="1:1" x14ac:dyDescent="0.3">
      <c r="A80" s="99">
        <f t="shared" si="1"/>
        <v>78</v>
      </c>
    </row>
    <row r="81" spans="1:1" x14ac:dyDescent="0.3">
      <c r="A81" s="99">
        <f t="shared" si="1"/>
        <v>79</v>
      </c>
    </row>
    <row r="82" spans="1:1" x14ac:dyDescent="0.3">
      <c r="A82" s="99">
        <f t="shared" si="1"/>
        <v>80</v>
      </c>
    </row>
    <row r="83" spans="1:1" x14ac:dyDescent="0.3">
      <c r="A83" s="99">
        <f t="shared" si="1"/>
        <v>81</v>
      </c>
    </row>
    <row r="84" spans="1:1" x14ac:dyDescent="0.3">
      <c r="A84" s="99">
        <f t="shared" si="1"/>
        <v>82</v>
      </c>
    </row>
    <row r="85" spans="1:1" x14ac:dyDescent="0.3">
      <c r="A85" s="99">
        <f t="shared" si="1"/>
        <v>83</v>
      </c>
    </row>
    <row r="86" spans="1:1" x14ac:dyDescent="0.3">
      <c r="A86" s="99">
        <f t="shared" si="1"/>
        <v>84</v>
      </c>
    </row>
    <row r="87" spans="1:1" x14ac:dyDescent="0.3">
      <c r="A87" s="99">
        <f t="shared" si="1"/>
        <v>85</v>
      </c>
    </row>
    <row r="88" spans="1:1" x14ac:dyDescent="0.3">
      <c r="A88" s="99">
        <f t="shared" si="1"/>
        <v>86</v>
      </c>
    </row>
    <row r="89" spans="1:1" x14ac:dyDescent="0.3">
      <c r="A89" s="99">
        <f t="shared" si="1"/>
        <v>87</v>
      </c>
    </row>
    <row r="90" spans="1:1" x14ac:dyDescent="0.3">
      <c r="A90" s="99">
        <f t="shared" si="1"/>
        <v>88</v>
      </c>
    </row>
    <row r="91" spans="1:1" x14ac:dyDescent="0.3">
      <c r="A91" s="99">
        <f t="shared" si="1"/>
        <v>89</v>
      </c>
    </row>
    <row r="92" spans="1:1" x14ac:dyDescent="0.3">
      <c r="A92" s="99">
        <f t="shared" si="1"/>
        <v>90</v>
      </c>
    </row>
    <row r="93" spans="1:1" x14ac:dyDescent="0.3">
      <c r="A93" s="99">
        <f t="shared" si="1"/>
        <v>91</v>
      </c>
    </row>
    <row r="94" spans="1:1" x14ac:dyDescent="0.3">
      <c r="A94" s="99">
        <f t="shared" si="1"/>
        <v>92</v>
      </c>
    </row>
    <row r="95" spans="1:1" x14ac:dyDescent="0.3">
      <c r="A95" s="99">
        <f t="shared" si="1"/>
        <v>93</v>
      </c>
    </row>
    <row r="96" spans="1:1" x14ac:dyDescent="0.3">
      <c r="A96" s="99">
        <f t="shared" si="1"/>
        <v>94</v>
      </c>
    </row>
    <row r="97" spans="1:1" x14ac:dyDescent="0.3">
      <c r="A97" s="99">
        <f t="shared" si="1"/>
        <v>95</v>
      </c>
    </row>
    <row r="98" spans="1:1" x14ac:dyDescent="0.3">
      <c r="A98" s="99">
        <f t="shared" si="1"/>
        <v>96</v>
      </c>
    </row>
    <row r="99" spans="1:1" x14ac:dyDescent="0.3">
      <c r="A99" s="99">
        <f t="shared" si="1"/>
        <v>97</v>
      </c>
    </row>
    <row r="100" spans="1:1" x14ac:dyDescent="0.3">
      <c r="A100" s="99">
        <f t="shared" si="1"/>
        <v>98</v>
      </c>
    </row>
    <row r="101" spans="1:1" x14ac:dyDescent="0.3">
      <c r="A101" s="99">
        <f t="shared" si="1"/>
        <v>99</v>
      </c>
    </row>
    <row r="102" spans="1:1" x14ac:dyDescent="0.3">
      <c r="A102" s="99">
        <f t="shared" si="1"/>
        <v>100</v>
      </c>
    </row>
    <row r="103" spans="1:1" x14ac:dyDescent="0.3">
      <c r="A103" s="99">
        <f t="shared" si="1"/>
        <v>101</v>
      </c>
    </row>
    <row r="104" spans="1:1" x14ac:dyDescent="0.3">
      <c r="A104" s="99">
        <f t="shared" si="1"/>
        <v>102</v>
      </c>
    </row>
    <row r="105" spans="1:1" x14ac:dyDescent="0.3">
      <c r="A105" s="99">
        <f t="shared" si="1"/>
        <v>103</v>
      </c>
    </row>
    <row r="106" spans="1:1" x14ac:dyDescent="0.3">
      <c r="A106" s="99">
        <f t="shared" si="1"/>
        <v>104</v>
      </c>
    </row>
    <row r="107" spans="1:1" x14ac:dyDescent="0.3">
      <c r="A107" s="99">
        <f t="shared" si="1"/>
        <v>105</v>
      </c>
    </row>
    <row r="108" spans="1:1" x14ac:dyDescent="0.3">
      <c r="A108" s="99">
        <f t="shared" si="1"/>
        <v>106</v>
      </c>
    </row>
    <row r="109" spans="1:1" x14ac:dyDescent="0.3">
      <c r="A109" s="99">
        <f t="shared" si="1"/>
        <v>107</v>
      </c>
    </row>
    <row r="110" spans="1:1" x14ac:dyDescent="0.3">
      <c r="A110" s="99">
        <f t="shared" si="1"/>
        <v>108</v>
      </c>
    </row>
    <row r="111" spans="1:1" x14ac:dyDescent="0.3">
      <c r="A111" s="99">
        <f t="shared" si="1"/>
        <v>109</v>
      </c>
    </row>
    <row r="112" spans="1:1" x14ac:dyDescent="0.3">
      <c r="A112" s="99">
        <f t="shared" si="1"/>
        <v>110</v>
      </c>
    </row>
    <row r="113" spans="1:1" x14ac:dyDescent="0.3">
      <c r="A113" s="99">
        <f t="shared" si="1"/>
        <v>111</v>
      </c>
    </row>
    <row r="114" spans="1:1" x14ac:dyDescent="0.3">
      <c r="A114" s="99">
        <f t="shared" si="1"/>
        <v>112</v>
      </c>
    </row>
    <row r="115" spans="1:1" x14ac:dyDescent="0.3">
      <c r="A115" s="99">
        <f t="shared" si="1"/>
        <v>113</v>
      </c>
    </row>
    <row r="116" spans="1:1" x14ac:dyDescent="0.3">
      <c r="A116" s="99">
        <f t="shared" si="1"/>
        <v>114</v>
      </c>
    </row>
    <row r="117" spans="1:1" x14ac:dyDescent="0.3">
      <c r="A117" s="99">
        <f t="shared" si="1"/>
        <v>115</v>
      </c>
    </row>
    <row r="118" spans="1:1" x14ac:dyDescent="0.3">
      <c r="A118" s="99">
        <f t="shared" si="1"/>
        <v>116</v>
      </c>
    </row>
    <row r="119" spans="1:1" x14ac:dyDescent="0.3">
      <c r="A119" s="99">
        <f t="shared" si="1"/>
        <v>117</v>
      </c>
    </row>
    <row r="120" spans="1:1" x14ac:dyDescent="0.3">
      <c r="A120" s="99">
        <f t="shared" si="1"/>
        <v>118</v>
      </c>
    </row>
    <row r="121" spans="1:1" x14ac:dyDescent="0.3">
      <c r="A121" s="99">
        <f t="shared" si="1"/>
        <v>119</v>
      </c>
    </row>
    <row r="122" spans="1:1" x14ac:dyDescent="0.3">
      <c r="A122" s="99">
        <f t="shared" si="1"/>
        <v>120</v>
      </c>
    </row>
    <row r="123" spans="1:1" x14ac:dyDescent="0.3">
      <c r="A123" s="99">
        <f t="shared" si="1"/>
        <v>121</v>
      </c>
    </row>
    <row r="124" spans="1:1" x14ac:dyDescent="0.3">
      <c r="A124" s="99">
        <f t="shared" si="1"/>
        <v>122</v>
      </c>
    </row>
    <row r="125" spans="1:1" x14ac:dyDescent="0.3">
      <c r="A125" s="99">
        <f t="shared" si="1"/>
        <v>123</v>
      </c>
    </row>
    <row r="126" spans="1:1" x14ac:dyDescent="0.3">
      <c r="A126" s="99">
        <f t="shared" si="1"/>
        <v>124</v>
      </c>
    </row>
    <row r="127" spans="1:1" x14ac:dyDescent="0.3">
      <c r="A127" s="99">
        <f t="shared" si="1"/>
        <v>125</v>
      </c>
    </row>
    <row r="128" spans="1:1" x14ac:dyDescent="0.3">
      <c r="A128" s="99">
        <f t="shared" si="1"/>
        <v>126</v>
      </c>
    </row>
    <row r="129" spans="1:1" x14ac:dyDescent="0.3">
      <c r="A129" s="99">
        <f t="shared" si="1"/>
        <v>127</v>
      </c>
    </row>
    <row r="130" spans="1:1" x14ac:dyDescent="0.3">
      <c r="A130" s="99">
        <f t="shared" si="1"/>
        <v>128</v>
      </c>
    </row>
    <row r="131" spans="1:1" x14ac:dyDescent="0.3">
      <c r="A131" s="99">
        <f t="shared" si="1"/>
        <v>129</v>
      </c>
    </row>
    <row r="132" spans="1:1" x14ac:dyDescent="0.3">
      <c r="A132" s="99">
        <f t="shared" si="1"/>
        <v>130</v>
      </c>
    </row>
    <row r="133" spans="1:1" x14ac:dyDescent="0.3">
      <c r="A133" s="99">
        <f t="shared" ref="A133:A162" si="2">A132+1</f>
        <v>131</v>
      </c>
    </row>
    <row r="134" spans="1:1" x14ac:dyDescent="0.3">
      <c r="A134" s="99">
        <f t="shared" si="2"/>
        <v>132</v>
      </c>
    </row>
    <row r="135" spans="1:1" x14ac:dyDescent="0.3">
      <c r="A135" s="99">
        <f t="shared" si="2"/>
        <v>133</v>
      </c>
    </row>
    <row r="136" spans="1:1" x14ac:dyDescent="0.3">
      <c r="A136" s="99">
        <f t="shared" si="2"/>
        <v>134</v>
      </c>
    </row>
    <row r="137" spans="1:1" x14ac:dyDescent="0.3">
      <c r="A137" s="99">
        <f t="shared" si="2"/>
        <v>135</v>
      </c>
    </row>
    <row r="138" spans="1:1" x14ac:dyDescent="0.3">
      <c r="A138" s="99">
        <f t="shared" si="2"/>
        <v>136</v>
      </c>
    </row>
    <row r="139" spans="1:1" x14ac:dyDescent="0.3">
      <c r="A139" s="99">
        <f t="shared" si="2"/>
        <v>137</v>
      </c>
    </row>
    <row r="140" spans="1:1" x14ac:dyDescent="0.3">
      <c r="A140" s="99">
        <f t="shared" si="2"/>
        <v>138</v>
      </c>
    </row>
    <row r="141" spans="1:1" x14ac:dyDescent="0.3">
      <c r="A141" s="99">
        <f t="shared" si="2"/>
        <v>139</v>
      </c>
    </row>
    <row r="142" spans="1:1" x14ac:dyDescent="0.3">
      <c r="A142" s="99">
        <f t="shared" si="2"/>
        <v>140</v>
      </c>
    </row>
    <row r="143" spans="1:1" x14ac:dyDescent="0.3">
      <c r="A143" s="99">
        <f t="shared" si="2"/>
        <v>141</v>
      </c>
    </row>
    <row r="144" spans="1:1" x14ac:dyDescent="0.3">
      <c r="A144" s="99">
        <f t="shared" si="2"/>
        <v>142</v>
      </c>
    </row>
    <row r="145" spans="1:1" x14ac:dyDescent="0.3">
      <c r="A145" s="99">
        <f t="shared" si="2"/>
        <v>143</v>
      </c>
    </row>
    <row r="146" spans="1:1" x14ac:dyDescent="0.3">
      <c r="A146" s="99">
        <f t="shared" si="2"/>
        <v>144</v>
      </c>
    </row>
    <row r="147" spans="1:1" x14ac:dyDescent="0.3">
      <c r="A147" s="99">
        <f t="shared" si="2"/>
        <v>145</v>
      </c>
    </row>
    <row r="148" spans="1:1" x14ac:dyDescent="0.3">
      <c r="A148" s="99">
        <f t="shared" si="2"/>
        <v>146</v>
      </c>
    </row>
    <row r="149" spans="1:1" x14ac:dyDescent="0.3">
      <c r="A149" s="99">
        <f t="shared" si="2"/>
        <v>147</v>
      </c>
    </row>
    <row r="150" spans="1:1" x14ac:dyDescent="0.3">
      <c r="A150" s="99">
        <f t="shared" si="2"/>
        <v>148</v>
      </c>
    </row>
    <row r="151" spans="1:1" x14ac:dyDescent="0.3">
      <c r="A151" s="99">
        <f t="shared" si="2"/>
        <v>149</v>
      </c>
    </row>
    <row r="152" spans="1:1" x14ac:dyDescent="0.3">
      <c r="A152" s="99">
        <f t="shared" si="2"/>
        <v>150</v>
      </c>
    </row>
    <row r="153" spans="1:1" x14ac:dyDescent="0.3">
      <c r="A153" s="99">
        <f t="shared" si="2"/>
        <v>151</v>
      </c>
    </row>
    <row r="154" spans="1:1" x14ac:dyDescent="0.3">
      <c r="A154" s="99">
        <f t="shared" si="2"/>
        <v>152</v>
      </c>
    </row>
    <row r="155" spans="1:1" x14ac:dyDescent="0.3">
      <c r="A155" s="99">
        <f t="shared" si="2"/>
        <v>153</v>
      </c>
    </row>
    <row r="156" spans="1:1" x14ac:dyDescent="0.3">
      <c r="A156" s="99">
        <f t="shared" si="2"/>
        <v>154</v>
      </c>
    </row>
    <row r="157" spans="1:1" x14ac:dyDescent="0.3">
      <c r="A157" s="99">
        <f t="shared" si="2"/>
        <v>155</v>
      </c>
    </row>
    <row r="158" spans="1:1" x14ac:dyDescent="0.3">
      <c r="A158" s="99">
        <f t="shared" si="2"/>
        <v>156</v>
      </c>
    </row>
    <row r="159" spans="1:1" x14ac:dyDescent="0.3">
      <c r="A159" s="99">
        <f t="shared" si="2"/>
        <v>157</v>
      </c>
    </row>
    <row r="160" spans="1:1" x14ac:dyDescent="0.3">
      <c r="A160" s="99">
        <f t="shared" si="2"/>
        <v>158</v>
      </c>
    </row>
    <row r="161" spans="1:1" x14ac:dyDescent="0.3">
      <c r="A161" s="99">
        <f t="shared" si="2"/>
        <v>159</v>
      </c>
    </row>
    <row r="162" spans="1:1" x14ac:dyDescent="0.3">
      <c r="A162" s="99">
        <f t="shared" si="2"/>
        <v>160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61685-09BC-4A4D-8DD3-00DB0B7B4F81}">
  <sheetPr codeName="Лист14"/>
  <dimension ref="A1:E13"/>
  <sheetViews>
    <sheetView tabSelected="1" workbookViewId="0">
      <selection activeCell="E17" sqref="E17"/>
    </sheetView>
  </sheetViews>
  <sheetFormatPr defaultRowHeight="14.4" x14ac:dyDescent="0.3"/>
  <cols>
    <col min="1" max="1" width="24.77734375" style="4" customWidth="1"/>
    <col min="2" max="2" width="22.33203125" style="4" customWidth="1"/>
    <col min="3" max="3" width="16" style="4" customWidth="1"/>
    <col min="4" max="4" width="23.44140625" style="4" customWidth="1"/>
    <col min="5" max="5" width="9.33203125" style="4" customWidth="1"/>
    <col min="6" max="16384" width="8.88671875" style="4"/>
  </cols>
  <sheetData>
    <row r="1" spans="1:5" s="2" customFormat="1" ht="15" thickBot="1" x14ac:dyDescent="0.35">
      <c r="A1" s="72" t="s">
        <v>49</v>
      </c>
      <c r="B1" s="73" t="s">
        <v>37</v>
      </c>
      <c r="C1" s="74"/>
      <c r="D1" s="75" t="s">
        <v>41</v>
      </c>
      <c r="E1" s="74"/>
    </row>
    <row r="2" spans="1:5" s="25" customFormat="1" ht="15" thickBot="1" x14ac:dyDescent="0.35">
      <c r="A2" s="76"/>
      <c r="B2" s="77" t="s">
        <v>38</v>
      </c>
      <c r="C2" s="78" t="s">
        <v>27</v>
      </c>
      <c r="D2" s="77" t="s">
        <v>38</v>
      </c>
      <c r="E2" s="78" t="s">
        <v>43</v>
      </c>
    </row>
    <row r="3" spans="1:5" s="20" customFormat="1" x14ac:dyDescent="0.3">
      <c r="A3" s="79" t="s">
        <v>17</v>
      </c>
      <c r="B3" s="80" t="s">
        <v>39</v>
      </c>
      <c r="C3" s="81">
        <f>4.5*499</f>
        <v>2245.5</v>
      </c>
      <c r="D3" s="80" t="s">
        <v>42</v>
      </c>
      <c r="E3" s="81">
        <v>4</v>
      </c>
    </row>
    <row r="4" spans="1:5" x14ac:dyDescent="0.3">
      <c r="A4" s="82" t="s">
        <v>18</v>
      </c>
      <c r="B4" s="83" t="s">
        <v>39</v>
      </c>
      <c r="C4" s="81">
        <f>4.5*499</f>
        <v>2245.5</v>
      </c>
      <c r="D4" s="83" t="s">
        <v>42</v>
      </c>
      <c r="E4" s="84">
        <v>4</v>
      </c>
    </row>
    <row r="5" spans="1:5" x14ac:dyDescent="0.3">
      <c r="A5" s="82" t="s">
        <v>19</v>
      </c>
      <c r="B5" s="83" t="s">
        <v>40</v>
      </c>
      <c r="C5" s="84">
        <f>4.6*2095</f>
        <v>9637</v>
      </c>
      <c r="D5" s="83" t="s">
        <v>40</v>
      </c>
      <c r="E5" s="84">
        <v>16</v>
      </c>
    </row>
    <row r="6" spans="1:5" x14ac:dyDescent="0.3">
      <c r="A6" s="82" t="s">
        <v>20</v>
      </c>
      <c r="B6" s="83" t="s">
        <v>40</v>
      </c>
      <c r="C6" s="84">
        <f>4.6*2095</f>
        <v>9637</v>
      </c>
      <c r="D6" s="83" t="s">
        <v>40</v>
      </c>
      <c r="E6" s="84">
        <v>16</v>
      </c>
    </row>
    <row r="12" spans="1:5" x14ac:dyDescent="0.3">
      <c r="C12" s="85" t="s">
        <v>16</v>
      </c>
    </row>
    <row r="13" spans="1:5" x14ac:dyDescent="0.3">
      <c r="C13" s="85" t="s">
        <v>44</v>
      </c>
    </row>
  </sheetData>
  <hyperlinks>
    <hyperlink ref="C12" r:id="rId1" xr:uid="{CE07BA51-2F6F-4B07-BAF9-2B60FC6EBBA3}"/>
    <hyperlink ref="C13" r:id="rId2" xr:uid="{39D99C51-BE07-4A87-BDD6-ADE9CC025F2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116E0-D152-4A78-9ED8-8F359E4DE0FB}">
  <sheetPr codeName="Лист15"/>
  <dimension ref="A1:BI18"/>
  <sheetViews>
    <sheetView workbookViewId="0">
      <pane xSplit="1" topLeftCell="AP1" activePane="topRight" state="frozen"/>
      <selection pane="topRight" activeCell="G3" sqref="G3"/>
    </sheetView>
  </sheetViews>
  <sheetFormatPr defaultRowHeight="14.4" x14ac:dyDescent="0.3"/>
  <cols>
    <col min="1" max="1" width="24.109375" style="89" customWidth="1"/>
    <col min="2" max="2" width="16.44140625" style="71" customWidth="1"/>
    <col min="3" max="3" width="8.5546875" style="5" customWidth="1"/>
    <col min="4" max="4" width="13.109375" style="5" customWidth="1"/>
    <col min="5" max="6" width="8.88671875" style="5"/>
    <col min="7" max="7" width="9.77734375" style="1" customWidth="1"/>
    <col min="8" max="8" width="8.88671875" style="1"/>
    <col min="9" max="9" width="14" style="1" customWidth="1"/>
    <col min="10" max="10" width="8.88671875" style="1"/>
    <col min="11" max="11" width="10" style="1" customWidth="1"/>
    <col min="12" max="12" width="8.88671875" style="14"/>
    <col min="13" max="13" width="11.21875" style="14" customWidth="1"/>
    <col min="14" max="14" width="13.77734375" style="14" customWidth="1"/>
    <col min="15" max="16" width="8.88671875" style="14"/>
    <col min="17" max="18" width="8.88671875" style="5"/>
    <col min="19" max="19" width="13.6640625" style="5" customWidth="1"/>
    <col min="20" max="21" width="8.88671875" style="5"/>
    <col min="22" max="23" width="8.88671875" style="1"/>
    <col min="24" max="24" width="13.5546875" style="1" customWidth="1"/>
    <col min="25" max="26" width="8.88671875" style="1"/>
    <col min="27" max="28" width="8.88671875" style="46"/>
    <col min="29" max="29" width="14.33203125" style="14" customWidth="1"/>
    <col min="30" max="31" width="8.88671875" style="14"/>
    <col min="32" max="33" width="8.88671875" style="5"/>
    <col min="34" max="34" width="13.6640625" style="5" customWidth="1"/>
    <col min="35" max="36" width="8.88671875" style="5"/>
    <col min="37" max="38" width="8.88671875" style="50"/>
    <col min="39" max="39" width="13.6640625" style="1" customWidth="1"/>
    <col min="40" max="41" width="8.88671875" style="1"/>
    <col min="42" max="43" width="8.88671875" style="46"/>
    <col min="44" max="44" width="14.33203125" style="14" customWidth="1"/>
    <col min="45" max="46" width="8.88671875" style="14"/>
    <col min="47" max="47" width="13.21875" style="5" customWidth="1"/>
    <col min="48" max="48" width="14.109375" style="5" customWidth="1"/>
    <col min="49" max="49" width="13.6640625" style="5" customWidth="1"/>
    <col min="50" max="51" width="8.88671875" style="5"/>
    <col min="52" max="52" width="13.44140625" style="1" customWidth="1"/>
    <col min="53" max="53" width="8.88671875" style="1"/>
    <col min="54" max="54" width="13.6640625" style="1" customWidth="1"/>
    <col min="55" max="56" width="8.88671875" style="1"/>
    <col min="57" max="59" width="8.88671875" style="6"/>
    <col min="60" max="60" width="6.6640625" style="19" customWidth="1"/>
    <col min="61" max="61" width="5.77734375" style="49" customWidth="1"/>
    <col min="62" max="16384" width="8.88671875" style="6"/>
  </cols>
  <sheetData>
    <row r="1" spans="1:61" s="51" customFormat="1" x14ac:dyDescent="0.3">
      <c r="A1" s="92" t="s">
        <v>49</v>
      </c>
      <c r="B1" s="53" t="s">
        <v>23</v>
      </c>
      <c r="C1" s="53"/>
      <c r="D1" s="53"/>
      <c r="E1" s="53"/>
      <c r="F1" s="54"/>
      <c r="G1" s="55" t="s">
        <v>24</v>
      </c>
      <c r="H1" s="56"/>
      <c r="I1" s="56"/>
      <c r="J1" s="56"/>
      <c r="K1" s="57"/>
      <c r="L1" s="58" t="s">
        <v>25</v>
      </c>
      <c r="M1" s="59"/>
      <c r="N1" s="59"/>
      <c r="O1" s="59"/>
      <c r="P1" s="60"/>
      <c r="Q1" s="52" t="s">
        <v>26</v>
      </c>
      <c r="R1" s="53"/>
      <c r="S1" s="53"/>
      <c r="T1" s="53"/>
      <c r="U1" s="54"/>
      <c r="V1" s="55" t="s">
        <v>32</v>
      </c>
      <c r="W1" s="56"/>
      <c r="X1" s="56"/>
      <c r="Y1" s="56"/>
      <c r="Z1" s="57"/>
      <c r="AA1" s="61" t="s">
        <v>33</v>
      </c>
      <c r="AB1" s="62"/>
      <c r="AC1" s="59"/>
      <c r="AD1" s="59"/>
      <c r="AE1" s="60"/>
      <c r="AF1" s="52" t="s">
        <v>34</v>
      </c>
      <c r="AG1" s="53"/>
      <c r="AH1" s="53"/>
      <c r="AI1" s="53"/>
      <c r="AJ1" s="54"/>
      <c r="AK1" s="63" t="s">
        <v>36</v>
      </c>
      <c r="AL1" s="64"/>
      <c r="AM1" s="56"/>
      <c r="AN1" s="56"/>
      <c r="AO1" s="57"/>
      <c r="AP1" s="61" t="s">
        <v>45</v>
      </c>
      <c r="AQ1" s="62"/>
      <c r="AR1" s="59"/>
      <c r="AS1" s="59"/>
      <c r="AT1" s="60"/>
      <c r="AU1" s="52" t="s">
        <v>50</v>
      </c>
      <c r="AV1" s="53"/>
      <c r="AW1" s="53"/>
      <c r="AX1" s="53"/>
      <c r="AY1" s="54"/>
      <c r="AZ1" s="55" t="s">
        <v>51</v>
      </c>
      <c r="BA1" s="56"/>
      <c r="BB1" s="56"/>
      <c r="BC1" s="56"/>
      <c r="BD1" s="57"/>
      <c r="BH1" s="65" t="s">
        <v>21</v>
      </c>
      <c r="BI1" s="66" t="s">
        <v>22</v>
      </c>
    </row>
    <row r="2" spans="1:61" s="33" customFormat="1" ht="15" thickBot="1" x14ac:dyDescent="0.35">
      <c r="A2" s="87"/>
      <c r="B2" s="69" t="s">
        <v>27</v>
      </c>
      <c r="C2" s="26" t="s">
        <v>28</v>
      </c>
      <c r="D2" s="26" t="s">
        <v>29</v>
      </c>
      <c r="E2" s="26" t="s">
        <v>30</v>
      </c>
      <c r="F2" s="26" t="s">
        <v>31</v>
      </c>
      <c r="G2" s="27" t="s">
        <v>27</v>
      </c>
      <c r="H2" s="27" t="s">
        <v>28</v>
      </c>
      <c r="I2" s="27" t="s">
        <v>29</v>
      </c>
      <c r="J2" s="27" t="s">
        <v>30</v>
      </c>
      <c r="K2" s="27" t="s">
        <v>31</v>
      </c>
      <c r="L2" s="28" t="s">
        <v>27</v>
      </c>
      <c r="M2" s="28" t="s">
        <v>28</v>
      </c>
      <c r="N2" s="28" t="s">
        <v>29</v>
      </c>
      <c r="O2" s="28" t="s">
        <v>30</v>
      </c>
      <c r="P2" s="28" t="s">
        <v>31</v>
      </c>
      <c r="Q2" s="26" t="s">
        <v>27</v>
      </c>
      <c r="R2" s="26" t="s">
        <v>28</v>
      </c>
      <c r="S2" s="26" t="s">
        <v>29</v>
      </c>
      <c r="T2" s="26" t="s">
        <v>30</v>
      </c>
      <c r="U2" s="26" t="s">
        <v>31</v>
      </c>
      <c r="V2" s="27" t="s">
        <v>27</v>
      </c>
      <c r="W2" s="27" t="s">
        <v>28</v>
      </c>
      <c r="X2" s="27" t="s">
        <v>29</v>
      </c>
      <c r="Y2" s="27" t="s">
        <v>30</v>
      </c>
      <c r="Z2" s="27" t="s">
        <v>31</v>
      </c>
      <c r="AA2" s="37" t="s">
        <v>27</v>
      </c>
      <c r="AB2" s="37" t="s">
        <v>35</v>
      </c>
      <c r="AC2" s="28" t="s">
        <v>29</v>
      </c>
      <c r="AD2" s="28" t="s">
        <v>30</v>
      </c>
      <c r="AE2" s="28" t="s">
        <v>31</v>
      </c>
      <c r="AF2" s="26" t="s">
        <v>27</v>
      </c>
      <c r="AG2" s="26" t="s">
        <v>35</v>
      </c>
      <c r="AH2" s="26" t="s">
        <v>29</v>
      </c>
      <c r="AI2" s="26" t="s">
        <v>30</v>
      </c>
      <c r="AJ2" s="26" t="s">
        <v>31</v>
      </c>
      <c r="AK2" s="38" t="s">
        <v>27</v>
      </c>
      <c r="AL2" s="38" t="s">
        <v>35</v>
      </c>
      <c r="AM2" s="27" t="s">
        <v>29</v>
      </c>
      <c r="AN2" s="27" t="s">
        <v>30</v>
      </c>
      <c r="AO2" s="27" t="s">
        <v>31</v>
      </c>
      <c r="AP2" s="37" t="s">
        <v>27</v>
      </c>
      <c r="AQ2" s="37" t="s">
        <v>28</v>
      </c>
      <c r="AR2" s="28" t="s">
        <v>29</v>
      </c>
      <c r="AS2" s="28" t="s">
        <v>30</v>
      </c>
      <c r="AT2" s="28" t="s">
        <v>31</v>
      </c>
      <c r="AU2" s="26" t="s">
        <v>27</v>
      </c>
      <c r="AV2" s="26" t="s">
        <v>35</v>
      </c>
      <c r="AW2" s="26" t="s">
        <v>29</v>
      </c>
      <c r="AX2" s="26" t="s">
        <v>30</v>
      </c>
      <c r="AY2" s="26" t="s">
        <v>31</v>
      </c>
      <c r="AZ2" s="27" t="s">
        <v>27</v>
      </c>
      <c r="BA2" s="27" t="s">
        <v>35</v>
      </c>
      <c r="BB2" s="27" t="s">
        <v>29</v>
      </c>
      <c r="BC2" s="27" t="s">
        <v>30</v>
      </c>
      <c r="BD2" s="27" t="s">
        <v>31</v>
      </c>
      <c r="BH2" s="29"/>
      <c r="BI2" s="39"/>
    </row>
    <row r="3" spans="1:61" s="31" customFormat="1" x14ac:dyDescent="0.3">
      <c r="A3" s="88" t="s">
        <v>17</v>
      </c>
      <c r="B3" s="70">
        <f>'Сравн.с_физ.Кг_s1'!U3+'Сравн.с_физ.Кг_s12'!U3</f>
        <v>42</v>
      </c>
      <c r="C3" s="43">
        <f>MAX(B3:B6)</f>
        <v>42</v>
      </c>
      <c r="D3" s="21">
        <f>B3/$C$3</f>
        <v>1</v>
      </c>
      <c r="E3" s="43">
        <f>1/11</f>
        <v>9.0909090909090912E-2</v>
      </c>
      <c r="F3" s="43">
        <v>1</v>
      </c>
      <c r="G3" s="22">
        <f>Сравн.Время!P3</f>
        <v>6</v>
      </c>
      <c r="H3" s="44">
        <f>MAX(G3:G6)</f>
        <v>10</v>
      </c>
      <c r="I3" s="22">
        <f>G3/$H$3</f>
        <v>0.6</v>
      </c>
      <c r="J3" s="44">
        <f>1/11</f>
        <v>9.0909090909090912E-2</v>
      </c>
      <c r="K3" s="44">
        <v>1</v>
      </c>
      <c r="L3" s="23">
        <f>СредаЯзык!C3</f>
        <v>2245.5</v>
      </c>
      <c r="M3" s="45">
        <f>MAX(L3:L6)</f>
        <v>9637</v>
      </c>
      <c r="N3" s="23">
        <f>L3/$M$3</f>
        <v>0.23300819757185845</v>
      </c>
      <c r="O3" s="45">
        <f>1/11</f>
        <v>9.0909090909090912E-2</v>
      </c>
      <c r="P3" s="45">
        <v>1</v>
      </c>
      <c r="Q3" s="21">
        <v>0</v>
      </c>
      <c r="R3" s="43">
        <f>MAX(Q3:Q6)</f>
        <v>1</v>
      </c>
      <c r="S3" s="21">
        <f>Q3/$R$3</f>
        <v>0</v>
      </c>
      <c r="T3" s="43">
        <f>1/11</f>
        <v>9.0909090909090912E-2</v>
      </c>
      <c r="U3" s="43">
        <v>1</v>
      </c>
      <c r="V3" s="22">
        <v>0.9</v>
      </c>
      <c r="W3" s="44">
        <f>MAX(V3:V6)</f>
        <v>0.9</v>
      </c>
      <c r="X3" s="22">
        <f>V3/$W$3</f>
        <v>1</v>
      </c>
      <c r="Y3" s="44">
        <f>1/11</f>
        <v>9.0909090909090912E-2</v>
      </c>
      <c r="Z3" s="44">
        <v>1</v>
      </c>
      <c r="AA3" s="40">
        <v>85</v>
      </c>
      <c r="AB3" s="47">
        <f>MIN(AA3:AA6)</f>
        <v>10</v>
      </c>
      <c r="AC3" s="23">
        <f>AA3/$AB$3</f>
        <v>8.5</v>
      </c>
      <c r="AD3" s="45">
        <f>1/11</f>
        <v>9.0909090909090912E-2</v>
      </c>
      <c r="AE3" s="45">
        <v>-1</v>
      </c>
      <c r="AF3" s="21">
        <v>0.01</v>
      </c>
      <c r="AG3" s="43">
        <f>MIN(AF3:AF6)</f>
        <v>0.01</v>
      </c>
      <c r="AH3" s="21">
        <f>AF3/$AG$3</f>
        <v>1</v>
      </c>
      <c r="AI3" s="43">
        <f>1/11</f>
        <v>9.0909090909090912E-2</v>
      </c>
      <c r="AJ3" s="43">
        <v>-1</v>
      </c>
      <c r="AK3" s="41">
        <f>СредаЯзык!E3</f>
        <v>4</v>
      </c>
      <c r="AL3" s="48">
        <f>MIN(AK3:AK6)</f>
        <v>4</v>
      </c>
      <c r="AM3" s="22">
        <f>AK3/$AL$3</f>
        <v>1</v>
      </c>
      <c r="AN3" s="44">
        <f>1/11</f>
        <v>9.0909090909090912E-2</v>
      </c>
      <c r="AO3" s="44">
        <v>-1</v>
      </c>
      <c r="AP3" s="40">
        <f>Сравн.Память!P3</f>
        <v>6</v>
      </c>
      <c r="AQ3" s="47">
        <f>MAX(AP3:AP6)</f>
        <v>10</v>
      </c>
      <c r="AR3" s="23">
        <f>AP3/$AQ$3</f>
        <v>0.6</v>
      </c>
      <c r="AS3" s="45">
        <f>1/11</f>
        <v>9.0909090909090912E-2</v>
      </c>
      <c r="AT3" s="45">
        <v>1</v>
      </c>
      <c r="AU3" s="21">
        <v>1</v>
      </c>
      <c r="AV3" s="43">
        <f>MIN(AU3:AU6)</f>
        <v>0.5</v>
      </c>
      <c r="AW3" s="21">
        <f>AU3/$AV$3</f>
        <v>2</v>
      </c>
      <c r="AX3" s="43">
        <f>1/11</f>
        <v>9.0909090909090912E-2</v>
      </c>
      <c r="AY3" s="43">
        <v>-1</v>
      </c>
      <c r="AZ3" s="22">
        <v>1</v>
      </c>
      <c r="BA3" s="44">
        <f>MIN(AZ3:AZ6)</f>
        <v>0.1</v>
      </c>
      <c r="BB3" s="22">
        <f>AZ3/$BA$3</f>
        <v>10</v>
      </c>
      <c r="BC3" s="44">
        <f>1/11</f>
        <v>9.0909090909090912E-2</v>
      </c>
      <c r="BD3" s="44">
        <v>-1</v>
      </c>
      <c r="BH3" s="24">
        <f>POWER(D3,$F$3)*$E$3+POWER(I3,$K$3)*$J$3+POWER(N3,$P$3)*$O$3+POWER(S3,$U$3)*$T$3+POWER(X3,$Z$3)*$Y$3+POWER(AC3,$AE$3)*$AD$3+POWER(AH3,$AJ$3)*$AI$3+POWER(AM3,$AO$3)*$AN$3+POWER(AR3,$AT$3)*$AS$3+POWER(AW3,$AY$3)*$AX$3+POWER(BB3,$BD$3)*$BC$3</f>
        <v>0.55915047785412608</v>
      </c>
      <c r="BI3" s="42" cm="1">
        <f t="array" ref="BI3">PointMin4($BH$3,$BH$4,$BH$5,$BH$6,BH3)</f>
        <v>2</v>
      </c>
    </row>
    <row r="4" spans="1:61" x14ac:dyDescent="0.3">
      <c r="A4" s="89" t="s">
        <v>18</v>
      </c>
      <c r="B4" s="70">
        <f>'Сравн.с_физ.Кг_s1'!V3+'Сравн.с_физ.Кг_s12'!V3</f>
        <v>14</v>
      </c>
      <c r="C4" s="43"/>
      <c r="D4" s="21">
        <f t="shared" ref="D4:D6" si="0">B4/$C$3</f>
        <v>0.33333333333333331</v>
      </c>
      <c r="E4" s="43"/>
      <c r="F4" s="43"/>
      <c r="G4" s="1">
        <f>Сравн.Время!Q3</f>
        <v>10</v>
      </c>
      <c r="H4" s="44"/>
      <c r="I4" s="22">
        <f t="shared" ref="I4:I6" si="1">G4/$H$3</f>
        <v>1</v>
      </c>
      <c r="J4" s="44"/>
      <c r="K4" s="44"/>
      <c r="L4" s="23">
        <f>СредаЯзык!C4</f>
        <v>2245.5</v>
      </c>
      <c r="M4" s="45"/>
      <c r="N4" s="23">
        <f t="shared" ref="N4:N6" si="2">L4/$M$3</f>
        <v>0.23300819757185845</v>
      </c>
      <c r="O4" s="45"/>
      <c r="P4" s="45"/>
      <c r="Q4" s="5">
        <v>1</v>
      </c>
      <c r="R4" s="43"/>
      <c r="S4" s="21">
        <f t="shared" ref="S4:S6" si="3">Q4/$R$3</f>
        <v>1</v>
      </c>
      <c r="T4" s="43"/>
      <c r="U4" s="43"/>
      <c r="V4" s="1">
        <v>0</v>
      </c>
      <c r="W4" s="44"/>
      <c r="X4" s="22">
        <f t="shared" ref="X4:X6" si="4">V4/$W$3</f>
        <v>0</v>
      </c>
      <c r="Y4" s="44"/>
      <c r="Z4" s="44"/>
      <c r="AA4" s="46">
        <v>10</v>
      </c>
      <c r="AB4" s="47"/>
      <c r="AC4" s="23">
        <f t="shared" ref="AC4:AC6" si="5">AA4/$AB$3</f>
        <v>1</v>
      </c>
      <c r="AD4" s="45"/>
      <c r="AE4" s="45"/>
      <c r="AF4" s="5">
        <v>1</v>
      </c>
      <c r="AG4" s="43"/>
      <c r="AH4" s="21">
        <f t="shared" ref="AH4:AH6" si="6">AF4/$AG$3</f>
        <v>100</v>
      </c>
      <c r="AI4" s="43"/>
      <c r="AJ4" s="43"/>
      <c r="AK4" s="41">
        <f>СредаЯзык!E4</f>
        <v>4</v>
      </c>
      <c r="AL4" s="48"/>
      <c r="AM4" s="22">
        <f>AK4/$AL$3</f>
        <v>1</v>
      </c>
      <c r="AN4" s="44"/>
      <c r="AO4" s="44"/>
      <c r="AP4" s="40">
        <f>Сравн.Память!Q3</f>
        <v>9</v>
      </c>
      <c r="AQ4" s="47"/>
      <c r="AR4" s="23">
        <f t="shared" ref="AR4:AR6" si="7">AP4/$AQ$3</f>
        <v>0.9</v>
      </c>
      <c r="AS4" s="45"/>
      <c r="AT4" s="45"/>
      <c r="AU4" s="5">
        <v>0.5</v>
      </c>
      <c r="AV4" s="43"/>
      <c r="AW4" s="21">
        <f>AU4/$AV$3</f>
        <v>1</v>
      </c>
      <c r="AX4" s="43"/>
      <c r="AY4" s="43"/>
      <c r="AZ4" s="22">
        <v>0.1</v>
      </c>
      <c r="BA4" s="44"/>
      <c r="BB4" s="22">
        <f t="shared" ref="BB4:BB6" si="8">AZ4/$BA$3</f>
        <v>1</v>
      </c>
      <c r="BC4" s="44"/>
      <c r="BD4" s="44"/>
      <c r="BH4" s="24">
        <f t="shared" ref="BH4:BH6" si="9">POWER(D4,$F$3)*$E$3+POWER(I4,$K$3)*$J$3+POWER(N4,$P$3)*$O$3+POWER(S4,$U$3)*$T$3+POWER(X4,$Z$3)*$Y$3+POWER(AC4,$AE$3)*$AD$3+POWER(AH4,$AJ$3)*$AI$3+POWER(AM4,$AO$3)*$AN$3+POWER(AR4,$AT$3)*$AS$3+POWER(AW4,$AY$3)*$AX$3+POWER(BB4,$BD$3)*$BC$3</f>
        <v>0.67966741190047197</v>
      </c>
      <c r="BI4" s="42" cm="1">
        <f t="array" ref="BI4">PointMin4($BH$3,$BH$4,$BH$5,$BH$6,BH4)</f>
        <v>1</v>
      </c>
    </row>
    <row r="5" spans="1:61" x14ac:dyDescent="0.3">
      <c r="A5" s="89" t="s">
        <v>19</v>
      </c>
      <c r="B5" s="70">
        <f>'Сравн.с_физ.Кг_s1'!W3+'Сравн.с_физ.Кг_s12'!W3</f>
        <v>12</v>
      </c>
      <c r="C5" s="43"/>
      <c r="D5" s="21">
        <f t="shared" si="0"/>
        <v>0.2857142857142857</v>
      </c>
      <c r="E5" s="43"/>
      <c r="F5" s="43"/>
      <c r="G5" s="1">
        <f>Сравн.Время!R3</f>
        <v>9</v>
      </c>
      <c r="H5" s="44"/>
      <c r="I5" s="22">
        <f t="shared" si="1"/>
        <v>0.9</v>
      </c>
      <c r="J5" s="44"/>
      <c r="K5" s="44"/>
      <c r="L5" s="23">
        <f>СредаЯзык!C5</f>
        <v>9637</v>
      </c>
      <c r="M5" s="45"/>
      <c r="N5" s="23">
        <f t="shared" si="2"/>
        <v>1</v>
      </c>
      <c r="O5" s="45"/>
      <c r="P5" s="45"/>
      <c r="Q5" s="5">
        <v>0</v>
      </c>
      <c r="R5" s="43"/>
      <c r="S5" s="21">
        <f t="shared" si="3"/>
        <v>0</v>
      </c>
      <c r="T5" s="43"/>
      <c r="U5" s="43"/>
      <c r="V5" s="1">
        <v>0</v>
      </c>
      <c r="W5" s="44"/>
      <c r="X5" s="22">
        <f t="shared" si="4"/>
        <v>0</v>
      </c>
      <c r="Y5" s="44"/>
      <c r="Z5" s="44"/>
      <c r="AA5" s="46">
        <v>10</v>
      </c>
      <c r="AB5" s="47"/>
      <c r="AC5" s="23">
        <f t="shared" si="5"/>
        <v>1</v>
      </c>
      <c r="AD5" s="45"/>
      <c r="AE5" s="45"/>
      <c r="AF5" s="5">
        <v>1</v>
      </c>
      <c r="AG5" s="43"/>
      <c r="AH5" s="21">
        <f t="shared" si="6"/>
        <v>100</v>
      </c>
      <c r="AI5" s="43"/>
      <c r="AJ5" s="43"/>
      <c r="AK5" s="41">
        <f>СредаЯзык!E5</f>
        <v>16</v>
      </c>
      <c r="AL5" s="48"/>
      <c r="AM5" s="22">
        <f>AK5/$AL$3</f>
        <v>4</v>
      </c>
      <c r="AN5" s="44"/>
      <c r="AO5" s="44"/>
      <c r="AP5" s="40">
        <f>Сравн.Память!R3</f>
        <v>10</v>
      </c>
      <c r="AQ5" s="47"/>
      <c r="AR5" s="23">
        <f t="shared" si="7"/>
        <v>1</v>
      </c>
      <c r="AS5" s="45"/>
      <c r="AT5" s="45"/>
      <c r="AU5" s="5">
        <v>1</v>
      </c>
      <c r="AV5" s="43"/>
      <c r="AW5" s="21">
        <f t="shared" ref="AW5:AW6" si="10">AU5/$AV$3</f>
        <v>2</v>
      </c>
      <c r="AX5" s="43"/>
      <c r="AY5" s="43"/>
      <c r="AZ5" s="22">
        <v>0.1</v>
      </c>
      <c r="BA5" s="44"/>
      <c r="BB5" s="22">
        <f t="shared" si="8"/>
        <v>1</v>
      </c>
      <c r="BC5" s="44"/>
      <c r="BD5" s="44"/>
      <c r="BH5" s="24">
        <f t="shared" si="9"/>
        <v>0.54051948051948051</v>
      </c>
      <c r="BI5" s="42" cm="1">
        <f t="array" ref="BI5">PointMin4($BH$3,$BH$4,$BH$5,$BH$6,BH5)</f>
        <v>3</v>
      </c>
    </row>
    <row r="6" spans="1:61" x14ac:dyDescent="0.3">
      <c r="A6" s="89" t="s">
        <v>20</v>
      </c>
      <c r="B6" s="70">
        <f>'Сравн.с_физ.Кг_s1'!X3+'Сравн.с_физ.Кг_s12'!X3</f>
        <v>16</v>
      </c>
      <c r="C6" s="21"/>
      <c r="D6" s="21">
        <f t="shared" si="0"/>
        <v>0.38095238095238093</v>
      </c>
      <c r="E6" s="21"/>
      <c r="F6" s="21"/>
      <c r="G6" s="1">
        <f>Сравн.Время!S3</f>
        <v>8</v>
      </c>
      <c r="H6" s="22"/>
      <c r="I6" s="22">
        <f t="shared" si="1"/>
        <v>0.8</v>
      </c>
      <c r="J6" s="22"/>
      <c r="K6" s="22"/>
      <c r="L6" s="23">
        <f>СредаЯзык!C6</f>
        <v>9637</v>
      </c>
      <c r="M6" s="23"/>
      <c r="N6" s="23">
        <f t="shared" si="2"/>
        <v>1</v>
      </c>
      <c r="O6" s="23"/>
      <c r="P6" s="23"/>
      <c r="Q6" s="5">
        <v>0</v>
      </c>
      <c r="R6" s="21"/>
      <c r="S6" s="21">
        <f t="shared" si="3"/>
        <v>0</v>
      </c>
      <c r="T6" s="21"/>
      <c r="U6" s="21"/>
      <c r="V6" s="1">
        <v>0.5</v>
      </c>
      <c r="W6" s="22"/>
      <c r="X6" s="22">
        <f t="shared" si="4"/>
        <v>0.55555555555555558</v>
      </c>
      <c r="Y6" s="22"/>
      <c r="Z6" s="22"/>
      <c r="AA6" s="46">
        <v>85</v>
      </c>
      <c r="AB6" s="40"/>
      <c r="AC6" s="23">
        <f t="shared" si="5"/>
        <v>8.5</v>
      </c>
      <c r="AD6" s="23"/>
      <c r="AE6" s="23"/>
      <c r="AF6" s="5">
        <v>0.01</v>
      </c>
      <c r="AG6" s="21"/>
      <c r="AH6" s="21">
        <f t="shared" si="6"/>
        <v>1</v>
      </c>
      <c r="AI6" s="21"/>
      <c r="AJ6" s="21"/>
      <c r="AK6" s="41">
        <f>СредаЯзык!E6</f>
        <v>16</v>
      </c>
      <c r="AL6" s="41"/>
      <c r="AM6" s="22">
        <f t="shared" ref="AM6" si="11">AK6/$AL$3</f>
        <v>4</v>
      </c>
      <c r="AN6" s="22"/>
      <c r="AO6" s="22"/>
      <c r="AP6" s="40">
        <f>Сравн.Память!S3</f>
        <v>8</v>
      </c>
      <c r="AQ6" s="40"/>
      <c r="AR6" s="23">
        <f t="shared" si="7"/>
        <v>0.8</v>
      </c>
      <c r="AS6" s="23"/>
      <c r="AT6" s="23"/>
      <c r="AU6" s="5">
        <v>1</v>
      </c>
      <c r="AV6" s="21"/>
      <c r="AW6" s="21">
        <f t="shared" si="10"/>
        <v>2</v>
      </c>
      <c r="AX6" s="21"/>
      <c r="AY6" s="21"/>
      <c r="AZ6" s="22">
        <v>1</v>
      </c>
      <c r="BA6" s="22"/>
      <c r="BB6" s="22">
        <f t="shared" si="8"/>
        <v>10</v>
      </c>
      <c r="BC6" s="22"/>
      <c r="BD6" s="22"/>
      <c r="BH6" s="24">
        <f t="shared" si="9"/>
        <v>0.50037772684831516</v>
      </c>
      <c r="BI6" s="42" cm="1">
        <f t="array" ref="BI6">PointMin4($BH$3,$BH$4,$BH$5,$BH$6,BH6)</f>
        <v>4</v>
      </c>
    </row>
    <row r="12" spans="1:61" x14ac:dyDescent="0.3">
      <c r="A12" s="90"/>
    </row>
    <row r="13" spans="1:61" x14ac:dyDescent="0.3">
      <c r="A13" s="90"/>
    </row>
    <row r="14" spans="1:61" x14ac:dyDescent="0.3">
      <c r="A14" s="91"/>
    </row>
    <row r="15" spans="1:61" x14ac:dyDescent="0.3">
      <c r="A15" s="90"/>
    </row>
    <row r="16" spans="1:61" x14ac:dyDescent="0.3">
      <c r="A16" s="90"/>
    </row>
    <row r="17" spans="1:2" x14ac:dyDescent="0.3">
      <c r="A17" s="91"/>
      <c r="B17" s="86"/>
    </row>
    <row r="18" spans="1:2" x14ac:dyDescent="0.3">
      <c r="B18" s="8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Сравн.с_физ.Кг_s1</vt:lpstr>
      <vt:lpstr>Сравн.с_физ.Кг_s12</vt:lpstr>
      <vt:lpstr>Сравн.Время</vt:lpstr>
      <vt:lpstr>Сравн.Память</vt:lpstr>
      <vt:lpstr>СредаЯзык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Татьяна</dc:creator>
  <cp:lastModifiedBy>Павел Волков</cp:lastModifiedBy>
  <dcterms:created xsi:type="dcterms:W3CDTF">2015-06-05T18:19:34Z</dcterms:created>
  <dcterms:modified xsi:type="dcterms:W3CDTF">2025-05-19T11:59:45Z</dcterms:modified>
</cp:coreProperties>
</file>