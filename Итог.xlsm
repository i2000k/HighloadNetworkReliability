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Татьяна\Downloads\Excel-файлы\"/>
    </mc:Choice>
  </mc:AlternateContent>
  <xr:revisionPtr revIDLastSave="0" documentId="13_ncr:1_{2C34FB9B-6D5D-4BE3-9632-9D54759C14D9}" xr6:coauthVersionLast="47" xr6:coauthVersionMax="47" xr10:uidLastSave="{00000000-0000-0000-0000-000000000000}"/>
  <bookViews>
    <workbookView xWindow="-108" yWindow="-108" windowWidth="23256" windowHeight="12576" tabRatio="800" activeTab="3" xr2:uid="{00000000-000D-0000-FFFF-FFFF00000000}"/>
  </bookViews>
  <sheets>
    <sheet name="Сравн.с_физ.Кг_s1" sheetId="5" r:id="rId1"/>
    <sheet name="Сравн.с_физ.Кг_s12" sheetId="14" r:id="rId2"/>
    <sheet name="Сравн.Время" sheetId="7" r:id="rId3"/>
    <sheet name="Сравн.Память" sheetId="15" r:id="rId4"/>
    <sheet name="СредаЯзык" sheetId="9" r:id="rId5"/>
    <sheet name="Итог" sheetId="8" r:id="rId6"/>
  </sheets>
  <functionGroups builtInGroupCount="19"/>
  <externalReferences>
    <externalReference r:id="rId7"/>
    <externalReference r:id="rId8"/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8" i="14" l="1"/>
  <c r="E78" i="14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G3" i="15"/>
  <c r="F3" i="15"/>
  <c r="F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I8" i="14"/>
  <c r="I13" i="14"/>
  <c r="I18" i="14"/>
  <c r="I23" i="14"/>
  <c r="I28" i="14"/>
  <c r="I33" i="14"/>
  <c r="I38" i="14"/>
  <c r="I43" i="14"/>
  <c r="I48" i="14"/>
  <c r="I53" i="14"/>
  <c r="I54" i="14"/>
  <c r="I58" i="14"/>
  <c r="I59" i="14"/>
  <c r="I63" i="14"/>
  <c r="I68" i="14"/>
  <c r="I73" i="14"/>
  <c r="I78" i="14"/>
  <c r="I81" i="14"/>
  <c r="I82" i="14"/>
  <c r="I83" i="14"/>
  <c r="I84" i="14"/>
  <c r="I85" i="14"/>
  <c r="I86" i="14"/>
  <c r="I87" i="14"/>
  <c r="I88" i="14"/>
  <c r="I3" i="14"/>
  <c r="H8" i="14"/>
  <c r="H13" i="14"/>
  <c r="H18" i="14"/>
  <c r="H23" i="14"/>
  <c r="H28" i="14"/>
  <c r="H33" i="14"/>
  <c r="H38" i="14"/>
  <c r="H43" i="14"/>
  <c r="H48" i="14"/>
  <c r="H53" i="14"/>
  <c r="H54" i="14"/>
  <c r="H58" i="14"/>
  <c r="H59" i="14"/>
  <c r="H63" i="14"/>
  <c r="H68" i="14"/>
  <c r="H73" i="14"/>
  <c r="H78" i="14"/>
  <c r="H81" i="14"/>
  <c r="H82" i="14"/>
  <c r="H83" i="14"/>
  <c r="H84" i="14"/>
  <c r="H85" i="14"/>
  <c r="H86" i="14"/>
  <c r="H87" i="14"/>
  <c r="H88" i="14"/>
  <c r="H3" i="14"/>
  <c r="I8" i="5"/>
  <c r="I13" i="5"/>
  <c r="I18" i="5"/>
  <c r="I23" i="5"/>
  <c r="I28" i="5"/>
  <c r="I33" i="5"/>
  <c r="I38" i="5"/>
  <c r="I43" i="5"/>
  <c r="I48" i="5"/>
  <c r="I53" i="5"/>
  <c r="I54" i="5"/>
  <c r="I58" i="5"/>
  <c r="I59" i="5"/>
  <c r="I63" i="5"/>
  <c r="I68" i="5"/>
  <c r="I73" i="5"/>
  <c r="I78" i="5"/>
  <c r="I81" i="5"/>
  <c r="I82" i="5"/>
  <c r="I83" i="5"/>
  <c r="I84" i="5"/>
  <c r="I85" i="5"/>
  <c r="I86" i="5"/>
  <c r="I87" i="5"/>
  <c r="I88" i="5"/>
  <c r="I3" i="5"/>
  <c r="H8" i="5"/>
  <c r="H13" i="5"/>
  <c r="H18" i="5"/>
  <c r="H23" i="5"/>
  <c r="H28" i="5"/>
  <c r="H33" i="5"/>
  <c r="H38" i="5"/>
  <c r="H43" i="5"/>
  <c r="H48" i="5"/>
  <c r="H53" i="5"/>
  <c r="H54" i="5"/>
  <c r="H58" i="5"/>
  <c r="H59" i="5"/>
  <c r="H63" i="5"/>
  <c r="H68" i="5"/>
  <c r="H73" i="5"/>
  <c r="H78" i="5"/>
  <c r="H81" i="5"/>
  <c r="H82" i="5"/>
  <c r="H83" i="5"/>
  <c r="H84" i="5"/>
  <c r="H85" i="5"/>
  <c r="H86" i="5"/>
  <c r="H87" i="5"/>
  <c r="H88" i="5"/>
  <c r="H3" i="5"/>
  <c r="E4" i="15" l="1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E3" i="15"/>
  <c r="D3" i="15"/>
  <c r="D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B3" i="7"/>
  <c r="D3" i="14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J16" i="14"/>
  <c r="J28" i="14"/>
  <c r="J40" i="14"/>
  <c r="J52" i="14"/>
  <c r="J64" i="14"/>
  <c r="J76" i="14"/>
  <c r="J88" i="14"/>
  <c r="O20" i="5"/>
  <c r="O32" i="5"/>
  <c r="O44" i="5"/>
  <c r="O56" i="5"/>
  <c r="O68" i="5"/>
  <c r="O80" i="5"/>
  <c r="N12" i="5"/>
  <c r="N24" i="5"/>
  <c r="N36" i="5"/>
  <c r="N48" i="5"/>
  <c r="N60" i="5"/>
  <c r="N72" i="5"/>
  <c r="N84" i="5"/>
  <c r="K40" i="5"/>
  <c r="K52" i="5"/>
  <c r="K64" i="5"/>
  <c r="K76" i="5"/>
  <c r="J25" i="5"/>
  <c r="J37" i="5"/>
  <c r="J49" i="5"/>
  <c r="J61" i="5"/>
  <c r="J73" i="5"/>
  <c r="J85" i="5"/>
  <c r="G71" i="14"/>
  <c r="F87" i="14"/>
  <c r="E8" i="14"/>
  <c r="E13" i="14"/>
  <c r="E18" i="14"/>
  <c r="E23" i="14"/>
  <c r="E28" i="14"/>
  <c r="E33" i="14"/>
  <c r="E38" i="14"/>
  <c r="F39" i="14"/>
  <c r="E43" i="14"/>
  <c r="E48" i="14"/>
  <c r="E53" i="14"/>
  <c r="E54" i="14"/>
  <c r="E58" i="14"/>
  <c r="E59" i="14"/>
  <c r="E63" i="14"/>
  <c r="E68" i="14"/>
  <c r="E73" i="14"/>
  <c r="E81" i="14"/>
  <c r="E82" i="14"/>
  <c r="E83" i="14"/>
  <c r="E84" i="14"/>
  <c r="E85" i="14"/>
  <c r="E86" i="14"/>
  <c r="E87" i="14"/>
  <c r="E88" i="14"/>
  <c r="E3" i="14"/>
  <c r="D8" i="14"/>
  <c r="G11" i="14"/>
  <c r="D13" i="14"/>
  <c r="D18" i="14"/>
  <c r="D23" i="14"/>
  <c r="G23" i="14" s="1"/>
  <c r="D28" i="14"/>
  <c r="D33" i="14"/>
  <c r="G35" i="14"/>
  <c r="D38" i="14"/>
  <c r="D43" i="14"/>
  <c r="G47" i="14"/>
  <c r="D48" i="14"/>
  <c r="D53" i="14"/>
  <c r="D54" i="14"/>
  <c r="D58" i="14"/>
  <c r="D59" i="14"/>
  <c r="G59" i="14" s="1"/>
  <c r="D63" i="14"/>
  <c r="D68" i="14"/>
  <c r="D73" i="14"/>
  <c r="D81" i="14"/>
  <c r="D82" i="14"/>
  <c r="D83" i="14"/>
  <c r="G83" i="14" s="1"/>
  <c r="D84" i="14"/>
  <c r="D85" i="14"/>
  <c r="D86" i="14"/>
  <c r="D87" i="14"/>
  <c r="D88" i="14"/>
  <c r="D3" i="5"/>
  <c r="F11" i="14"/>
  <c r="C13" i="14"/>
  <c r="C18" i="14"/>
  <c r="C23" i="14"/>
  <c r="F23" i="14" s="1"/>
  <c r="C28" i="14"/>
  <c r="C33" i="14"/>
  <c r="F35" i="14"/>
  <c r="C38" i="14"/>
  <c r="C43" i="14"/>
  <c r="F47" i="14"/>
  <c r="C48" i="14"/>
  <c r="C53" i="14"/>
  <c r="C54" i="14"/>
  <c r="C58" i="14"/>
  <c r="C59" i="14"/>
  <c r="F59" i="14" s="1"/>
  <c r="C63" i="14"/>
  <c r="C68" i="14"/>
  <c r="F71" i="14"/>
  <c r="C73" i="14"/>
  <c r="C78" i="14"/>
  <c r="C81" i="14"/>
  <c r="C82" i="14"/>
  <c r="C83" i="14"/>
  <c r="F83" i="14" s="1"/>
  <c r="C84" i="14"/>
  <c r="C85" i="14"/>
  <c r="C86" i="14"/>
  <c r="C87" i="14"/>
  <c r="C88" i="14"/>
  <c r="K9" i="14"/>
  <c r="K11" i="14"/>
  <c r="B13" i="14"/>
  <c r="O13" i="14" s="1"/>
  <c r="O14" i="14"/>
  <c r="O15" i="14"/>
  <c r="O16" i="14"/>
  <c r="N17" i="14"/>
  <c r="B18" i="14"/>
  <c r="N18" i="14" s="1"/>
  <c r="G20" i="14"/>
  <c r="K21" i="14"/>
  <c r="B23" i="14"/>
  <c r="K23" i="14" s="1"/>
  <c r="O25" i="14"/>
  <c r="O26" i="14"/>
  <c r="O27" i="14"/>
  <c r="B28" i="14"/>
  <c r="O28" i="14" s="1"/>
  <c r="N29" i="14"/>
  <c r="N30" i="14"/>
  <c r="G32" i="14"/>
  <c r="B33" i="14"/>
  <c r="K33" i="14" s="1"/>
  <c r="K35" i="14"/>
  <c r="O37" i="14"/>
  <c r="B38" i="14"/>
  <c r="O38" i="14" s="1"/>
  <c r="O39" i="14"/>
  <c r="O40" i="14"/>
  <c r="N41" i="14"/>
  <c r="B43" i="14"/>
  <c r="G44" i="14"/>
  <c r="K45" i="14"/>
  <c r="K47" i="14"/>
  <c r="B48" i="14"/>
  <c r="O49" i="14"/>
  <c r="O50" i="14"/>
  <c r="O51" i="14"/>
  <c r="O52" i="14"/>
  <c r="B53" i="14"/>
  <c r="N53" i="14" s="1"/>
  <c r="B54" i="14"/>
  <c r="G56" i="14"/>
  <c r="K57" i="14"/>
  <c r="B58" i="14"/>
  <c r="B59" i="14"/>
  <c r="K59" i="14" s="1"/>
  <c r="O61" i="14"/>
  <c r="O62" i="14"/>
  <c r="B63" i="14"/>
  <c r="O63" i="14" s="1"/>
  <c r="O64" i="14"/>
  <c r="N65" i="14"/>
  <c r="B68" i="14"/>
  <c r="G68" i="14" s="1"/>
  <c r="K69" i="14"/>
  <c r="K71" i="14"/>
  <c r="B73" i="14"/>
  <c r="O73" i="14" s="1"/>
  <c r="O74" i="14"/>
  <c r="O75" i="14"/>
  <c r="O76" i="14"/>
  <c r="N77" i="14"/>
  <c r="B78" i="14"/>
  <c r="G80" i="14"/>
  <c r="B81" i="14"/>
  <c r="K81" i="14" s="1"/>
  <c r="B82" i="14"/>
  <c r="B83" i="14"/>
  <c r="K83" i="14" s="1"/>
  <c r="B84" i="14"/>
  <c r="B85" i="14"/>
  <c r="O85" i="14" s="1"/>
  <c r="B86" i="14"/>
  <c r="O86" i="14" s="1"/>
  <c r="B87" i="14"/>
  <c r="O87" i="14" s="1"/>
  <c r="B88" i="14"/>
  <c r="O88" i="14" s="1"/>
  <c r="G11" i="5"/>
  <c r="G26" i="5"/>
  <c r="G35" i="5"/>
  <c r="F17" i="5"/>
  <c r="F30" i="5"/>
  <c r="F65" i="5"/>
  <c r="F4" i="5"/>
  <c r="E8" i="5"/>
  <c r="E13" i="5"/>
  <c r="E18" i="5"/>
  <c r="E23" i="5"/>
  <c r="F27" i="5"/>
  <c r="E28" i="5"/>
  <c r="E33" i="5"/>
  <c r="E38" i="5"/>
  <c r="E43" i="5"/>
  <c r="E48" i="5"/>
  <c r="E53" i="5"/>
  <c r="E54" i="5"/>
  <c r="E58" i="5"/>
  <c r="E59" i="5"/>
  <c r="E63" i="5"/>
  <c r="E68" i="5"/>
  <c r="E73" i="5"/>
  <c r="F75" i="5"/>
  <c r="E78" i="5"/>
  <c r="G86" i="5"/>
  <c r="F87" i="5"/>
  <c r="E3" i="5"/>
  <c r="D8" i="5"/>
  <c r="D13" i="5"/>
  <c r="G13" i="5" s="1"/>
  <c r="F15" i="5"/>
  <c r="D18" i="5"/>
  <c r="F18" i="5" s="1"/>
  <c r="D23" i="5"/>
  <c r="G23" i="5" s="1"/>
  <c r="G25" i="5"/>
  <c r="D28" i="5"/>
  <c r="D33" i="5"/>
  <c r="G37" i="5"/>
  <c r="D38" i="5"/>
  <c r="G38" i="5" s="1"/>
  <c r="F39" i="5"/>
  <c r="F42" i="5"/>
  <c r="D43" i="5"/>
  <c r="G47" i="5"/>
  <c r="D48" i="5"/>
  <c r="G49" i="5"/>
  <c r="F51" i="5"/>
  <c r="D53" i="5"/>
  <c r="F53" i="5" s="1"/>
  <c r="D54" i="5"/>
  <c r="F54" i="5" s="1"/>
  <c r="D58" i="5"/>
  <c r="D59" i="5"/>
  <c r="G59" i="5" s="1"/>
  <c r="G61" i="5"/>
  <c r="D63" i="5"/>
  <c r="F63" i="5" s="1"/>
  <c r="F66" i="5"/>
  <c r="D68" i="5"/>
  <c r="G71" i="5"/>
  <c r="D73" i="5"/>
  <c r="G73" i="5" s="1"/>
  <c r="D78" i="5"/>
  <c r="F78" i="5" s="1"/>
  <c r="G82" i="5"/>
  <c r="G83" i="5"/>
  <c r="G85" i="5"/>
  <c r="C13" i="5"/>
  <c r="K16" i="5"/>
  <c r="C18" i="5"/>
  <c r="C23" i="5"/>
  <c r="C28" i="5"/>
  <c r="K28" i="5" s="1"/>
  <c r="F29" i="5"/>
  <c r="C33" i="5"/>
  <c r="C38" i="5"/>
  <c r="F41" i="5"/>
  <c r="C43" i="5"/>
  <c r="C48" i="5"/>
  <c r="C53" i="5"/>
  <c r="C54" i="5"/>
  <c r="C58" i="5"/>
  <c r="C59" i="5"/>
  <c r="C63" i="5"/>
  <c r="C68" i="5"/>
  <c r="C73" i="5"/>
  <c r="F77" i="5"/>
  <c r="C78" i="5"/>
  <c r="C81" i="5"/>
  <c r="C82" i="5"/>
  <c r="C83" i="5"/>
  <c r="C84" i="5"/>
  <c r="C85" i="5"/>
  <c r="C86" i="5"/>
  <c r="C87" i="5"/>
  <c r="C88" i="5"/>
  <c r="B81" i="5"/>
  <c r="N81" i="5" s="1"/>
  <c r="B82" i="5"/>
  <c r="J82" i="5" s="1"/>
  <c r="B83" i="5"/>
  <c r="J83" i="5" s="1"/>
  <c r="B84" i="5"/>
  <c r="B85" i="5"/>
  <c r="K85" i="5" s="1"/>
  <c r="B86" i="5"/>
  <c r="K86" i="5" s="1"/>
  <c r="B87" i="5"/>
  <c r="K87" i="5" s="1"/>
  <c r="B88" i="5"/>
  <c r="K88" i="5" s="1"/>
  <c r="B8" i="5"/>
  <c r="N11" i="5"/>
  <c r="B13" i="5"/>
  <c r="K13" i="5" s="1"/>
  <c r="K14" i="5"/>
  <c r="K15" i="5"/>
  <c r="O17" i="5"/>
  <c r="B18" i="5"/>
  <c r="O18" i="5" s="1"/>
  <c r="B23" i="5"/>
  <c r="J23" i="5" s="1"/>
  <c r="K25" i="5"/>
  <c r="K26" i="5"/>
  <c r="K27" i="5"/>
  <c r="B28" i="5"/>
  <c r="O29" i="5"/>
  <c r="O30" i="5"/>
  <c r="B33" i="5"/>
  <c r="J35" i="5"/>
  <c r="K37" i="5"/>
  <c r="B38" i="5"/>
  <c r="K38" i="5" s="1"/>
  <c r="K39" i="5"/>
  <c r="O41" i="5"/>
  <c r="O42" i="5"/>
  <c r="B43" i="5"/>
  <c r="J47" i="5"/>
  <c r="B48" i="5"/>
  <c r="K49" i="5"/>
  <c r="K50" i="5"/>
  <c r="K51" i="5"/>
  <c r="B53" i="5"/>
  <c r="O53" i="5" s="1"/>
  <c r="B54" i="5"/>
  <c r="O54" i="5" s="1"/>
  <c r="B58" i="5"/>
  <c r="B59" i="5"/>
  <c r="J59" i="5" s="1"/>
  <c r="K61" i="5"/>
  <c r="K62" i="5"/>
  <c r="B63" i="5"/>
  <c r="K63" i="5" s="1"/>
  <c r="O65" i="5"/>
  <c r="O66" i="5"/>
  <c r="B68" i="5"/>
  <c r="J71" i="5"/>
  <c r="B73" i="5"/>
  <c r="K73" i="5" s="1"/>
  <c r="K74" i="5"/>
  <c r="K75" i="5"/>
  <c r="O77" i="5"/>
  <c r="B78" i="5"/>
  <c r="O78" i="5" s="1"/>
  <c r="F5" i="14"/>
  <c r="F6" i="14"/>
  <c r="G6" i="14"/>
  <c r="F7" i="14"/>
  <c r="A4" i="15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4" i="14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BC3" i="8"/>
  <c r="AX3" i="8"/>
  <c r="AS3" i="8"/>
  <c r="AN3" i="8"/>
  <c r="AI3" i="8"/>
  <c r="AD3" i="8"/>
  <c r="Y3" i="8"/>
  <c r="T3" i="8"/>
  <c r="O3" i="8"/>
  <c r="J3" i="8"/>
  <c r="E3" i="8"/>
  <c r="BB4" i="8"/>
  <c r="BB5" i="8"/>
  <c r="BB6" i="8"/>
  <c r="BB3" i="8"/>
  <c r="AV3" i="8"/>
  <c r="AW4" i="8" s="1"/>
  <c r="B3" i="5"/>
  <c r="F51" i="14" l="1"/>
  <c r="G68" i="5"/>
  <c r="G56" i="5"/>
  <c r="G44" i="5"/>
  <c r="G32" i="5"/>
  <c r="G20" i="5"/>
  <c r="F63" i="14"/>
  <c r="F50" i="5"/>
  <c r="F27" i="14"/>
  <c r="F62" i="5"/>
  <c r="F86" i="5"/>
  <c r="F84" i="5"/>
  <c r="F38" i="5"/>
  <c r="F75" i="14"/>
  <c r="F74" i="5"/>
  <c r="F14" i="5"/>
  <c r="F15" i="14"/>
  <c r="F72" i="5"/>
  <c r="F60" i="5"/>
  <c r="F48" i="5"/>
  <c r="F36" i="5"/>
  <c r="F24" i="5"/>
  <c r="F12" i="5"/>
  <c r="F26" i="5"/>
  <c r="G80" i="5"/>
  <c r="F76" i="5"/>
  <c r="F64" i="5"/>
  <c r="F52" i="5"/>
  <c r="F40" i="5"/>
  <c r="F28" i="5"/>
  <c r="F16" i="5"/>
  <c r="G50" i="5"/>
  <c r="F84" i="14"/>
  <c r="F72" i="14"/>
  <c r="F60" i="14"/>
  <c r="F48" i="14"/>
  <c r="F36" i="14"/>
  <c r="F24" i="14"/>
  <c r="F12" i="14"/>
  <c r="K82" i="14"/>
  <c r="G82" i="14"/>
  <c r="N82" i="14"/>
  <c r="O82" i="14"/>
  <c r="J82" i="14"/>
  <c r="F82" i="14"/>
  <c r="K70" i="14"/>
  <c r="G70" i="14"/>
  <c r="N70" i="14"/>
  <c r="O70" i="14"/>
  <c r="J70" i="14"/>
  <c r="F70" i="14"/>
  <c r="K58" i="14"/>
  <c r="G58" i="14"/>
  <c r="N58" i="14"/>
  <c r="O58" i="14"/>
  <c r="J58" i="14"/>
  <c r="F58" i="14"/>
  <c r="K46" i="14"/>
  <c r="G46" i="14"/>
  <c r="N46" i="14"/>
  <c r="O46" i="14"/>
  <c r="J46" i="14"/>
  <c r="F46" i="14"/>
  <c r="K34" i="14"/>
  <c r="G34" i="14"/>
  <c r="N34" i="14"/>
  <c r="O34" i="14"/>
  <c r="J34" i="14"/>
  <c r="F34" i="14"/>
  <c r="K22" i="14"/>
  <c r="G22" i="14"/>
  <c r="N22" i="14"/>
  <c r="O22" i="14"/>
  <c r="J22" i="14"/>
  <c r="F22" i="14"/>
  <c r="K10" i="14"/>
  <c r="G10" i="14"/>
  <c r="N10" i="14"/>
  <c r="O10" i="14"/>
  <c r="J10" i="14"/>
  <c r="F10" i="14"/>
  <c r="N79" i="14"/>
  <c r="O79" i="14"/>
  <c r="J79" i="14"/>
  <c r="F79" i="14"/>
  <c r="K79" i="14"/>
  <c r="G79" i="14"/>
  <c r="N67" i="14"/>
  <c r="O67" i="14"/>
  <c r="J67" i="14"/>
  <c r="F67" i="14"/>
  <c r="K67" i="14"/>
  <c r="G67" i="14"/>
  <c r="N55" i="14"/>
  <c r="O55" i="14"/>
  <c r="J55" i="14"/>
  <c r="F55" i="14"/>
  <c r="K55" i="14"/>
  <c r="G55" i="14"/>
  <c r="N43" i="14"/>
  <c r="O43" i="14"/>
  <c r="J43" i="14"/>
  <c r="F43" i="14"/>
  <c r="K43" i="14"/>
  <c r="G43" i="14"/>
  <c r="N31" i="14"/>
  <c r="O31" i="14"/>
  <c r="J31" i="14"/>
  <c r="F31" i="14"/>
  <c r="K31" i="14"/>
  <c r="G31" i="14"/>
  <c r="N19" i="14"/>
  <c r="O19" i="14"/>
  <c r="J19" i="14"/>
  <c r="F19" i="14"/>
  <c r="K19" i="14"/>
  <c r="G19" i="14"/>
  <c r="J70" i="5"/>
  <c r="N70" i="5"/>
  <c r="O70" i="5"/>
  <c r="K70" i="5"/>
  <c r="F70" i="5"/>
  <c r="G70" i="5"/>
  <c r="J58" i="5"/>
  <c r="G58" i="5"/>
  <c r="N58" i="5"/>
  <c r="O58" i="5"/>
  <c r="K58" i="5"/>
  <c r="F58" i="5"/>
  <c r="J46" i="5"/>
  <c r="N46" i="5"/>
  <c r="O46" i="5"/>
  <c r="K46" i="5"/>
  <c r="F46" i="5"/>
  <c r="G46" i="5"/>
  <c r="J34" i="5"/>
  <c r="N34" i="5"/>
  <c r="O34" i="5"/>
  <c r="G34" i="5"/>
  <c r="K34" i="5"/>
  <c r="F34" i="5"/>
  <c r="J22" i="5"/>
  <c r="N22" i="5"/>
  <c r="O22" i="5"/>
  <c r="K22" i="5"/>
  <c r="G22" i="5"/>
  <c r="F22" i="5"/>
  <c r="N10" i="5"/>
  <c r="O10" i="5"/>
  <c r="G10" i="5"/>
  <c r="K10" i="5"/>
  <c r="J10" i="5"/>
  <c r="F10" i="5"/>
  <c r="O79" i="5"/>
  <c r="K79" i="5"/>
  <c r="F79" i="5"/>
  <c r="J79" i="5"/>
  <c r="N79" i="5"/>
  <c r="G79" i="5"/>
  <c r="G74" i="5"/>
  <c r="G14" i="5"/>
  <c r="N78" i="14"/>
  <c r="N66" i="14"/>
  <c r="N54" i="14"/>
  <c r="N42" i="14"/>
  <c r="N69" i="5"/>
  <c r="G69" i="5"/>
  <c r="O69" i="5"/>
  <c r="K69" i="5"/>
  <c r="F69" i="5"/>
  <c r="J69" i="5"/>
  <c r="N57" i="5"/>
  <c r="G57" i="5"/>
  <c r="O57" i="5"/>
  <c r="K57" i="5"/>
  <c r="F57" i="5"/>
  <c r="J57" i="5"/>
  <c r="N45" i="5"/>
  <c r="G45" i="5"/>
  <c r="O45" i="5"/>
  <c r="K45" i="5"/>
  <c r="F45" i="5"/>
  <c r="J45" i="5"/>
  <c r="N33" i="5"/>
  <c r="G33" i="5"/>
  <c r="O33" i="5"/>
  <c r="K33" i="5"/>
  <c r="F33" i="5"/>
  <c r="J33" i="5"/>
  <c r="N21" i="5"/>
  <c r="G21" i="5"/>
  <c r="O21" i="5"/>
  <c r="K21" i="5"/>
  <c r="F21" i="5"/>
  <c r="J21" i="5"/>
  <c r="N9" i="5"/>
  <c r="G9" i="5"/>
  <c r="O9" i="5"/>
  <c r="K9" i="5"/>
  <c r="J9" i="5"/>
  <c r="F9" i="5"/>
  <c r="O67" i="5"/>
  <c r="K67" i="5"/>
  <c r="F67" i="5"/>
  <c r="J67" i="5"/>
  <c r="N67" i="5"/>
  <c r="G67" i="5"/>
  <c r="O55" i="5"/>
  <c r="K55" i="5"/>
  <c r="F55" i="5"/>
  <c r="J55" i="5"/>
  <c r="N55" i="5"/>
  <c r="G55" i="5"/>
  <c r="O43" i="5"/>
  <c r="K43" i="5"/>
  <c r="F43" i="5"/>
  <c r="J43" i="5"/>
  <c r="N43" i="5"/>
  <c r="G43" i="5"/>
  <c r="O31" i="5"/>
  <c r="K31" i="5"/>
  <c r="F31" i="5"/>
  <c r="J31" i="5"/>
  <c r="N31" i="5"/>
  <c r="G31" i="5"/>
  <c r="O19" i="5"/>
  <c r="K19" i="5"/>
  <c r="F19" i="5"/>
  <c r="J19" i="5"/>
  <c r="N19" i="5"/>
  <c r="G19" i="5"/>
  <c r="F88" i="5"/>
  <c r="J88" i="5"/>
  <c r="N88" i="5"/>
  <c r="G88" i="5"/>
  <c r="O88" i="5"/>
  <c r="G62" i="5"/>
  <c r="F83" i="5"/>
  <c r="F71" i="5"/>
  <c r="F59" i="5"/>
  <c r="F47" i="5"/>
  <c r="F35" i="5"/>
  <c r="F23" i="5"/>
  <c r="F11" i="5"/>
  <c r="J12" i="5"/>
  <c r="J81" i="5"/>
  <c r="K84" i="5"/>
  <c r="K72" i="5"/>
  <c r="K60" i="5"/>
  <c r="K48" i="5"/>
  <c r="K36" i="5"/>
  <c r="K24" i="5"/>
  <c r="K12" i="5"/>
  <c r="N80" i="5"/>
  <c r="N68" i="5"/>
  <c r="N56" i="5"/>
  <c r="N44" i="5"/>
  <c r="N32" i="5"/>
  <c r="N20" i="5"/>
  <c r="O76" i="5"/>
  <c r="O64" i="5"/>
  <c r="O52" i="5"/>
  <c r="O40" i="5"/>
  <c r="O28" i="5"/>
  <c r="O16" i="5"/>
  <c r="J84" i="14"/>
  <c r="J72" i="14"/>
  <c r="J60" i="14"/>
  <c r="J48" i="14"/>
  <c r="J36" i="14"/>
  <c r="J24" i="14"/>
  <c r="J12" i="14"/>
  <c r="K80" i="14"/>
  <c r="K68" i="14"/>
  <c r="K56" i="14"/>
  <c r="K44" i="14"/>
  <c r="K32" i="14"/>
  <c r="K20" i="14"/>
  <c r="N88" i="14"/>
  <c r="N76" i="14"/>
  <c r="N64" i="14"/>
  <c r="N52" i="14"/>
  <c r="N40" i="14"/>
  <c r="N28" i="14"/>
  <c r="N16" i="14"/>
  <c r="O84" i="14"/>
  <c r="O72" i="14"/>
  <c r="O60" i="14"/>
  <c r="O48" i="14"/>
  <c r="O36" i="14"/>
  <c r="O24" i="14"/>
  <c r="O12" i="14"/>
  <c r="F82" i="5"/>
  <c r="G78" i="5"/>
  <c r="G66" i="5"/>
  <c r="G54" i="5"/>
  <c r="G42" i="5"/>
  <c r="G30" i="5"/>
  <c r="G18" i="5"/>
  <c r="G78" i="14"/>
  <c r="G66" i="14"/>
  <c r="G54" i="14"/>
  <c r="G42" i="14"/>
  <c r="G30" i="14"/>
  <c r="G18" i="14"/>
  <c r="J11" i="5"/>
  <c r="J80" i="5"/>
  <c r="J68" i="5"/>
  <c r="J56" i="5"/>
  <c r="J44" i="5"/>
  <c r="J32" i="5"/>
  <c r="J20" i="5"/>
  <c r="K83" i="5"/>
  <c r="K71" i="5"/>
  <c r="K59" i="5"/>
  <c r="K47" i="5"/>
  <c r="K35" i="5"/>
  <c r="K23" i="5"/>
  <c r="K11" i="5"/>
  <c r="O87" i="5"/>
  <c r="O75" i="5"/>
  <c r="O63" i="5"/>
  <c r="O51" i="5"/>
  <c r="O39" i="5"/>
  <c r="O27" i="5"/>
  <c r="O15" i="5"/>
  <c r="J83" i="14"/>
  <c r="J71" i="14"/>
  <c r="J59" i="14"/>
  <c r="J47" i="14"/>
  <c r="J35" i="14"/>
  <c r="J23" i="14"/>
  <c r="J11" i="14"/>
  <c r="N87" i="14"/>
  <c r="N75" i="14"/>
  <c r="N63" i="14"/>
  <c r="N51" i="14"/>
  <c r="N39" i="14"/>
  <c r="N27" i="14"/>
  <c r="N15" i="14"/>
  <c r="O83" i="14"/>
  <c r="O71" i="14"/>
  <c r="O59" i="14"/>
  <c r="O47" i="14"/>
  <c r="O35" i="14"/>
  <c r="O23" i="14"/>
  <c r="O11" i="14"/>
  <c r="F81" i="5"/>
  <c r="G77" i="5"/>
  <c r="G65" i="5"/>
  <c r="G53" i="5"/>
  <c r="G41" i="5"/>
  <c r="G29" i="5"/>
  <c r="G17" i="5"/>
  <c r="F81" i="14"/>
  <c r="F69" i="14"/>
  <c r="F57" i="14"/>
  <c r="F45" i="14"/>
  <c r="F33" i="14"/>
  <c r="F21" i="14"/>
  <c r="F9" i="14"/>
  <c r="G77" i="14"/>
  <c r="G65" i="14"/>
  <c r="G53" i="14"/>
  <c r="G41" i="14"/>
  <c r="G29" i="14"/>
  <c r="G17" i="14"/>
  <c r="K82" i="5"/>
  <c r="N78" i="5"/>
  <c r="N66" i="5"/>
  <c r="N54" i="5"/>
  <c r="N42" i="5"/>
  <c r="N30" i="5"/>
  <c r="N18" i="5"/>
  <c r="O86" i="5"/>
  <c r="O74" i="5"/>
  <c r="O62" i="5"/>
  <c r="O50" i="5"/>
  <c r="O38" i="5"/>
  <c r="O26" i="5"/>
  <c r="O14" i="5"/>
  <c r="K78" i="14"/>
  <c r="K66" i="14"/>
  <c r="K54" i="14"/>
  <c r="K42" i="14"/>
  <c r="K30" i="14"/>
  <c r="K18" i="14"/>
  <c r="N86" i="14"/>
  <c r="N74" i="14"/>
  <c r="N62" i="14"/>
  <c r="N50" i="14"/>
  <c r="N38" i="14"/>
  <c r="N26" i="14"/>
  <c r="N14" i="14"/>
  <c r="F80" i="5"/>
  <c r="F68" i="5"/>
  <c r="F56" i="5"/>
  <c r="F44" i="5"/>
  <c r="F32" i="5"/>
  <c r="F20" i="5"/>
  <c r="G76" i="5"/>
  <c r="G64" i="5"/>
  <c r="G52" i="5"/>
  <c r="G40" i="5"/>
  <c r="G28" i="5"/>
  <c r="G16" i="5"/>
  <c r="F80" i="14"/>
  <c r="F68" i="14"/>
  <c r="F56" i="14"/>
  <c r="F44" i="14"/>
  <c r="F32" i="14"/>
  <c r="F20" i="14"/>
  <c r="G88" i="14"/>
  <c r="G76" i="14"/>
  <c r="G64" i="14"/>
  <c r="G52" i="14"/>
  <c r="G40" i="14"/>
  <c r="G28" i="14"/>
  <c r="G16" i="14"/>
  <c r="J78" i="5"/>
  <c r="J66" i="5"/>
  <c r="J54" i="5"/>
  <c r="J42" i="5"/>
  <c r="J30" i="5"/>
  <c r="J18" i="5"/>
  <c r="K81" i="5"/>
  <c r="N77" i="5"/>
  <c r="N65" i="5"/>
  <c r="N53" i="5"/>
  <c r="N41" i="5"/>
  <c r="N29" i="5"/>
  <c r="N17" i="5"/>
  <c r="O85" i="5"/>
  <c r="O73" i="5"/>
  <c r="O61" i="5"/>
  <c r="O49" i="5"/>
  <c r="O37" i="5"/>
  <c r="O25" i="5"/>
  <c r="O13" i="5"/>
  <c r="J81" i="14"/>
  <c r="J69" i="14"/>
  <c r="J57" i="14"/>
  <c r="J45" i="14"/>
  <c r="J33" i="14"/>
  <c r="J21" i="14"/>
  <c r="J9" i="14"/>
  <c r="K77" i="14"/>
  <c r="K65" i="14"/>
  <c r="K53" i="14"/>
  <c r="K41" i="14"/>
  <c r="K29" i="14"/>
  <c r="K17" i="14"/>
  <c r="N85" i="14"/>
  <c r="N73" i="14"/>
  <c r="N61" i="14"/>
  <c r="N49" i="14"/>
  <c r="N37" i="14"/>
  <c r="N25" i="14"/>
  <c r="N13" i="14"/>
  <c r="O81" i="14"/>
  <c r="O69" i="14"/>
  <c r="O57" i="14"/>
  <c r="O45" i="14"/>
  <c r="O33" i="14"/>
  <c r="O21" i="14"/>
  <c r="O9" i="14"/>
  <c r="G87" i="5"/>
  <c r="G75" i="5"/>
  <c r="G63" i="5"/>
  <c r="G51" i="5"/>
  <c r="G39" i="5"/>
  <c r="G27" i="5"/>
  <c r="G15" i="5"/>
  <c r="G87" i="14"/>
  <c r="G75" i="14"/>
  <c r="G63" i="14"/>
  <c r="G51" i="14"/>
  <c r="G39" i="14"/>
  <c r="G27" i="14"/>
  <c r="G15" i="14"/>
  <c r="J13" i="5"/>
  <c r="J77" i="5"/>
  <c r="J65" i="5"/>
  <c r="J53" i="5"/>
  <c r="J41" i="5"/>
  <c r="J29" i="5"/>
  <c r="J17" i="5"/>
  <c r="K80" i="5"/>
  <c r="K68" i="5"/>
  <c r="K56" i="5"/>
  <c r="K44" i="5"/>
  <c r="K32" i="5"/>
  <c r="K20" i="5"/>
  <c r="N76" i="5"/>
  <c r="N64" i="5"/>
  <c r="N52" i="5"/>
  <c r="N40" i="5"/>
  <c r="N28" i="5"/>
  <c r="N16" i="5"/>
  <c r="O84" i="5"/>
  <c r="O72" i="5"/>
  <c r="O60" i="5"/>
  <c r="O48" i="5"/>
  <c r="O36" i="5"/>
  <c r="O24" i="5"/>
  <c r="O12" i="5"/>
  <c r="J80" i="14"/>
  <c r="J68" i="14"/>
  <c r="J56" i="14"/>
  <c r="J44" i="14"/>
  <c r="J32" i="14"/>
  <c r="J20" i="14"/>
  <c r="K88" i="14"/>
  <c r="K76" i="14"/>
  <c r="K64" i="14"/>
  <c r="K52" i="14"/>
  <c r="K40" i="14"/>
  <c r="K28" i="14"/>
  <c r="K16" i="14"/>
  <c r="N84" i="14"/>
  <c r="N72" i="14"/>
  <c r="N60" i="14"/>
  <c r="N48" i="14"/>
  <c r="N36" i="14"/>
  <c r="N24" i="14"/>
  <c r="N12" i="14"/>
  <c r="O80" i="14"/>
  <c r="O68" i="14"/>
  <c r="O56" i="14"/>
  <c r="O44" i="14"/>
  <c r="O32" i="14"/>
  <c r="O20" i="14"/>
  <c r="F78" i="14"/>
  <c r="F66" i="14"/>
  <c r="F54" i="14"/>
  <c r="F42" i="14"/>
  <c r="F30" i="14"/>
  <c r="F18" i="14"/>
  <c r="G86" i="14"/>
  <c r="G74" i="14"/>
  <c r="G62" i="14"/>
  <c r="G50" i="14"/>
  <c r="G38" i="14"/>
  <c r="G26" i="14"/>
  <c r="G14" i="14"/>
  <c r="J76" i="5"/>
  <c r="J64" i="5"/>
  <c r="J52" i="5"/>
  <c r="J40" i="5"/>
  <c r="J28" i="5"/>
  <c r="J16" i="5"/>
  <c r="N87" i="5"/>
  <c r="N75" i="5"/>
  <c r="N63" i="5"/>
  <c r="N51" i="5"/>
  <c r="N39" i="5"/>
  <c r="N27" i="5"/>
  <c r="N15" i="5"/>
  <c r="O83" i="5"/>
  <c r="O71" i="5"/>
  <c r="O59" i="5"/>
  <c r="O47" i="5"/>
  <c r="O35" i="5"/>
  <c r="O23" i="5"/>
  <c r="O11" i="5"/>
  <c r="K87" i="14"/>
  <c r="K75" i="14"/>
  <c r="K63" i="14"/>
  <c r="K51" i="14"/>
  <c r="K39" i="14"/>
  <c r="K27" i="14"/>
  <c r="K15" i="14"/>
  <c r="N83" i="14"/>
  <c r="N71" i="14"/>
  <c r="N59" i="14"/>
  <c r="N47" i="14"/>
  <c r="N35" i="14"/>
  <c r="N23" i="14"/>
  <c r="N11" i="14"/>
  <c r="F4" i="14"/>
  <c r="F77" i="14"/>
  <c r="F65" i="14"/>
  <c r="F53" i="14"/>
  <c r="F41" i="14"/>
  <c r="F29" i="14"/>
  <c r="F17" i="14"/>
  <c r="G85" i="14"/>
  <c r="G73" i="14"/>
  <c r="G61" i="14"/>
  <c r="G49" i="14"/>
  <c r="G37" i="14"/>
  <c r="G25" i="14"/>
  <c r="G13" i="14"/>
  <c r="J87" i="5"/>
  <c r="J75" i="5"/>
  <c r="J63" i="5"/>
  <c r="J51" i="5"/>
  <c r="J39" i="5"/>
  <c r="J27" i="5"/>
  <c r="J15" i="5"/>
  <c r="K78" i="5"/>
  <c r="K66" i="5"/>
  <c r="K54" i="5"/>
  <c r="K42" i="5"/>
  <c r="K30" i="5"/>
  <c r="K18" i="5"/>
  <c r="N86" i="5"/>
  <c r="N74" i="5"/>
  <c r="N62" i="5"/>
  <c r="N50" i="5"/>
  <c r="N38" i="5"/>
  <c r="N26" i="5"/>
  <c r="N14" i="5"/>
  <c r="O82" i="5"/>
  <c r="J78" i="14"/>
  <c r="J66" i="14"/>
  <c r="J54" i="14"/>
  <c r="J42" i="14"/>
  <c r="J30" i="14"/>
  <c r="J18" i="14"/>
  <c r="K86" i="14"/>
  <c r="K74" i="14"/>
  <c r="K62" i="14"/>
  <c r="K50" i="14"/>
  <c r="K38" i="14"/>
  <c r="K26" i="14"/>
  <c r="K14" i="14"/>
  <c r="O78" i="14"/>
  <c r="O66" i="14"/>
  <c r="O54" i="14"/>
  <c r="O42" i="14"/>
  <c r="O30" i="14"/>
  <c r="O18" i="14"/>
  <c r="G84" i="5"/>
  <c r="G72" i="5"/>
  <c r="G60" i="5"/>
  <c r="G48" i="5"/>
  <c r="G36" i="5"/>
  <c r="G24" i="5"/>
  <c r="G12" i="5"/>
  <c r="F88" i="14"/>
  <c r="F76" i="14"/>
  <c r="F64" i="14"/>
  <c r="F52" i="14"/>
  <c r="F40" i="14"/>
  <c r="F28" i="14"/>
  <c r="F16" i="14"/>
  <c r="G84" i="14"/>
  <c r="G72" i="14"/>
  <c r="G60" i="14"/>
  <c r="G48" i="14"/>
  <c r="G36" i="14"/>
  <c r="G24" i="14"/>
  <c r="G12" i="14"/>
  <c r="J86" i="5"/>
  <c r="J74" i="5"/>
  <c r="J62" i="5"/>
  <c r="J50" i="5"/>
  <c r="J38" i="5"/>
  <c r="J26" i="5"/>
  <c r="J14" i="5"/>
  <c r="K77" i="5"/>
  <c r="K65" i="5"/>
  <c r="K53" i="5"/>
  <c r="K41" i="5"/>
  <c r="K29" i="5"/>
  <c r="K17" i="5"/>
  <c r="N85" i="5"/>
  <c r="N73" i="5"/>
  <c r="N61" i="5"/>
  <c r="N49" i="5"/>
  <c r="N37" i="5"/>
  <c r="N25" i="5"/>
  <c r="N13" i="5"/>
  <c r="O81" i="5"/>
  <c r="J77" i="14"/>
  <c r="J65" i="14"/>
  <c r="J53" i="14"/>
  <c r="J41" i="14"/>
  <c r="J29" i="14"/>
  <c r="J17" i="14"/>
  <c r="K85" i="14"/>
  <c r="K73" i="14"/>
  <c r="K61" i="14"/>
  <c r="K49" i="14"/>
  <c r="K37" i="14"/>
  <c r="K25" i="14"/>
  <c r="K13" i="14"/>
  <c r="N81" i="14"/>
  <c r="N69" i="14"/>
  <c r="N57" i="14"/>
  <c r="N45" i="14"/>
  <c r="N33" i="14"/>
  <c r="N21" i="14"/>
  <c r="N9" i="14"/>
  <c r="O77" i="14"/>
  <c r="O65" i="14"/>
  <c r="O53" i="14"/>
  <c r="O41" i="14"/>
  <c r="O29" i="14"/>
  <c r="O17" i="14"/>
  <c r="K84" i="14"/>
  <c r="K72" i="14"/>
  <c r="K60" i="14"/>
  <c r="K48" i="14"/>
  <c r="K36" i="14"/>
  <c r="K24" i="14"/>
  <c r="K12" i="14"/>
  <c r="N80" i="14"/>
  <c r="N68" i="14"/>
  <c r="N56" i="14"/>
  <c r="N44" i="14"/>
  <c r="N32" i="14"/>
  <c r="N20" i="14"/>
  <c r="F86" i="14"/>
  <c r="F74" i="14"/>
  <c r="F62" i="14"/>
  <c r="F50" i="14"/>
  <c r="F38" i="14"/>
  <c r="F26" i="14"/>
  <c r="F14" i="14"/>
  <c r="J84" i="5"/>
  <c r="J72" i="5"/>
  <c r="J60" i="5"/>
  <c r="J48" i="5"/>
  <c r="J36" i="5"/>
  <c r="J24" i="5"/>
  <c r="N83" i="5"/>
  <c r="N71" i="5"/>
  <c r="N59" i="5"/>
  <c r="N47" i="5"/>
  <c r="N35" i="5"/>
  <c r="N23" i="5"/>
  <c r="J87" i="14"/>
  <c r="J75" i="14"/>
  <c r="J63" i="14"/>
  <c r="J51" i="14"/>
  <c r="J39" i="14"/>
  <c r="J27" i="14"/>
  <c r="J15" i="14"/>
  <c r="F85" i="5"/>
  <c r="F73" i="5"/>
  <c r="F61" i="5"/>
  <c r="F49" i="5"/>
  <c r="F37" i="5"/>
  <c r="F25" i="5"/>
  <c r="F13" i="5"/>
  <c r="G81" i="5"/>
  <c r="F85" i="14"/>
  <c r="F73" i="14"/>
  <c r="F61" i="14"/>
  <c r="F49" i="14"/>
  <c r="F37" i="14"/>
  <c r="F25" i="14"/>
  <c r="F13" i="14"/>
  <c r="G81" i="14"/>
  <c r="G69" i="14"/>
  <c r="G57" i="14"/>
  <c r="G45" i="14"/>
  <c r="G33" i="14"/>
  <c r="G21" i="14"/>
  <c r="G9" i="14"/>
  <c r="N82" i="5"/>
  <c r="J86" i="14"/>
  <c r="J74" i="14"/>
  <c r="J62" i="14"/>
  <c r="J50" i="14"/>
  <c r="J38" i="14"/>
  <c r="J26" i="14"/>
  <c r="J14" i="14"/>
  <c r="J85" i="14"/>
  <c r="J73" i="14"/>
  <c r="J61" i="14"/>
  <c r="J49" i="14"/>
  <c r="J37" i="14"/>
  <c r="J25" i="14"/>
  <c r="J13" i="14"/>
  <c r="G5" i="14"/>
  <c r="G7" i="14"/>
  <c r="G4" i="14"/>
  <c r="BA3" i="8"/>
  <c r="AW6" i="8"/>
  <c r="AW5" i="8"/>
  <c r="AW3" i="8"/>
  <c r="C8" i="14"/>
  <c r="B8" i="14"/>
  <c r="C8" i="5"/>
  <c r="C3" i="15" l="1"/>
  <c r="B3" i="15"/>
  <c r="B8" i="7"/>
  <c r="C3" i="7"/>
  <c r="N6" i="7" a="1"/>
  <c r="N7" i="7" a="1"/>
  <c r="Q6" i="14" a="1"/>
  <c r="R5" i="5" a="1"/>
  <c r="R8" i="5" a="1"/>
  <c r="Q7" i="5" a="1"/>
  <c r="Q4" i="14" a="1"/>
  <c r="N4" i="7" a="1"/>
  <c r="S5" i="14" a="1"/>
  <c r="S6" i="5" a="1"/>
  <c r="Q8" i="5" a="1"/>
  <c r="S8" i="5" a="1"/>
  <c r="R5" i="14" a="1"/>
  <c r="N5" i="15" a="1"/>
  <c r="N4" i="15" a="1"/>
  <c r="S6" i="14" a="1"/>
  <c r="S7" i="5" a="1"/>
  <c r="S8" i="14" a="1"/>
  <c r="K7" i="15" a="1"/>
  <c r="Q7" i="14" a="1"/>
  <c r="R7" i="5" a="1"/>
  <c r="M3" i="7" a="1"/>
  <c r="K3" i="15" a="1"/>
  <c r="N7" i="15" a="1"/>
  <c r="Q5" i="14" a="1"/>
  <c r="R4" i="5" a="1"/>
  <c r="N3" i="7" a="1"/>
  <c r="N8" i="15" a="1"/>
  <c r="S4" i="5" a="1"/>
  <c r="L5" i="15" a="1"/>
  <c r="S7" i="14" a="1"/>
  <c r="R6" i="5" a="1"/>
  <c r="Q5" i="5" a="1"/>
  <c r="M6" i="15" a="1"/>
  <c r="R6" i="14" a="1"/>
  <c r="Q4" i="5" a="1"/>
  <c r="K3" i="7" a="1"/>
  <c r="R4" i="14" a="1"/>
  <c r="R8" i="14" a="1"/>
  <c r="M7" i="7" a="1"/>
  <c r="N5" i="7" a="1"/>
  <c r="S4" i="14" a="1"/>
  <c r="Q6" i="5" a="1"/>
  <c r="Q8" i="14" a="1"/>
  <c r="R7" i="14" a="1"/>
  <c r="S5" i="5" a="1"/>
  <c r="K3" i="7" l="1"/>
  <c r="S8" i="14"/>
  <c r="S6" i="14"/>
  <c r="S7" i="14"/>
  <c r="S5" i="14"/>
  <c r="S4" i="14"/>
  <c r="R8" i="14"/>
  <c r="R6" i="14"/>
  <c r="R7" i="14"/>
  <c r="R5" i="14"/>
  <c r="R4" i="14"/>
  <c r="Q8" i="14"/>
  <c r="Q6" i="14"/>
  <c r="Q5" i="14"/>
  <c r="Q7" i="14"/>
  <c r="Q4" i="14"/>
  <c r="S6" i="5"/>
  <c r="S8" i="5"/>
  <c r="S5" i="5"/>
  <c r="S7" i="5"/>
  <c r="S4" i="5"/>
  <c r="R6" i="5"/>
  <c r="R8" i="5"/>
  <c r="R5" i="5"/>
  <c r="R7" i="5"/>
  <c r="R4" i="5"/>
  <c r="Q7" i="5"/>
  <c r="Q8" i="5"/>
  <c r="Q6" i="5"/>
  <c r="Q5" i="5"/>
  <c r="Q4" i="5"/>
  <c r="N8" i="15"/>
  <c r="N5" i="15"/>
  <c r="N7" i="15"/>
  <c r="N4" i="15"/>
  <c r="M6" i="15"/>
  <c r="L5" i="15"/>
  <c r="K7" i="15"/>
  <c r="K3" i="15"/>
  <c r="N6" i="7"/>
  <c r="N5" i="7"/>
  <c r="N7" i="7"/>
  <c r="N4" i="7"/>
  <c r="N3" i="7"/>
  <c r="M7" i="7"/>
  <c r="M3" i="7"/>
  <c r="K6" i="15" a="1"/>
  <c r="K5" i="7" a="1"/>
  <c r="K8" i="15" a="1"/>
  <c r="L7" i="15" a="1"/>
  <c r="L6" i="7" a="1"/>
  <c r="M3" i="15" a="1"/>
  <c r="K4" i="15" a="1"/>
  <c r="K5" i="15" a="1"/>
  <c r="K7" i="7" a="1"/>
  <c r="L7" i="7" a="1"/>
  <c r="L4" i="7" a="1"/>
  <c r="M7" i="15" a="1"/>
  <c r="K6" i="7" a="1"/>
  <c r="M4" i="15" a="1"/>
  <c r="L4" i="15" a="1"/>
  <c r="L6" i="15" a="1"/>
  <c r="N3" i="15" a="1"/>
  <c r="L8" i="15" a="1"/>
  <c r="M5" i="7" a="1"/>
  <c r="L5" i="7" a="1"/>
  <c r="M4" i="7" a="1"/>
  <c r="K4" i="7" a="1"/>
  <c r="M6" i="7" a="1"/>
  <c r="L3" i="7" a="1"/>
  <c r="M5" i="15" a="1"/>
  <c r="L3" i="15" a="1"/>
  <c r="N6" i="15" a="1"/>
  <c r="M8" i="15" a="1"/>
  <c r="M4" i="7" l="1"/>
  <c r="M8" i="15"/>
  <c r="K8" i="15"/>
  <c r="K4" i="7"/>
  <c r="L5" i="7"/>
  <c r="L8" i="15"/>
  <c r="K5" i="7"/>
  <c r="M5" i="7"/>
  <c r="K5" i="15"/>
  <c r="M5" i="15"/>
  <c r="M7" i="15"/>
  <c r="L3" i="15"/>
  <c r="N3" i="15"/>
  <c r="K6" i="15"/>
  <c r="L3" i="7"/>
  <c r="L6" i="7"/>
  <c r="L4" i="15"/>
  <c r="M4" i="15"/>
  <c r="L4" i="7"/>
  <c r="K4" i="15"/>
  <c r="L7" i="15"/>
  <c r="M6" i="7"/>
  <c r="L6" i="15"/>
  <c r="L7" i="7"/>
  <c r="K6" i="7"/>
  <c r="K7" i="7"/>
  <c r="N6" i="15"/>
  <c r="M3" i="15"/>
  <c r="C3" i="14"/>
  <c r="B3" i="14"/>
  <c r="C3" i="5"/>
  <c r="F3" i="5" s="1"/>
  <c r="O8" i="14" l="1"/>
  <c r="N8" i="14"/>
  <c r="K8" i="14"/>
  <c r="J8" i="14"/>
  <c r="G8" i="14"/>
  <c r="F8" i="14"/>
  <c r="O7" i="14"/>
  <c r="N7" i="14"/>
  <c r="K7" i="14"/>
  <c r="J7" i="14"/>
  <c r="O6" i="14"/>
  <c r="N6" i="14"/>
  <c r="K6" i="14"/>
  <c r="J6" i="14"/>
  <c r="O5" i="14"/>
  <c r="N5" i="14"/>
  <c r="K5" i="14"/>
  <c r="J5" i="14"/>
  <c r="O4" i="14"/>
  <c r="N4" i="14"/>
  <c r="K4" i="14"/>
  <c r="J4" i="14"/>
  <c r="O3" i="14"/>
  <c r="N3" i="14"/>
  <c r="K3" i="14"/>
  <c r="J3" i="14"/>
  <c r="G3" i="14"/>
  <c r="F3" i="14"/>
  <c r="C6" i="9"/>
  <c r="C5" i="9"/>
  <c r="C4" i="9"/>
  <c r="C3" i="9"/>
  <c r="Q3" i="14" a="1"/>
  <c r="R3" i="5" a="1"/>
  <c r="Q3" i="5" a="1"/>
  <c r="R3" i="14" a="1"/>
  <c r="S3" i="14" a="1"/>
  <c r="S3" i="5" a="1"/>
  <c r="Q3" i="14" l="1"/>
  <c r="S3" i="14"/>
  <c r="R3" i="5"/>
  <c r="S3" i="5"/>
  <c r="R3" i="14"/>
  <c r="Q3" i="5"/>
  <c r="U3" i="5" s="1"/>
  <c r="X3" i="5"/>
  <c r="AK4" i="8"/>
  <c r="AK5" i="8"/>
  <c r="AK6" i="8"/>
  <c r="AK3" i="8"/>
  <c r="L3" i="8"/>
  <c r="L4" i="8"/>
  <c r="L5" i="8"/>
  <c r="L6" i="8"/>
  <c r="AG3" i="8"/>
  <c r="AH6" i="8" s="1"/>
  <c r="AB3" i="8"/>
  <c r="AC3" i="8" s="1"/>
  <c r="W3" i="8"/>
  <c r="X4" i="8" s="1"/>
  <c r="R3" i="8"/>
  <c r="S5" i="8" s="1"/>
  <c r="J3" i="5"/>
  <c r="N3" i="5"/>
  <c r="O4" i="5"/>
  <c r="O5" i="5"/>
  <c r="O6" i="5"/>
  <c r="O7" i="5"/>
  <c r="O8" i="5"/>
  <c r="N4" i="5"/>
  <c r="N5" i="5"/>
  <c r="N6" i="5"/>
  <c r="N7" i="5"/>
  <c r="N8" i="5"/>
  <c r="K4" i="5"/>
  <c r="K5" i="5"/>
  <c r="K6" i="5"/>
  <c r="K7" i="5"/>
  <c r="K8" i="5"/>
  <c r="J4" i="5"/>
  <c r="J5" i="5"/>
  <c r="J6" i="5"/>
  <c r="J7" i="5"/>
  <c r="J8" i="5"/>
  <c r="G4" i="5"/>
  <c r="G5" i="5"/>
  <c r="G6" i="5"/>
  <c r="G7" i="5"/>
  <c r="G8" i="5"/>
  <c r="F5" i="5"/>
  <c r="F6" i="5"/>
  <c r="F7" i="5"/>
  <c r="F8" i="5"/>
  <c r="G3" i="5"/>
  <c r="O3" i="5"/>
  <c r="K3" i="5"/>
  <c r="U3" i="14" l="1"/>
  <c r="V3" i="5"/>
  <c r="S3" i="15"/>
  <c r="AP6" i="8" s="1"/>
  <c r="W3" i="5"/>
  <c r="X3" i="14"/>
  <c r="B6" i="8" s="1"/>
  <c r="P3" i="15"/>
  <c r="AP3" i="8" s="1"/>
  <c r="W3" i="14"/>
  <c r="V3" i="14"/>
  <c r="R3" i="15"/>
  <c r="AP5" i="8" s="1"/>
  <c r="Q3" i="15"/>
  <c r="AP4" i="8" s="1"/>
  <c r="S4" i="8"/>
  <c r="S3" i="8"/>
  <c r="S6" i="8"/>
  <c r="M3" i="8"/>
  <c r="N4" i="8" s="1"/>
  <c r="AL3" i="8"/>
  <c r="AM5" i="8" s="1"/>
  <c r="N6" i="8"/>
  <c r="X3" i="8"/>
  <c r="AH5" i="8"/>
  <c r="X6" i="8"/>
  <c r="AH4" i="8"/>
  <c r="AC6" i="8"/>
  <c r="AC5" i="8"/>
  <c r="AC4" i="8"/>
  <c r="AH3" i="8"/>
  <c r="X5" i="8"/>
  <c r="N5" i="8" l="1"/>
  <c r="B4" i="8"/>
  <c r="B5" i="8"/>
  <c r="B3" i="8"/>
  <c r="AQ3" i="8"/>
  <c r="AR5" i="8" s="1"/>
  <c r="N3" i="8"/>
  <c r="AM4" i="8"/>
  <c r="AM6" i="8"/>
  <c r="AM3" i="8"/>
  <c r="C3" i="8" l="1"/>
  <c r="D4" i="8" s="1"/>
  <c r="AR4" i="8"/>
  <c r="AR6" i="8"/>
  <c r="AR3" i="8"/>
  <c r="D6" i="8" l="1"/>
  <c r="D5" i="8"/>
  <c r="D3" i="8"/>
  <c r="C8" i="7" l="1"/>
  <c r="K8" i="7" a="1"/>
  <c r="K8" i="7" l="1"/>
  <c r="P3" i="7" s="1"/>
  <c r="G3" i="8" s="1"/>
  <c r="M8" i="7" a="1"/>
  <c r="L8" i="7" a="1"/>
  <c r="N8" i="7" a="1"/>
  <c r="N8" i="7" l="1"/>
  <c r="S3" i="7" s="1"/>
  <c r="G6" i="8" s="1"/>
  <c r="L8" i="7"/>
  <c r="Q3" i="7" s="1"/>
  <c r="G4" i="8" s="1"/>
  <c r="H3" i="8" s="1"/>
  <c r="I4" i="8" s="1"/>
  <c r="BH4" i="8" s="1"/>
  <c r="M8" i="7"/>
  <c r="R3" i="7" s="1"/>
  <c r="G5" i="8" s="1"/>
  <c r="I5" i="8" l="1"/>
  <c r="BH5" i="8" s="1"/>
  <c r="I3" i="8"/>
  <c r="BH3" i="8" s="1"/>
  <c r="I6" i="8"/>
  <c r="BH6" i="8" s="1"/>
  <c r="BI6" i="8" a="1"/>
  <c r="BI5" i="8" a="1"/>
  <c r="BI3" i="8" a="1"/>
  <c r="BI4" i="8" a="1"/>
  <c r="BI6" i="8" l="1"/>
  <c r="BI3" i="8"/>
  <c r="BI4" i="8"/>
  <c r="BI5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<sst xmlns="http://schemas.openxmlformats.org/spreadsheetml/2006/main" count="220" uniqueCount="59">
  <si>
    <t>z_ср [доли]</t>
  </si>
  <si>
    <t>Δz [доли]</t>
  </si>
  <si>
    <t>Физ.</t>
  </si>
  <si>
    <t>Сети Петри</t>
  </si>
  <si>
    <t>Марков</t>
  </si>
  <si>
    <t>Монте-Карло</t>
  </si>
  <si>
    <t>Абс.погр. [доли]</t>
  </si>
  <si>
    <t>Относ.погр. [%]</t>
  </si>
  <si>
    <t>t_ср [с]</t>
  </si>
  <si>
    <t>Δt [с]</t>
  </si>
  <si>
    <t>Δt[с]</t>
  </si>
  <si>
    <t>ΣМарков</t>
  </si>
  <si>
    <t>ΣСети Петри</t>
  </si>
  <si>
    <t>ΣМонте-Карло</t>
  </si>
  <si>
    <t>ΣФиз.</t>
  </si>
  <si>
    <t>https://www.softwareadvice.com/simulation/anylogic-profile/vs/matlab/</t>
  </si>
  <si>
    <t>А1 - Физ.</t>
  </si>
  <si>
    <t>А2 - Марков</t>
  </si>
  <si>
    <t>А3 - Сети Петри</t>
  </si>
  <si>
    <t>А4 - Монте-Карло</t>
  </si>
  <si>
    <t>Ki</t>
  </si>
  <si>
    <t>Ri</t>
  </si>
  <si>
    <t>k1 - Баллы точности с физ. (max)</t>
  </si>
  <si>
    <t>k2 - Баллы времени исполнения (max)</t>
  </si>
  <si>
    <t>k3 - Рейтинг среды моделирования (max)</t>
  </si>
  <si>
    <t>k4 - Наличие нац. cтандарта (max)</t>
  </si>
  <si>
    <t>Оценка</t>
  </si>
  <si>
    <t>Макс</t>
  </si>
  <si>
    <t>Норм_оценка</t>
  </si>
  <si>
    <t>Вес</t>
  </si>
  <si>
    <t>Степень</t>
  </si>
  <si>
    <t>k5 - Изображение топологии сети (max)</t>
  </si>
  <si>
    <t>k6 - Число входных параметров (min)</t>
  </si>
  <si>
    <t>k7 - Наличие связи с другим видом (min)</t>
  </si>
  <si>
    <t>Мин</t>
  </si>
  <si>
    <t>k8 - Место языка программирования (min)</t>
  </si>
  <si>
    <t>Среда моделирования</t>
  </si>
  <si>
    <t>Название</t>
  </si>
  <si>
    <t>AnyLogic</t>
  </si>
  <si>
    <t>MatLab</t>
  </si>
  <si>
    <t>Язык программирования</t>
  </si>
  <si>
    <t>Java</t>
  </si>
  <si>
    <t>Место</t>
  </si>
  <si>
    <t>https://www.tiobe.com/tiobe-index/</t>
  </si>
  <si>
    <t>k9 - Баллы используемой памяти (max)</t>
  </si>
  <si>
    <t>m_ср [МБ]</t>
  </si>
  <si>
    <t>Δm [МБ]</t>
  </si>
  <si>
    <t>Серия экспериментов\статистика</t>
  </si>
  <si>
    <t>Альтернативы\критерии</t>
  </si>
  <si>
    <t>k10 -Критичность использования специализированного ПО (min)</t>
  </si>
  <si>
    <t>k11 -Критичность использования cуперкомпьютера (min)</t>
  </si>
  <si>
    <t>Спец. 1</t>
  </si>
  <si>
    <t>Спец. 2</t>
  </si>
  <si>
    <t>Спец. 3</t>
  </si>
  <si>
    <t>Спец. 4</t>
  </si>
  <si>
    <t xml:space="preserve"> Спец. 5</t>
  </si>
  <si>
    <t xml:space="preserve"> Спец. 6</t>
  </si>
  <si>
    <t xml:space="preserve"> Спец. 7</t>
  </si>
  <si>
    <t xml:space="preserve"> Спец.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</si>
</sst>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BBFF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4">
    <xf numFmtId="0" fontId="0" fillId="0" borderId="0" xfId="0"/>
    <xf numFmtId="164" fontId="0" fillId="3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164" fontId="1" fillId="3" borderId="3" xfId="0" applyNumberFormat="1" applyFont="1" applyFill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164" fontId="1" fillId="3" borderId="4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1" fillId="5" borderId="1" xfId="0" applyNumberFormat="1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164" fontId="1" fillId="5" borderId="4" xfId="0" applyNumberFormat="1" applyFont="1" applyFill="1" applyBorder="1" applyAlignment="1">
      <alignment horizontal="center"/>
    </xf>
    <xf numFmtId="164" fontId="1" fillId="5" borderId="3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1" fillId="3" borderId="5" xfId="0" applyNumberFormat="1" applyFont="1" applyFill="1" applyBorder="1" applyAlignment="1">
      <alignment horizontal="center"/>
    </xf>
    <xf numFmtId="164" fontId="1" fillId="4" borderId="5" xfId="0" applyNumberFormat="1" applyFont="1" applyFill="1" applyBorder="1" applyAlignment="1">
      <alignment horizontal="center"/>
    </xf>
    <xf numFmtId="164" fontId="1" fillId="5" borderId="5" xfId="0" applyNumberFormat="1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1" fontId="1" fillId="4" borderId="5" xfId="0" applyNumberFormat="1" applyFont="1" applyFill="1" applyBorder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1" fontId="1" fillId="5" borderId="5" xfId="0" applyNumberFormat="1" applyFon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64" fontId="1" fillId="0" borderId="1" xfId="0" applyNumberFormat="1" applyFont="1" applyBorder="1" applyAlignment="1">
      <alignment horizontal="left"/>
    </xf>
    <xf numFmtId="164" fontId="1" fillId="2" borderId="2" xfId="0" applyNumberFormat="1" applyFont="1" applyFill="1" applyBorder="1" applyAlignment="1">
      <alignment horizontal="left"/>
    </xf>
    <xf numFmtId="164" fontId="1" fillId="2" borderId="4" xfId="0" applyNumberFormat="1" applyFont="1" applyFill="1" applyBorder="1" applyAlignment="1">
      <alignment horizontal="left"/>
    </xf>
    <xf numFmtId="164" fontId="1" fillId="2" borderId="3" xfId="0" applyNumberFormat="1" applyFont="1" applyFill="1" applyBorder="1" applyAlignment="1">
      <alignment horizontal="left"/>
    </xf>
    <xf numFmtId="164" fontId="1" fillId="3" borderId="2" xfId="0" applyNumberFormat="1" applyFont="1" applyFill="1" applyBorder="1" applyAlignment="1">
      <alignment horizontal="left"/>
    </xf>
    <xf numFmtId="164" fontId="1" fillId="3" borderId="4" xfId="0" applyNumberFormat="1" applyFont="1" applyFill="1" applyBorder="1" applyAlignment="1">
      <alignment horizontal="left"/>
    </xf>
    <xf numFmtId="164" fontId="1" fillId="3" borderId="3" xfId="0" applyNumberFormat="1" applyFont="1" applyFill="1" applyBorder="1" applyAlignment="1">
      <alignment horizontal="left"/>
    </xf>
    <xf numFmtId="164" fontId="1" fillId="4" borderId="2" xfId="0" applyNumberFormat="1" applyFont="1" applyFill="1" applyBorder="1" applyAlignment="1">
      <alignment horizontal="left"/>
    </xf>
    <xf numFmtId="164" fontId="1" fillId="4" borderId="4" xfId="0" applyNumberFormat="1" applyFont="1" applyFill="1" applyBorder="1" applyAlignment="1">
      <alignment horizontal="left"/>
    </xf>
    <xf numFmtId="164" fontId="1" fillId="4" borderId="3" xfId="0" applyNumberFormat="1" applyFont="1" applyFill="1" applyBorder="1" applyAlignment="1">
      <alignment horizontal="left"/>
    </xf>
    <xf numFmtId="1" fontId="1" fillId="4" borderId="2" xfId="0" applyNumberFormat="1" applyFont="1" applyFill="1" applyBorder="1" applyAlignment="1">
      <alignment horizontal="left"/>
    </xf>
    <xf numFmtId="1" fontId="1" fillId="4" borderId="4" xfId="0" applyNumberFormat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left"/>
    </xf>
    <xf numFmtId="1" fontId="1" fillId="3" borderId="4" xfId="0" applyNumberFormat="1" applyFont="1" applyFill="1" applyBorder="1" applyAlignment="1">
      <alignment horizontal="left"/>
    </xf>
    <xf numFmtId="164" fontId="1" fillId="5" borderId="1" xfId="0" applyNumberFormat="1" applyFont="1" applyFill="1" applyBorder="1" applyAlignment="1">
      <alignment horizontal="left"/>
    </xf>
    <xf numFmtId="1" fontId="1" fillId="5" borderId="1" xfId="0" applyNumberFormat="1" applyFont="1" applyFill="1" applyBorder="1" applyAlignment="1">
      <alignment horizontal="left"/>
    </xf>
    <xf numFmtId="0" fontId="1" fillId="0" borderId="13" xfId="0" applyFont="1" applyBorder="1" applyAlignment="1">
      <alignment horizontal="center"/>
    </xf>
    <xf numFmtId="164" fontId="1" fillId="2" borderId="4" xfId="0" applyNumberFormat="1" applyFont="1" applyFill="1" applyBorder="1" applyAlignment="1">
      <alignment horizontal="center"/>
    </xf>
    <xf numFmtId="164" fontId="1" fillId="2" borderId="9" xfId="0" applyNumberFormat="1" applyFon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1" fillId="6" borderId="10" xfId="0" applyNumberFormat="1" applyFont="1" applyFill="1" applyBorder="1" applyAlignment="1">
      <alignment horizontal="center"/>
    </xf>
    <xf numFmtId="164" fontId="1" fillId="6" borderId="4" xfId="0" applyNumberFormat="1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164" fontId="1" fillId="6" borderId="8" xfId="0" applyNumberFormat="1" applyFont="1" applyFill="1" applyBorder="1" applyAlignment="1">
      <alignment horizontal="center"/>
    </xf>
    <xf numFmtId="164" fontId="1" fillId="6" borderId="5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4" fontId="1" fillId="6" borderId="6" xfId="0" applyNumberFormat="1" applyFon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64" fontId="1" fillId="6" borderId="1" xfId="0" applyNumberFormat="1" applyFon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1" xfId="1" applyBorder="1" applyAlignment="1">
      <alignment horizontal="center"/>
    </xf>
    <xf numFmtId="164" fontId="0" fillId="2" borderId="3" xfId="0" applyNumberFormat="1" applyFill="1" applyBorder="1" applyAlignment="1">
      <alignment horizontal="left"/>
    </xf>
    <xf numFmtId="164" fontId="1" fillId="0" borderId="15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2" fillId="0" borderId="13" xfId="1" applyNumberForma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 wrapText="1"/>
    </xf>
    <xf numFmtId="0" fontId="1" fillId="6" borderId="15" xfId="0" applyFont="1" applyFill="1" applyBorder="1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DBBFF3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058;&#1072;&#1090;&#1100;&#1103;&#1085;&#1072;\Downloads\Excel-&#1092;&#1072;&#1081;&#1083;&#1099;\&#1060;&#1080;&#1079;.xlsx" TargetMode="External"/><Relationship Id="rId1" Type="http://schemas.openxmlformats.org/officeDocument/2006/relationships/externalLinkPath" Target="&#1060;&#1080;&#1079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058;&#1072;&#1090;&#1100;&#1103;&#1085;&#1072;\Downloads\Excel-&#1092;&#1072;&#1081;&#1083;&#1099;\&#1052;&#1072;&#1088;&#1082;&#1086;&#1074;.xlsx" TargetMode="External"/><Relationship Id="rId1" Type="http://schemas.openxmlformats.org/officeDocument/2006/relationships/externalLinkPath" Target="&#1052;&#1072;&#1088;&#1082;&#1086;&#1074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1058;&#1072;&#1090;&#1100;&#1103;&#1085;&#1072;\Downloads\Excel-&#1092;&#1072;&#1081;&#1083;&#1099;\&#1055;&#1077;&#1090;&#1088;&#1080;.xlsx" TargetMode="External"/><Relationship Id="rId1" Type="http://schemas.openxmlformats.org/officeDocument/2006/relationships/externalLinkPath" Target="&#1055;&#1077;&#1090;&#1088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0_1"/>
      <sheetName val="T0_12"/>
      <sheetName val="Tв_23"/>
      <sheetName val="Tв_3"/>
      <sheetName val="l_12"/>
      <sheetName val="l_13"/>
      <sheetName val="l_23"/>
      <sheetName val="m_21"/>
      <sheetName val="m_31"/>
      <sheetName val="m_32"/>
      <sheetName val="Время"/>
      <sheetName val="Память"/>
      <sheetName val="Кг_s1"/>
      <sheetName val="Кг_s12"/>
      <sheetName val="До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G3">
            <v>155.23766666666668</v>
          </cell>
          <cell r="S3">
            <v>9.3975495196590479</v>
          </cell>
        </row>
        <row r="8">
          <cell r="G8">
            <v>146.49466666666669</v>
          </cell>
          <cell r="S8">
            <v>7.0440424038883762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146.71599999999998</v>
          </cell>
          <cell r="S13">
            <v>3.8526568239766168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161.822</v>
          </cell>
          <cell r="S18">
            <v>5.3511514661176696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158.21199999999999</v>
          </cell>
          <cell r="S23">
            <v>5.164280904766243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146.71599999999998</v>
          </cell>
          <cell r="S28">
            <v>3.8526568239766168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161.822</v>
          </cell>
          <cell r="S33">
            <v>5.3511514661176696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146.49466666666669</v>
          </cell>
          <cell r="S38">
            <v>7.0440424038883762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172.7353333333333</v>
          </cell>
          <cell r="S43">
            <v>13.526013075100064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174.37733333333335</v>
          </cell>
          <cell r="S48">
            <v>4.7270733572099823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172.47366666666667</v>
          </cell>
          <cell r="S53">
            <v>6.8177004369345529</v>
          </cell>
        </row>
        <row r="54">
          <cell r="G54">
            <v>1401.6890000000001</v>
          </cell>
          <cell r="S54">
            <v>24.902444709773736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179.76966666666667</v>
          </cell>
          <cell r="S58">
            <v>7.971469126272245</v>
          </cell>
        </row>
        <row r="59">
          <cell r="G59">
            <v>1404.7733333333333</v>
          </cell>
          <cell r="S59">
            <v>25.648288586462044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172.07966666666667</v>
          </cell>
          <cell r="S63">
            <v>5.8863410449767075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177.13766666666666</v>
          </cell>
          <cell r="S68">
            <v>6.9879768794535737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147.50200000000001</v>
          </cell>
          <cell r="S73">
            <v>7.1147919198900782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161.822</v>
          </cell>
          <cell r="S78">
            <v>5.3511514661176696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154.274</v>
          </cell>
          <cell r="S81">
            <v>18.293777306231743</v>
          </cell>
        </row>
        <row r="82">
          <cell r="G82">
            <v>154.524</v>
          </cell>
          <cell r="S82">
            <v>1.9658055626129478</v>
          </cell>
        </row>
        <row r="83">
          <cell r="G83">
            <v>128.62899999999999</v>
          </cell>
          <cell r="S83">
            <v>22.698930238890107</v>
          </cell>
        </row>
        <row r="84">
          <cell r="G84">
            <v>125.17333333333333</v>
          </cell>
          <cell r="S84">
            <v>5.9078225295883042</v>
          </cell>
        </row>
        <row r="85">
          <cell r="G85">
            <v>142.01533333333333</v>
          </cell>
          <cell r="S85">
            <v>4.5706905460529281</v>
          </cell>
        </row>
        <row r="86">
          <cell r="G86">
            <v>163.53299999999999</v>
          </cell>
          <cell r="S86">
            <v>8.3408986987813893</v>
          </cell>
        </row>
        <row r="87">
          <cell r="G87">
            <v>125.05399999999999</v>
          </cell>
          <cell r="S87">
            <v>5.8390754328061236</v>
          </cell>
        </row>
        <row r="88">
          <cell r="G88">
            <v>99.165000000000006</v>
          </cell>
          <cell r="S88">
            <v>22.358295370920676</v>
          </cell>
        </row>
      </sheetData>
      <sheetData sheetId="11">
        <row r="3">
          <cell r="G3">
            <v>1244</v>
          </cell>
          <cell r="S3">
            <v>24.826061575153908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1246</v>
          </cell>
          <cell r="S8">
            <v>31.106965993702012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1244.3333333333333</v>
          </cell>
          <cell r="S13">
            <v>27.346257107285776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1250</v>
          </cell>
          <cell r="S18">
            <v>29.791273890184691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1247</v>
          </cell>
          <cell r="S23">
            <v>28.630810909461392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1246</v>
          </cell>
          <cell r="S28">
            <v>31.106965993702012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1244.3333333333333</v>
          </cell>
          <cell r="S33">
            <v>27.346257107285776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1249.3333333333333</v>
          </cell>
          <cell r="S38">
            <v>40.363033142275675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1246.6666666666667</v>
          </cell>
          <cell r="S43">
            <v>23.595644607521201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1243</v>
          </cell>
          <cell r="S48">
            <v>27.308667732669299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1241.6666666666667</v>
          </cell>
          <cell r="S53">
            <v>23.595644607521201</v>
          </cell>
        </row>
        <row r="54">
          <cell r="G54">
            <v>1758.6666666666667</v>
          </cell>
          <cell r="S54">
            <v>70.233333333333334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1249.6666666666667</v>
          </cell>
          <cell r="S58">
            <v>21.114318469807269</v>
          </cell>
        </row>
        <row r="59">
          <cell r="G59">
            <v>1766</v>
          </cell>
          <cell r="S59">
            <v>63.342955409421812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1245</v>
          </cell>
          <cell r="S63">
            <v>22.343455417638516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1267.3333333333333</v>
          </cell>
          <cell r="S68">
            <v>65.792966527163415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1249.3333333333333</v>
          </cell>
          <cell r="S73">
            <v>40.363033142275675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1244.3333333333333</v>
          </cell>
          <cell r="S78">
            <v>27.346257107285776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1250</v>
          </cell>
          <cell r="S81">
            <v>24.826061575153908</v>
          </cell>
        </row>
        <row r="82">
          <cell r="G82">
            <v>1245</v>
          </cell>
          <cell r="S82">
            <v>27.308667732669299</v>
          </cell>
        </row>
        <row r="83">
          <cell r="G83">
            <v>1253</v>
          </cell>
          <cell r="S83">
            <v>15.101103712422258</v>
          </cell>
        </row>
        <row r="84">
          <cell r="G84">
            <v>1241.6666666666667</v>
          </cell>
          <cell r="S84">
            <v>12.246405368288462</v>
          </cell>
        </row>
        <row r="85">
          <cell r="G85">
            <v>1258.6666666666667</v>
          </cell>
          <cell r="S85">
            <v>54.183033424782622</v>
          </cell>
        </row>
        <row r="86">
          <cell r="G86">
            <v>1250</v>
          </cell>
          <cell r="S86">
            <v>28.630810909461392</v>
          </cell>
        </row>
        <row r="87">
          <cell r="G87">
            <v>1250</v>
          </cell>
          <cell r="S87">
            <v>40.642014385772434</v>
          </cell>
        </row>
        <row r="88">
          <cell r="G88">
            <v>1239.3333333333333</v>
          </cell>
          <cell r="S88">
            <v>15.766666666666666</v>
          </cell>
        </row>
      </sheetData>
      <sheetData sheetId="12">
        <row r="2">
          <cell r="D2">
            <v>1</v>
          </cell>
          <cell r="I2">
            <v>0</v>
          </cell>
        </row>
        <row r="7">
          <cell r="D7">
            <v>1</v>
          </cell>
          <cell r="I7">
            <v>0</v>
          </cell>
        </row>
        <row r="12">
          <cell r="D12">
            <v>1</v>
          </cell>
          <cell r="I12">
            <v>0</v>
          </cell>
        </row>
        <row r="17">
          <cell r="D17">
            <v>0.93407780964224163</v>
          </cell>
          <cell r="I17">
            <v>0.27029839581291781</v>
          </cell>
        </row>
        <row r="22">
          <cell r="D22">
            <v>0.98406122288656095</v>
          </cell>
          <cell r="I22">
            <v>3.792456734900173E-2</v>
          </cell>
        </row>
        <row r="27">
          <cell r="D27">
            <v>0.99509801661048369</v>
          </cell>
          <cell r="I27">
            <v>2.1409305045132269E-2</v>
          </cell>
        </row>
        <row r="32">
          <cell r="D32">
            <v>0.99233058249835704</v>
          </cell>
          <cell r="I32">
            <v>3.3408837392875514E-2</v>
          </cell>
        </row>
        <row r="37">
          <cell r="D37">
            <v>0.96625504971354281</v>
          </cell>
          <cell r="I37">
            <v>8.8082117426413389E-3</v>
          </cell>
        </row>
        <row r="42">
          <cell r="D42">
            <v>1</v>
          </cell>
          <cell r="I42">
            <v>0</v>
          </cell>
        </row>
        <row r="47">
          <cell r="D47">
            <v>1</v>
          </cell>
          <cell r="I47">
            <v>0</v>
          </cell>
        </row>
        <row r="52">
          <cell r="D52">
            <v>1</v>
          </cell>
          <cell r="I52">
            <v>0</v>
          </cell>
        </row>
        <row r="53">
          <cell r="D53">
            <v>1</v>
          </cell>
          <cell r="I53">
            <v>0</v>
          </cell>
        </row>
        <row r="57">
          <cell r="D57">
            <v>1</v>
          </cell>
          <cell r="I57">
            <v>0</v>
          </cell>
        </row>
        <row r="58">
          <cell r="D58">
            <v>1</v>
          </cell>
          <cell r="I58">
            <v>0</v>
          </cell>
        </row>
        <row r="62">
          <cell r="D62">
            <v>0.99363158520063111</v>
          </cell>
          <cell r="I62">
            <v>2.7773566292601932E-2</v>
          </cell>
        </row>
        <row r="67">
          <cell r="D67">
            <v>0.95921374911562929</v>
          </cell>
          <cell r="I67">
            <v>2.5253091213205462E-2</v>
          </cell>
        </row>
        <row r="72">
          <cell r="D72">
            <v>0.9825794184622092</v>
          </cell>
          <cell r="I72">
            <v>4.4431283257467882E-2</v>
          </cell>
        </row>
        <row r="77">
          <cell r="D77">
            <v>0.99300939114425524</v>
          </cell>
          <cell r="I77">
            <v>3.132317182053642E-2</v>
          </cell>
        </row>
        <row r="80">
          <cell r="D80">
            <v>1</v>
          </cell>
          <cell r="I80">
            <v>0</v>
          </cell>
        </row>
        <row r="81">
          <cell r="D81">
            <v>1</v>
          </cell>
          <cell r="I81">
            <v>0</v>
          </cell>
        </row>
        <row r="82">
          <cell r="D82">
            <v>0.69260006727211565</v>
          </cell>
          <cell r="I82">
            <v>0.19767306984655311</v>
          </cell>
        </row>
        <row r="83">
          <cell r="D83">
            <v>0.67463626685592626</v>
          </cell>
          <cell r="I83">
            <v>0.10995865870470983</v>
          </cell>
        </row>
        <row r="84">
          <cell r="D84">
            <v>0.95249794501780982</v>
          </cell>
          <cell r="I84">
            <v>2.9169537689868188E-4</v>
          </cell>
        </row>
        <row r="85">
          <cell r="D85">
            <v>0.96319885604016997</v>
          </cell>
          <cell r="I85">
            <v>3.8469649108373465E-2</v>
          </cell>
        </row>
        <row r="86">
          <cell r="D86">
            <v>0.81334333210865106</v>
          </cell>
          <cell r="I86">
            <v>0.11678846481691314</v>
          </cell>
        </row>
        <row r="87">
          <cell r="D87">
            <v>0.61640052431554571</v>
          </cell>
          <cell r="I87">
            <v>0.19832614144616162</v>
          </cell>
        </row>
      </sheetData>
      <sheetData sheetId="13">
        <row r="2">
          <cell r="D2">
            <v>1</v>
          </cell>
          <cell r="I2">
            <v>0</v>
          </cell>
        </row>
        <row r="7">
          <cell r="D7">
            <v>1</v>
          </cell>
          <cell r="I7">
            <v>0</v>
          </cell>
        </row>
        <row r="12">
          <cell r="D12">
            <v>1</v>
          </cell>
          <cell r="I12">
            <v>0</v>
          </cell>
        </row>
        <row r="17">
          <cell r="D17">
            <v>0.93407780964224163</v>
          </cell>
          <cell r="I17">
            <v>0.27029839581291781</v>
          </cell>
        </row>
        <row r="22">
          <cell r="D22">
            <v>1</v>
          </cell>
          <cell r="I22">
            <v>0</v>
          </cell>
        </row>
        <row r="27">
          <cell r="D27">
            <v>1</v>
          </cell>
          <cell r="I27">
            <v>0</v>
          </cell>
        </row>
        <row r="32">
          <cell r="D32">
            <v>1</v>
          </cell>
          <cell r="I32">
            <v>0</v>
          </cell>
        </row>
        <row r="37">
          <cell r="D37">
            <v>1</v>
          </cell>
          <cell r="I37">
            <v>0</v>
          </cell>
        </row>
        <row r="42">
          <cell r="D42">
            <v>1</v>
          </cell>
          <cell r="I42">
            <v>0</v>
          </cell>
        </row>
        <row r="47">
          <cell r="D47">
            <v>1</v>
          </cell>
          <cell r="I47">
            <v>0</v>
          </cell>
        </row>
        <row r="52">
          <cell r="D52">
            <v>1</v>
          </cell>
          <cell r="I52">
            <v>0</v>
          </cell>
        </row>
        <row r="53">
          <cell r="D53">
            <v>1</v>
          </cell>
          <cell r="I53">
            <v>0</v>
          </cell>
        </row>
        <row r="57">
          <cell r="D57">
            <v>1</v>
          </cell>
          <cell r="I57">
            <v>0</v>
          </cell>
        </row>
        <row r="58">
          <cell r="D58">
            <v>1</v>
          </cell>
          <cell r="I58">
            <v>0</v>
          </cell>
        </row>
        <row r="62">
          <cell r="D62">
            <v>1</v>
          </cell>
          <cell r="I62">
            <v>0</v>
          </cell>
        </row>
        <row r="67">
          <cell r="D67">
            <v>1</v>
          </cell>
          <cell r="I67">
            <v>0</v>
          </cell>
        </row>
        <row r="72">
          <cell r="D72">
            <v>1</v>
          </cell>
          <cell r="I72">
            <v>0</v>
          </cell>
        </row>
        <row r="77">
          <cell r="D77">
            <v>1</v>
          </cell>
          <cell r="I77">
            <v>0</v>
          </cell>
        </row>
        <row r="80">
          <cell r="D80">
            <v>1</v>
          </cell>
          <cell r="I80">
            <v>0</v>
          </cell>
        </row>
        <row r="81">
          <cell r="D81">
            <v>1</v>
          </cell>
          <cell r="I81">
            <v>0</v>
          </cell>
        </row>
        <row r="82">
          <cell r="D82">
            <v>0.8468451536844982</v>
          </cell>
          <cell r="I82">
            <v>0.13594658225371029</v>
          </cell>
        </row>
        <row r="83">
          <cell r="D83">
            <v>0.87245034292330981</v>
          </cell>
          <cell r="I83">
            <v>4.2498556665950378E-2</v>
          </cell>
        </row>
        <row r="84">
          <cell r="D84">
            <v>1</v>
          </cell>
          <cell r="I84">
            <v>0</v>
          </cell>
        </row>
        <row r="85">
          <cell r="D85">
            <v>0.99920898270745739</v>
          </cell>
          <cell r="I85">
            <v>3.4663077875842223E-3</v>
          </cell>
        </row>
        <row r="86">
          <cell r="D86">
            <v>0.82177843432841091</v>
          </cell>
          <cell r="I86">
            <v>0.11094443425691701</v>
          </cell>
        </row>
        <row r="87">
          <cell r="D87">
            <v>0.62402618280146083</v>
          </cell>
          <cell r="I87">
            <v>0.20837802940781933</v>
          </cell>
        </row>
      </sheetData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Время"/>
      <sheetName val="Память"/>
      <sheetName val="Кг_s1"/>
      <sheetName val="Кг_s12"/>
    </sheetNames>
    <sheetDataSet>
      <sheetData sheetId="0">
        <row r="3">
          <cell r="G3">
            <v>1.2</v>
          </cell>
          <cell r="S3">
            <v>0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1.2</v>
          </cell>
          <cell r="S8">
            <v>0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11.333333333333334</v>
          </cell>
          <cell r="S13">
            <v>0.62477551524082975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2.9</v>
          </cell>
          <cell r="S18">
            <v>0.43000000000000038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2.8333333333333335</v>
          </cell>
          <cell r="S23">
            <v>0.28666666666666629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2.8333333333333335</v>
          </cell>
          <cell r="S28">
            <v>0.14333333333333348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2.8333333333333335</v>
          </cell>
          <cell r="S33">
            <v>0.14333333333333348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4</v>
          </cell>
          <cell r="S38">
            <v>0.24826061575153877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1.2</v>
          </cell>
          <cell r="S43">
            <v>0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1.2</v>
          </cell>
          <cell r="S48">
            <v>0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1.2</v>
          </cell>
          <cell r="S53">
            <v>0</v>
          </cell>
        </row>
        <row r="54">
          <cell r="G54">
            <v>1.2</v>
          </cell>
          <cell r="S54">
            <v>0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1.2</v>
          </cell>
          <cell r="S58">
            <v>0</v>
          </cell>
        </row>
        <row r="59">
          <cell r="G59">
            <v>1.2</v>
          </cell>
          <cell r="S59">
            <v>0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2.8333333333333335</v>
          </cell>
          <cell r="S63">
            <v>0.14333333333333348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1.6000000000000003</v>
          </cell>
          <cell r="S68">
            <v>0.24826061575153904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1.6000000000000003</v>
          </cell>
          <cell r="S73">
            <v>6.7513975723402323E-16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7.2</v>
          </cell>
          <cell r="S78">
            <v>0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1.2</v>
          </cell>
          <cell r="S81">
            <v>0</v>
          </cell>
        </row>
        <row r="82">
          <cell r="G82">
            <v>1.2</v>
          </cell>
          <cell r="S82">
            <v>0</v>
          </cell>
        </row>
        <row r="83">
          <cell r="G83">
            <v>2.7999999999999994</v>
          </cell>
          <cell r="S83">
            <v>1.3502795144680465E-15</v>
          </cell>
        </row>
        <row r="84">
          <cell r="G84">
            <v>2.7999999999999994</v>
          </cell>
          <cell r="S84">
            <v>1.3502795144680465E-15</v>
          </cell>
        </row>
        <row r="85">
          <cell r="G85">
            <v>3.9</v>
          </cell>
          <cell r="S85">
            <v>0</v>
          </cell>
        </row>
        <row r="86">
          <cell r="G86">
            <v>3.9</v>
          </cell>
          <cell r="S86">
            <v>0</v>
          </cell>
        </row>
        <row r="87">
          <cell r="G87">
            <v>2.7999999999999994</v>
          </cell>
          <cell r="S87">
            <v>1.3502795144680465E-15</v>
          </cell>
        </row>
        <row r="88">
          <cell r="G88">
            <v>3.7999999999999994</v>
          </cell>
          <cell r="S88">
            <v>1.3502795144680465E-15</v>
          </cell>
        </row>
      </sheetData>
      <sheetData sheetId="1">
        <row r="3">
          <cell r="G3">
            <v>50</v>
          </cell>
          <cell r="S3">
            <v>12.900000000000002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50</v>
          </cell>
          <cell r="S8">
            <v>12.900000000000002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53</v>
          </cell>
          <cell r="S13">
            <v>17.378243102607737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48.333333333333336</v>
          </cell>
          <cell r="S18">
            <v>21.114318469807273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56</v>
          </cell>
          <cell r="S23">
            <v>17.902327595408739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56.666666666666664</v>
          </cell>
          <cell r="S28">
            <v>15.960924506779397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56.666666666666664</v>
          </cell>
          <cell r="S33">
            <v>15.960924506779397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58.333333333333336</v>
          </cell>
          <cell r="S38">
            <v>16.152846326404656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50</v>
          </cell>
          <cell r="S43">
            <v>12.900000000000002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50</v>
          </cell>
          <cell r="S48">
            <v>12.900000000000002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50</v>
          </cell>
          <cell r="S53">
            <v>12.900000000000002</v>
          </cell>
        </row>
        <row r="54">
          <cell r="G54">
            <v>50</v>
          </cell>
          <cell r="S54">
            <v>12.900000000000002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50</v>
          </cell>
          <cell r="S58">
            <v>12.900000000000002</v>
          </cell>
        </row>
        <row r="59">
          <cell r="G59">
            <v>50</v>
          </cell>
          <cell r="S59">
            <v>12.900000000000002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55.333333333333336</v>
          </cell>
          <cell r="S63">
            <v>18.797990436332402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60.666666666666664</v>
          </cell>
          <cell r="S68">
            <v>21.690269195604234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55</v>
          </cell>
          <cell r="S73">
            <v>13.822566090756569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70.666666666666671</v>
          </cell>
          <cell r="S78">
            <v>22.389382404265746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50</v>
          </cell>
          <cell r="S81">
            <v>12.900000000000002</v>
          </cell>
        </row>
        <row r="82">
          <cell r="G82">
            <v>50</v>
          </cell>
          <cell r="S82">
            <v>12.900000000000002</v>
          </cell>
        </row>
        <row r="83">
          <cell r="G83">
            <v>57.333333333333336</v>
          </cell>
          <cell r="S83">
            <v>17.437252586854896</v>
          </cell>
        </row>
        <row r="84">
          <cell r="G84">
            <v>56</v>
          </cell>
          <cell r="S84">
            <v>16.279537257960783</v>
          </cell>
        </row>
        <row r="85">
          <cell r="G85">
            <v>59</v>
          </cell>
          <cell r="S85">
            <v>12.900000000000002</v>
          </cell>
        </row>
        <row r="86">
          <cell r="G86">
            <v>65.666666666666671</v>
          </cell>
          <cell r="S86">
            <v>27.458716486957492</v>
          </cell>
        </row>
        <row r="87">
          <cell r="G87">
            <v>65.666666666666671</v>
          </cell>
          <cell r="S87">
            <v>27.458716486957492</v>
          </cell>
        </row>
        <row r="88">
          <cell r="G88">
            <v>61</v>
          </cell>
          <cell r="S88">
            <v>22.343455417638516</v>
          </cell>
        </row>
      </sheetData>
      <sheetData sheetId="2">
        <row r="2">
          <cell r="B2">
            <v>1</v>
          </cell>
          <cell r="C2">
            <v>1E-3</v>
          </cell>
        </row>
        <row r="7">
          <cell r="B7">
            <v>1</v>
          </cell>
        </row>
        <row r="12">
          <cell r="B12">
            <v>0.5</v>
          </cell>
        </row>
        <row r="17">
          <cell r="B17">
            <v>0.5</v>
          </cell>
        </row>
        <row r="22">
          <cell r="B22">
            <v>0.5</v>
          </cell>
        </row>
        <row r="27">
          <cell r="B27">
            <v>0.5</v>
          </cell>
        </row>
        <row r="32">
          <cell r="B32">
            <v>0.5</v>
          </cell>
        </row>
        <row r="37">
          <cell r="B37">
            <v>0.5</v>
          </cell>
        </row>
        <row r="42">
          <cell r="B42">
            <v>1</v>
          </cell>
        </row>
        <row r="47">
          <cell r="B47">
            <v>1</v>
          </cell>
        </row>
        <row r="52">
          <cell r="B52">
            <v>1</v>
          </cell>
        </row>
        <row r="53">
          <cell r="B53">
            <v>1</v>
          </cell>
        </row>
        <row r="57">
          <cell r="B57">
            <v>1</v>
          </cell>
        </row>
        <row r="58">
          <cell r="B58">
            <v>1</v>
          </cell>
        </row>
        <row r="62">
          <cell r="B62">
            <v>0.5</v>
          </cell>
        </row>
        <row r="67">
          <cell r="B67">
            <v>0.5</v>
          </cell>
        </row>
        <row r="72">
          <cell r="B72">
            <v>0.5</v>
          </cell>
        </row>
        <row r="77">
          <cell r="B77">
            <v>2.0000000000000001E-4</v>
          </cell>
        </row>
        <row r="80">
          <cell r="B80">
            <v>1</v>
          </cell>
        </row>
        <row r="81">
          <cell r="B81">
            <v>1</v>
          </cell>
        </row>
        <row r="82">
          <cell r="B82">
            <v>0.32200000000000001</v>
          </cell>
        </row>
        <row r="83">
          <cell r="B83">
            <v>0.317</v>
          </cell>
        </row>
        <row r="84">
          <cell r="B84">
            <v>0.5</v>
          </cell>
        </row>
        <row r="85">
          <cell r="B85">
            <v>0.33300000000000002</v>
          </cell>
        </row>
        <row r="86">
          <cell r="B86">
            <v>0.36099999999999999</v>
          </cell>
        </row>
        <row r="87">
          <cell r="B87">
            <v>0.375</v>
          </cell>
        </row>
      </sheetData>
      <sheetData sheetId="3">
        <row r="2">
          <cell r="B2">
            <v>1</v>
          </cell>
          <cell r="C2">
            <v>1E-3</v>
          </cell>
        </row>
        <row r="7">
          <cell r="B7">
            <v>1</v>
          </cell>
        </row>
        <row r="12">
          <cell r="B12">
            <v>0.5</v>
          </cell>
        </row>
        <row r="17">
          <cell r="B17">
            <v>0.5</v>
          </cell>
        </row>
        <row r="22">
          <cell r="B22">
            <v>1</v>
          </cell>
        </row>
        <row r="27">
          <cell r="B27">
            <v>1</v>
          </cell>
        </row>
        <row r="32">
          <cell r="B32">
            <v>1</v>
          </cell>
        </row>
        <row r="37">
          <cell r="B37">
            <v>1</v>
          </cell>
        </row>
        <row r="42">
          <cell r="B42">
            <v>1</v>
          </cell>
        </row>
        <row r="47">
          <cell r="B47">
            <v>1</v>
          </cell>
        </row>
        <row r="52">
          <cell r="B52">
            <v>1</v>
          </cell>
        </row>
        <row r="53">
          <cell r="B53">
            <v>1</v>
          </cell>
        </row>
        <row r="57">
          <cell r="B57">
            <v>1</v>
          </cell>
        </row>
        <row r="58">
          <cell r="B58">
            <v>1</v>
          </cell>
        </row>
        <row r="62">
          <cell r="B62">
            <v>1</v>
          </cell>
        </row>
        <row r="67">
          <cell r="B67">
            <v>1</v>
          </cell>
        </row>
        <row r="72">
          <cell r="B72">
            <v>1</v>
          </cell>
        </row>
        <row r="77">
          <cell r="B77">
            <v>5.0000000000000001E-4</v>
          </cell>
        </row>
        <row r="80">
          <cell r="B80">
            <v>1</v>
          </cell>
        </row>
        <row r="81">
          <cell r="B81">
            <v>1</v>
          </cell>
        </row>
        <row r="82">
          <cell r="B82">
            <v>0.64600000000000002</v>
          </cell>
        </row>
        <row r="83">
          <cell r="B83">
            <v>0.624</v>
          </cell>
        </row>
        <row r="84">
          <cell r="B84">
            <v>1</v>
          </cell>
        </row>
        <row r="85">
          <cell r="B85">
            <v>0.66700000000000004</v>
          </cell>
        </row>
        <row r="86">
          <cell r="B86">
            <v>0.68</v>
          </cell>
        </row>
        <row r="87">
          <cell r="B87">
            <v>0.68700000000000006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T_P1"/>
      <sheetName val="wT_P2"/>
      <sheetName val="aS_P1"/>
      <sheetName val="aS_P2"/>
      <sheetName val="T"/>
      <sheetName val="Кг_s1"/>
      <sheetName val="Кг_s12"/>
      <sheetName val="Время"/>
      <sheetName val="Память"/>
    </sheetNames>
    <sheetDataSet>
      <sheetData sheetId="0"/>
      <sheetData sheetId="1"/>
      <sheetData sheetId="2"/>
      <sheetData sheetId="3"/>
      <sheetData sheetId="4"/>
      <sheetData sheetId="5">
        <row r="2">
          <cell r="B2">
            <v>0.36261102831594633</v>
          </cell>
          <cell r="F2">
            <v>3.7160469338446439E-2</v>
          </cell>
        </row>
        <row r="7">
          <cell r="B7">
            <v>0.36261102831594633</v>
          </cell>
          <cell r="F7">
            <v>3.7160469338446439E-2</v>
          </cell>
        </row>
        <row r="12">
          <cell r="B12">
            <v>0.36261102831594633</v>
          </cell>
          <cell r="F12">
            <v>3.7160469338446439E-2</v>
          </cell>
        </row>
        <row r="17">
          <cell r="B17">
            <v>0.49807528207073093</v>
          </cell>
          <cell r="F17">
            <v>0.49807532712325897</v>
          </cell>
        </row>
        <row r="22">
          <cell r="B22">
            <v>0.49837644160788269</v>
          </cell>
          <cell r="F22">
            <v>0.49837647365306215</v>
          </cell>
        </row>
        <row r="27">
          <cell r="B27">
            <v>0.49807528207073093</v>
          </cell>
          <cell r="F27">
            <v>0.49807532712325897</v>
          </cell>
        </row>
        <row r="32">
          <cell r="B32">
            <v>0.49807528207073093</v>
          </cell>
          <cell r="F32">
            <v>0.49807532712325897</v>
          </cell>
        </row>
        <row r="37">
          <cell r="B37">
            <v>0.49664251047137825</v>
          </cell>
          <cell r="F37">
            <v>0.49664264916564171</v>
          </cell>
        </row>
        <row r="42">
          <cell r="B42">
            <v>0.36261102831594633</v>
          </cell>
          <cell r="F42">
            <v>3.7160469338446439E-2</v>
          </cell>
        </row>
        <row r="47">
          <cell r="B47">
            <v>0.36261102831594633</v>
          </cell>
          <cell r="F47">
            <v>3.7160469338446439E-2</v>
          </cell>
        </row>
        <row r="52">
          <cell r="B52">
            <v>0.36261102831594633</v>
          </cell>
          <cell r="F52">
            <v>3.7160469338446439E-2</v>
          </cell>
        </row>
        <row r="53">
          <cell r="B53">
            <v>0.36261102831594633</v>
          </cell>
          <cell r="F53">
            <v>3.7160469338446439E-2</v>
          </cell>
        </row>
        <row r="57">
          <cell r="B57">
            <v>0.36261102831594633</v>
          </cell>
          <cell r="F57">
            <v>3.7160469338446439E-2</v>
          </cell>
        </row>
        <row r="58">
          <cell r="B58">
            <v>0.36261102831594633</v>
          </cell>
          <cell r="F58">
            <v>3.7160469338446439E-2</v>
          </cell>
        </row>
        <row r="62">
          <cell r="B62">
            <v>0.49807528207073093</v>
          </cell>
          <cell r="F62">
            <v>0.49807532712325897</v>
          </cell>
        </row>
        <row r="67">
          <cell r="B67">
            <v>0.49890124165106031</v>
          </cell>
          <cell r="F67">
            <v>0.49890125631856452</v>
          </cell>
        </row>
        <row r="72">
          <cell r="B72">
            <v>0.49902124335843706</v>
          </cell>
          <cell r="F72">
            <v>0.4990212549953687</v>
          </cell>
        </row>
        <row r="77">
          <cell r="B77">
            <v>0</v>
          </cell>
          <cell r="F77">
            <v>1.689885738468049E-3</v>
          </cell>
        </row>
        <row r="80">
          <cell r="B80">
            <v>0.36261102831594633</v>
          </cell>
          <cell r="F80">
            <v>3.7160469338446439E-2</v>
          </cell>
        </row>
        <row r="81">
          <cell r="B81">
            <v>0.36261102831594633</v>
          </cell>
          <cell r="F81">
            <v>3.7160469338446439E-2</v>
          </cell>
        </row>
        <row r="82">
          <cell r="B82">
            <v>0.39169930396452979</v>
          </cell>
          <cell r="F82">
            <v>0.39169930397544367</v>
          </cell>
        </row>
        <row r="83">
          <cell r="B83">
            <v>0.11741511608516608</v>
          </cell>
          <cell r="F83">
            <v>0.11741511637648544</v>
          </cell>
        </row>
        <row r="84">
          <cell r="B84">
            <v>0.49829940521068949</v>
          </cell>
          <cell r="F84">
            <v>0.49829944037231899</v>
          </cell>
        </row>
        <row r="85">
          <cell r="B85">
            <v>0.16353489119087769</v>
          </cell>
          <cell r="F85">
            <v>0.16353539726364597</v>
          </cell>
        </row>
        <row r="86">
          <cell r="B86">
            <v>0.2606698301628676</v>
          </cell>
          <cell r="F86">
            <v>2.8963869389516114E-2</v>
          </cell>
        </row>
        <row r="87">
          <cell r="B87">
            <v>0.23670667139177301</v>
          </cell>
          <cell r="F87">
            <v>3.9451253948704933E-2</v>
          </cell>
        </row>
      </sheetData>
      <sheetData sheetId="6">
        <row r="2">
          <cell r="B2">
            <v>0.72561549925484359</v>
          </cell>
          <cell r="H2">
            <v>5.25574104982919E-2</v>
          </cell>
        </row>
        <row r="7">
          <cell r="B7">
            <v>0.72561549925484359</v>
          </cell>
          <cell r="H7">
            <v>5.25574104982919E-2</v>
          </cell>
        </row>
        <row r="12">
          <cell r="B12">
            <v>0.72561549925484359</v>
          </cell>
          <cell r="H12">
            <v>5.25574104982919E-2</v>
          </cell>
        </row>
        <row r="17">
          <cell r="B17">
            <v>0.50026005499194071</v>
          </cell>
          <cell r="H17">
            <v>0.49807666950955204</v>
          </cell>
        </row>
        <row r="22">
          <cell r="B22">
            <v>0.50021936433290148</v>
          </cell>
          <cell r="H22">
            <v>0.49837742823417275</v>
          </cell>
        </row>
        <row r="27">
          <cell r="B27">
            <v>0.50026005499194071</v>
          </cell>
          <cell r="H27">
            <v>0.49807666950955204</v>
          </cell>
        </row>
        <row r="32">
          <cell r="B32">
            <v>0.50026005499194071</v>
          </cell>
          <cell r="H32">
            <v>0.49807666950955204</v>
          </cell>
        </row>
        <row r="37">
          <cell r="B37">
            <v>0.50047250847683</v>
          </cell>
          <cell r="H37">
            <v>0.49664678659808592</v>
          </cell>
        </row>
        <row r="42">
          <cell r="B42">
            <v>0.72561549925484359</v>
          </cell>
          <cell r="H42">
            <v>5.25574104982919E-2</v>
          </cell>
        </row>
        <row r="47">
          <cell r="B47">
            <v>0.72561549925484359</v>
          </cell>
          <cell r="H47">
            <v>5.25574104982919E-2</v>
          </cell>
        </row>
        <row r="52">
          <cell r="B52">
            <v>0.72561549925484359</v>
          </cell>
          <cell r="H52">
            <v>5.25574104982919E-2</v>
          </cell>
        </row>
        <row r="53">
          <cell r="B53">
            <v>0.72561549925484359</v>
          </cell>
          <cell r="H53">
            <v>5.25574104982919E-2</v>
          </cell>
        </row>
        <row r="57">
          <cell r="B57">
            <v>0.72561549925484359</v>
          </cell>
          <cell r="H57">
            <v>5.25574104982919E-2</v>
          </cell>
        </row>
        <row r="58">
          <cell r="B58">
            <v>0.72561549925484359</v>
          </cell>
          <cell r="H58">
            <v>5.25574104982919E-2</v>
          </cell>
        </row>
        <row r="62">
          <cell r="B62">
            <v>0.50026005499194071</v>
          </cell>
          <cell r="H62">
            <v>0.49807666950955204</v>
          </cell>
        </row>
        <row r="67">
          <cell r="B67">
            <v>0.50014845686696907</v>
          </cell>
          <cell r="H67">
            <v>0.49890169305317178</v>
          </cell>
        </row>
        <row r="72">
          <cell r="B72">
            <v>0.50013224304022064</v>
          </cell>
          <cell r="H72">
            <v>0.49902160145822383</v>
          </cell>
        </row>
        <row r="77">
          <cell r="B77">
            <v>0.9946677951756242</v>
          </cell>
          <cell r="H77">
            <v>0.99466994705689293</v>
          </cell>
        </row>
        <row r="80">
          <cell r="B80">
            <v>0.72561549925484359</v>
          </cell>
          <cell r="H80">
            <v>5.25574104982919E-2</v>
          </cell>
        </row>
        <row r="81">
          <cell r="B81">
            <v>0.72561549925484359</v>
          </cell>
          <cell r="H81">
            <v>5.25574104982919E-2</v>
          </cell>
        </row>
        <row r="82">
          <cell r="B82">
            <v>0.51206048552319727</v>
          </cell>
          <cell r="H82">
            <v>0.39629540531256913</v>
          </cell>
        </row>
        <row r="83">
          <cell r="B83">
            <v>0.39562356911263008</v>
          </cell>
          <cell r="H83">
            <v>0.30197061606512338</v>
          </cell>
        </row>
        <row r="84">
          <cell r="B84">
            <v>0.50022977297478433</v>
          </cell>
          <cell r="H84">
            <v>0.49830048785490022</v>
          </cell>
        </row>
        <row r="85">
          <cell r="B85">
            <v>0.16584786798361839</v>
          </cell>
          <cell r="H85">
            <v>0.16355224655339071</v>
          </cell>
        </row>
        <row r="86">
          <cell r="B86">
            <v>0.42701224842538738</v>
          </cell>
          <cell r="H86">
            <v>3.3401248911804224E-2</v>
          </cell>
        </row>
        <row r="87">
          <cell r="B87">
            <v>0.33071654122214522</v>
          </cell>
          <cell r="H87">
            <v>4.2448894390490308E-2</v>
          </cell>
        </row>
      </sheetData>
      <sheetData sheetId="7">
        <row r="3">
          <cell r="G3">
            <v>1</v>
          </cell>
          <cell r="S3">
            <v>0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1</v>
          </cell>
          <cell r="S8">
            <v>0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1</v>
          </cell>
          <cell r="S13">
            <v>0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0.5</v>
          </cell>
          <cell r="S18">
            <v>0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0.5</v>
          </cell>
          <cell r="S23">
            <v>0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0.5</v>
          </cell>
          <cell r="S28">
            <v>0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0.5</v>
          </cell>
          <cell r="S33">
            <v>0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0.5</v>
          </cell>
          <cell r="S38">
            <v>0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1</v>
          </cell>
          <cell r="S43">
            <v>0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1</v>
          </cell>
          <cell r="S48">
            <v>0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1</v>
          </cell>
          <cell r="S53">
            <v>0</v>
          </cell>
        </row>
        <row r="54">
          <cell r="G54">
            <v>1</v>
          </cell>
          <cell r="S54">
            <v>0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1</v>
          </cell>
          <cell r="S58">
            <v>0</v>
          </cell>
        </row>
        <row r="59">
          <cell r="G59">
            <v>1</v>
          </cell>
          <cell r="S59">
            <v>0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0.5</v>
          </cell>
          <cell r="S63">
            <v>0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0.5</v>
          </cell>
          <cell r="S68">
            <v>0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0.5</v>
          </cell>
          <cell r="S73">
            <v>0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0.5</v>
          </cell>
          <cell r="S78">
            <v>0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1</v>
          </cell>
          <cell r="S81">
            <v>0</v>
          </cell>
        </row>
        <row r="82">
          <cell r="G82">
            <v>1</v>
          </cell>
          <cell r="S82">
            <v>0</v>
          </cell>
        </row>
        <row r="83">
          <cell r="G83">
            <v>0.5</v>
          </cell>
          <cell r="S83">
            <v>0</v>
          </cell>
        </row>
        <row r="84">
          <cell r="G84">
            <v>0.5</v>
          </cell>
          <cell r="S84">
            <v>0</v>
          </cell>
        </row>
        <row r="85">
          <cell r="G85">
            <v>0.5</v>
          </cell>
          <cell r="S85">
            <v>0</v>
          </cell>
        </row>
        <row r="86">
          <cell r="G86">
            <v>0.5</v>
          </cell>
          <cell r="S86">
            <v>0</v>
          </cell>
        </row>
        <row r="87">
          <cell r="G87">
            <v>0.80000000000000016</v>
          </cell>
          <cell r="S87">
            <v>3.3756987861701161E-16</v>
          </cell>
        </row>
        <row r="88">
          <cell r="G88">
            <v>0.80000000000000016</v>
          </cell>
          <cell r="S88">
            <v>3.3756987861701161E-16</v>
          </cell>
        </row>
      </sheetData>
      <sheetData sheetId="8">
        <row r="3">
          <cell r="G3">
            <v>540</v>
          </cell>
          <cell r="S3">
            <v>24.826061575153908</v>
          </cell>
        </row>
        <row r="4">
          <cell r="G4">
            <v>0</v>
          </cell>
          <cell r="S4">
            <v>0</v>
          </cell>
        </row>
        <row r="5">
          <cell r="G5">
            <v>0</v>
          </cell>
          <cell r="S5">
            <v>0</v>
          </cell>
        </row>
        <row r="6">
          <cell r="G6">
            <v>0</v>
          </cell>
          <cell r="S6">
            <v>0</v>
          </cell>
        </row>
        <row r="7">
          <cell r="G7">
            <v>0</v>
          </cell>
          <cell r="S7">
            <v>0</v>
          </cell>
        </row>
        <row r="8">
          <cell r="G8">
            <v>540</v>
          </cell>
          <cell r="S8">
            <v>24.826061575153908</v>
          </cell>
        </row>
        <row r="9">
          <cell r="G9">
            <v>0</v>
          </cell>
          <cell r="S9">
            <v>0</v>
          </cell>
        </row>
        <row r="10">
          <cell r="G10">
            <v>0</v>
          </cell>
          <cell r="S10">
            <v>0</v>
          </cell>
        </row>
        <row r="11">
          <cell r="G11">
            <v>0</v>
          </cell>
          <cell r="S11">
            <v>0</v>
          </cell>
        </row>
        <row r="12">
          <cell r="G12">
            <v>0</v>
          </cell>
          <cell r="S12">
            <v>0</v>
          </cell>
        </row>
        <row r="13">
          <cell r="G13">
            <v>540</v>
          </cell>
          <cell r="S13">
            <v>24.826061575153908</v>
          </cell>
        </row>
        <row r="14">
          <cell r="G14">
            <v>0</v>
          </cell>
          <cell r="S14">
            <v>0</v>
          </cell>
        </row>
        <row r="15">
          <cell r="G15">
            <v>0</v>
          </cell>
          <cell r="S15">
            <v>0</v>
          </cell>
        </row>
        <row r="16">
          <cell r="G16">
            <v>0</v>
          </cell>
          <cell r="S16">
            <v>0</v>
          </cell>
        </row>
        <row r="17">
          <cell r="G17">
            <v>0</v>
          </cell>
          <cell r="S17">
            <v>0</v>
          </cell>
        </row>
        <row r="18">
          <cell r="G18">
            <v>540</v>
          </cell>
          <cell r="S18">
            <v>24.826061575153908</v>
          </cell>
        </row>
        <row r="19">
          <cell r="G19">
            <v>0</v>
          </cell>
          <cell r="S19">
            <v>0</v>
          </cell>
        </row>
        <row r="20">
          <cell r="G20">
            <v>0</v>
          </cell>
          <cell r="S20">
            <v>0</v>
          </cell>
        </row>
        <row r="21">
          <cell r="G21">
            <v>0</v>
          </cell>
          <cell r="S21">
            <v>0</v>
          </cell>
        </row>
        <row r="22">
          <cell r="G22">
            <v>0</v>
          </cell>
          <cell r="S22">
            <v>0</v>
          </cell>
        </row>
        <row r="23">
          <cell r="G23">
            <v>540</v>
          </cell>
          <cell r="S23">
            <v>24.826061575153908</v>
          </cell>
        </row>
        <row r="24">
          <cell r="G24">
            <v>0</v>
          </cell>
          <cell r="S24">
            <v>0</v>
          </cell>
        </row>
        <row r="25">
          <cell r="G25">
            <v>0</v>
          </cell>
          <cell r="S25">
            <v>0</v>
          </cell>
        </row>
        <row r="26">
          <cell r="G26">
            <v>0</v>
          </cell>
          <cell r="S26">
            <v>0</v>
          </cell>
        </row>
        <row r="27">
          <cell r="G27">
            <v>0</v>
          </cell>
          <cell r="S27">
            <v>0</v>
          </cell>
        </row>
        <row r="28">
          <cell r="G28">
            <v>540</v>
          </cell>
          <cell r="S28">
            <v>24.826061575153908</v>
          </cell>
        </row>
        <row r="29">
          <cell r="G29">
            <v>0</v>
          </cell>
          <cell r="S29">
            <v>0</v>
          </cell>
        </row>
        <row r="30">
          <cell r="G30">
            <v>0</v>
          </cell>
          <cell r="S30">
            <v>0</v>
          </cell>
        </row>
        <row r="31">
          <cell r="G31">
            <v>0</v>
          </cell>
          <cell r="S31">
            <v>0</v>
          </cell>
        </row>
        <row r="32">
          <cell r="G32">
            <v>0</v>
          </cell>
          <cell r="S32">
            <v>0</v>
          </cell>
        </row>
        <row r="33">
          <cell r="G33">
            <v>540</v>
          </cell>
          <cell r="S33">
            <v>24.826061575153908</v>
          </cell>
        </row>
        <row r="34">
          <cell r="G34">
            <v>0</v>
          </cell>
          <cell r="S34">
            <v>0</v>
          </cell>
        </row>
        <row r="35">
          <cell r="G35">
            <v>0</v>
          </cell>
          <cell r="S35">
            <v>0</v>
          </cell>
        </row>
        <row r="36">
          <cell r="G36">
            <v>0</v>
          </cell>
          <cell r="S36">
            <v>0</v>
          </cell>
        </row>
        <row r="37">
          <cell r="G37">
            <v>0</v>
          </cell>
          <cell r="S37">
            <v>0</v>
          </cell>
        </row>
        <row r="38">
          <cell r="G38">
            <v>540</v>
          </cell>
          <cell r="S38">
            <v>24.826061575153908</v>
          </cell>
        </row>
        <row r="39">
          <cell r="G39">
            <v>0</v>
          </cell>
          <cell r="S39">
            <v>0</v>
          </cell>
        </row>
        <row r="40">
          <cell r="G40">
            <v>0</v>
          </cell>
          <cell r="S40">
            <v>0</v>
          </cell>
        </row>
        <row r="41">
          <cell r="G41">
            <v>0</v>
          </cell>
          <cell r="S41">
            <v>0</v>
          </cell>
        </row>
        <row r="42">
          <cell r="G42">
            <v>0</v>
          </cell>
          <cell r="S42">
            <v>0</v>
          </cell>
        </row>
        <row r="43">
          <cell r="G43">
            <v>540</v>
          </cell>
          <cell r="S43">
            <v>24.826061575153908</v>
          </cell>
        </row>
        <row r="44">
          <cell r="G44">
            <v>0</v>
          </cell>
          <cell r="S44">
            <v>0</v>
          </cell>
        </row>
        <row r="45">
          <cell r="G45">
            <v>0</v>
          </cell>
          <cell r="S45">
            <v>0</v>
          </cell>
        </row>
        <row r="46">
          <cell r="G46">
            <v>0</v>
          </cell>
          <cell r="S46">
            <v>0</v>
          </cell>
        </row>
        <row r="47">
          <cell r="G47">
            <v>0</v>
          </cell>
          <cell r="S47">
            <v>0</v>
          </cell>
        </row>
        <row r="48">
          <cell r="G48">
            <v>540</v>
          </cell>
          <cell r="S48">
            <v>24.826061575153908</v>
          </cell>
        </row>
        <row r="49">
          <cell r="G49">
            <v>0</v>
          </cell>
          <cell r="S49">
            <v>0</v>
          </cell>
        </row>
        <row r="50">
          <cell r="G50">
            <v>0</v>
          </cell>
          <cell r="S50">
            <v>0</v>
          </cell>
        </row>
        <row r="51">
          <cell r="G51">
            <v>0</v>
          </cell>
          <cell r="S51">
            <v>0</v>
          </cell>
        </row>
        <row r="52">
          <cell r="G52">
            <v>0</v>
          </cell>
          <cell r="S52">
            <v>0</v>
          </cell>
        </row>
        <row r="53">
          <cell r="G53">
            <v>540</v>
          </cell>
          <cell r="S53">
            <v>24.826061575153908</v>
          </cell>
        </row>
        <row r="54">
          <cell r="G54">
            <v>540</v>
          </cell>
          <cell r="S54">
            <v>24.826061575153908</v>
          </cell>
        </row>
        <row r="55">
          <cell r="G55">
            <v>0</v>
          </cell>
          <cell r="S55">
            <v>0</v>
          </cell>
        </row>
        <row r="56">
          <cell r="G56">
            <v>0</v>
          </cell>
          <cell r="S56">
            <v>0</v>
          </cell>
        </row>
        <row r="57">
          <cell r="G57">
            <v>0</v>
          </cell>
          <cell r="S57">
            <v>0</v>
          </cell>
        </row>
        <row r="58">
          <cell r="G58">
            <v>540</v>
          </cell>
          <cell r="S58">
            <v>24.826061575153908</v>
          </cell>
        </row>
        <row r="59">
          <cell r="G59">
            <v>540</v>
          </cell>
          <cell r="S59">
            <v>24.826061575153908</v>
          </cell>
        </row>
        <row r="60">
          <cell r="G60">
            <v>0</v>
          </cell>
          <cell r="S60">
            <v>0</v>
          </cell>
        </row>
        <row r="61">
          <cell r="G61">
            <v>0</v>
          </cell>
          <cell r="S61">
            <v>0</v>
          </cell>
        </row>
        <row r="62">
          <cell r="G62">
            <v>0</v>
          </cell>
          <cell r="S62">
            <v>0</v>
          </cell>
        </row>
        <row r="63">
          <cell r="G63">
            <v>540</v>
          </cell>
          <cell r="S63">
            <v>24.826061575153908</v>
          </cell>
        </row>
        <row r="64">
          <cell r="G64">
            <v>0</v>
          </cell>
          <cell r="S64">
            <v>0</v>
          </cell>
        </row>
        <row r="65">
          <cell r="G65">
            <v>0</v>
          </cell>
          <cell r="S65">
            <v>0</v>
          </cell>
        </row>
        <row r="66">
          <cell r="G66">
            <v>0</v>
          </cell>
          <cell r="S66">
            <v>0</v>
          </cell>
        </row>
        <row r="67">
          <cell r="G67">
            <v>0</v>
          </cell>
          <cell r="S67">
            <v>0</v>
          </cell>
        </row>
        <row r="68">
          <cell r="G68">
            <v>540</v>
          </cell>
          <cell r="S68">
            <v>24.826061575153908</v>
          </cell>
        </row>
        <row r="69">
          <cell r="G69">
            <v>0</v>
          </cell>
          <cell r="S69">
            <v>0</v>
          </cell>
        </row>
        <row r="70">
          <cell r="G70">
            <v>0</v>
          </cell>
          <cell r="S70">
            <v>0</v>
          </cell>
        </row>
        <row r="71">
          <cell r="G71">
            <v>0</v>
          </cell>
          <cell r="S71">
            <v>0</v>
          </cell>
        </row>
        <row r="72">
          <cell r="G72">
            <v>0</v>
          </cell>
          <cell r="S72">
            <v>0</v>
          </cell>
        </row>
        <row r="73">
          <cell r="G73">
            <v>540</v>
          </cell>
          <cell r="S73">
            <v>24.826061575153908</v>
          </cell>
        </row>
        <row r="74">
          <cell r="G74">
            <v>0</v>
          </cell>
          <cell r="S74">
            <v>0</v>
          </cell>
        </row>
        <row r="75">
          <cell r="G75">
            <v>0</v>
          </cell>
          <cell r="S75">
            <v>0</v>
          </cell>
        </row>
        <row r="76">
          <cell r="G76">
            <v>0</v>
          </cell>
          <cell r="S76">
            <v>0</v>
          </cell>
        </row>
        <row r="77">
          <cell r="G77">
            <v>0</v>
          </cell>
          <cell r="S77">
            <v>0</v>
          </cell>
        </row>
        <row r="78">
          <cell r="G78">
            <v>540</v>
          </cell>
          <cell r="S78">
            <v>24.826061575153908</v>
          </cell>
        </row>
        <row r="79">
          <cell r="G79">
            <v>0</v>
          </cell>
          <cell r="S79">
            <v>0</v>
          </cell>
        </row>
        <row r="80">
          <cell r="G80">
            <v>0</v>
          </cell>
          <cell r="S80">
            <v>0</v>
          </cell>
        </row>
        <row r="81">
          <cell r="G81">
            <v>540</v>
          </cell>
          <cell r="S81">
            <v>24.826061575153908</v>
          </cell>
        </row>
        <row r="82">
          <cell r="G82">
            <v>540</v>
          </cell>
          <cell r="S82">
            <v>24.826061575153908</v>
          </cell>
        </row>
        <row r="83">
          <cell r="G83">
            <v>540</v>
          </cell>
          <cell r="S83">
            <v>24.826061575153908</v>
          </cell>
        </row>
        <row r="84">
          <cell r="G84">
            <v>540</v>
          </cell>
          <cell r="S84">
            <v>24.826061575153908</v>
          </cell>
        </row>
        <row r="85">
          <cell r="G85">
            <v>540</v>
          </cell>
          <cell r="S85">
            <v>24.826061575153908</v>
          </cell>
        </row>
        <row r="86">
          <cell r="G86">
            <v>540</v>
          </cell>
          <cell r="S86">
            <v>24.826061575153908</v>
          </cell>
        </row>
        <row r="87">
          <cell r="G87">
            <v>540</v>
          </cell>
          <cell r="S87">
            <v>24.826061575153908</v>
          </cell>
        </row>
        <row r="88">
          <cell r="G88">
            <v>540</v>
          </cell>
          <cell r="S88">
            <v>24.826061575153908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tiobe.com/tiobe-index/" TargetMode="External"/><Relationship Id="rId1" Type="http://schemas.openxmlformats.org/officeDocument/2006/relationships/hyperlink" Target="https://www.softwareadvice.com/simulation/anylogic-profile/vs/matlab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1914-F13D-43DB-B845-891AB6D1503B}">
  <sheetPr codeName="Лист10"/>
  <dimension ref="A1:X88"/>
  <sheetViews>
    <sheetView workbookViewId="0">
      <pane xSplit="1" topLeftCell="B1" activePane="topRight" state="frozen"/>
      <selection pane="topRight" activeCell="U11" sqref="U11"/>
    </sheetView>
  </sheetViews>
  <sheetFormatPr defaultRowHeight="14.4" x14ac:dyDescent="0.3"/>
  <cols>
    <col min="1" max="1" width="33.21875" style="99" customWidth="1"/>
    <col min="2" max="2" width="13.77734375" style="71" customWidth="1"/>
    <col min="3" max="3" width="12.6640625" style="5" customWidth="1"/>
    <col min="4" max="4" width="14.44140625" style="1" customWidth="1"/>
    <col min="5" max="5" width="13.109375" style="1" customWidth="1"/>
    <col min="6" max="6" width="15.44140625" style="1" customWidth="1"/>
    <col min="7" max="7" width="18.5546875" style="1" customWidth="1"/>
    <col min="8" max="8" width="13.5546875" style="14" customWidth="1"/>
    <col min="9" max="9" width="11.44140625" style="14" customWidth="1"/>
    <col min="10" max="11" width="18" style="14" customWidth="1"/>
    <col min="12" max="12" width="15" style="19" customWidth="1"/>
    <col min="13" max="13" width="11.21875" style="19" customWidth="1"/>
    <col min="14" max="14" width="18.44140625" style="19" customWidth="1"/>
    <col min="15" max="15" width="17.44140625" style="19" customWidth="1"/>
    <col min="16" max="17" width="8.88671875" style="4"/>
    <col min="18" max="18" width="12" style="4" customWidth="1"/>
    <col min="19" max="19" width="13.21875" style="4" customWidth="1"/>
    <col min="20" max="20" width="8.88671875" style="4"/>
    <col min="21" max="21" width="15.77734375" style="4" customWidth="1"/>
    <col min="22" max="22" width="11.5546875" style="4" customWidth="1"/>
    <col min="23" max="23" width="15.109375" style="4" customWidth="1"/>
    <col min="24" max="24" width="14.21875" style="4" customWidth="1"/>
    <col min="25" max="16384" width="8.88671875" style="4"/>
  </cols>
  <sheetData>
    <row r="1" spans="1:24" s="2" customFormat="1" x14ac:dyDescent="0.3">
      <c r="A1" s="102" t="s">
        <v>47</v>
      </c>
      <c r="B1" s="68" t="s">
        <v>2</v>
      </c>
      <c r="C1" s="7"/>
      <c r="D1" s="9" t="s">
        <v>4</v>
      </c>
      <c r="E1" s="10"/>
      <c r="F1" s="10"/>
      <c r="G1" s="8"/>
      <c r="H1" s="11" t="s">
        <v>3</v>
      </c>
      <c r="I1" s="12"/>
      <c r="J1" s="12"/>
      <c r="K1" s="13"/>
      <c r="L1" s="15" t="s">
        <v>5</v>
      </c>
      <c r="M1" s="16"/>
      <c r="N1" s="17"/>
      <c r="O1" s="18"/>
      <c r="Q1" s="2" t="s">
        <v>4</v>
      </c>
      <c r="R1" s="2" t="s">
        <v>3</v>
      </c>
      <c r="S1" s="2" t="s">
        <v>5</v>
      </c>
      <c r="U1" s="2" t="s">
        <v>14</v>
      </c>
      <c r="V1" s="2" t="s">
        <v>11</v>
      </c>
      <c r="W1" s="2" t="s">
        <v>12</v>
      </c>
      <c r="X1" s="2" t="s">
        <v>13</v>
      </c>
    </row>
    <row r="2" spans="1:24" s="25" customFormat="1" ht="15" thickBot="1" x14ac:dyDescent="0.35">
      <c r="A2" s="103"/>
      <c r="B2" s="69" t="s">
        <v>0</v>
      </c>
      <c r="C2" s="26" t="s">
        <v>1</v>
      </c>
      <c r="D2" s="27" t="s">
        <v>0</v>
      </c>
      <c r="E2" s="27" t="s">
        <v>1</v>
      </c>
      <c r="F2" s="27" t="s">
        <v>6</v>
      </c>
      <c r="G2" s="27" t="s">
        <v>7</v>
      </c>
      <c r="H2" s="28" t="s">
        <v>0</v>
      </c>
      <c r="I2" s="28" t="s">
        <v>1</v>
      </c>
      <c r="J2" s="28" t="s">
        <v>6</v>
      </c>
      <c r="K2" s="28" t="s">
        <v>7</v>
      </c>
      <c r="L2" s="29" t="s">
        <v>0</v>
      </c>
      <c r="M2" s="29" t="s">
        <v>1</v>
      </c>
      <c r="N2" s="29" t="s">
        <v>6</v>
      </c>
      <c r="O2" s="29" t="s">
        <v>7</v>
      </c>
    </row>
    <row r="3" spans="1:24" s="20" customFormat="1" x14ac:dyDescent="0.3">
      <c r="A3" s="98">
        <v>1</v>
      </c>
      <c r="B3" s="70">
        <f>[1]Кг_s1!D2</f>
        <v>1</v>
      </c>
      <c r="C3" s="21">
        <f>[1]Кг_s1!I2</f>
        <v>0</v>
      </c>
      <c r="D3" s="22">
        <f>[2]Кг_s1!B2</f>
        <v>1</v>
      </c>
      <c r="E3" s="22">
        <f>[2]Кг_s1!$C$2</f>
        <v>1E-3</v>
      </c>
      <c r="F3" s="22" t="str">
        <f>ROUNDUP(ABS(B3-D3),3) &amp; " ± " &amp; ROUNDUP(ABS(C3-E3),3)</f>
        <v>0 ± 0,001</v>
      </c>
      <c r="G3" s="22" t="str">
        <f>ROUNDUP(ABS(B3-D3)/B3*100,3) &amp; " ± " &amp; ROUNDUP(ABS(C3-E3)/B3*100,3)</f>
        <v>0 ± 0,1</v>
      </c>
      <c r="H3" s="23">
        <f>[3]Кг_s1!B2</f>
        <v>0.36261102831594633</v>
      </c>
      <c r="I3" s="23">
        <f>[3]Кг_s1!F2</f>
        <v>3.7160469338446439E-2</v>
      </c>
      <c r="J3" s="23" t="str">
        <f>ROUNDUP(ABS(B3-H3),3) &amp; " ± " &amp; ROUNDUP(ABS(C3-I3),3)</f>
        <v>0,638 ± 0,038</v>
      </c>
      <c r="K3" s="23" t="str">
        <f>ROUNDUP(ABS(B3-H3)/B3*100,3) &amp; " ± " &amp; ROUNDUP(ABS(C3-I3)/B3*100,3)</f>
        <v>63,739 ± 3,717</v>
      </c>
      <c r="L3" s="24">
        <v>0.95</v>
      </c>
      <c r="M3" s="24">
        <v>2E-3</v>
      </c>
      <c r="N3" s="24" t="str">
        <f>ROUNDUP(ABS(B3-L3),3) &amp; " ± " &amp; ROUNDUP(ABS(C3-M3),3)</f>
        <v>0,05 ± 0,002</v>
      </c>
      <c r="O3" s="24" t="str">
        <f>ROUNDUP(ABS(B3-L3)/B3*100,3) &amp; " ± " &amp; ROUNDUP(ABS(C3-M3)/B3*100,3)</f>
        <v>5 ± 0,2</v>
      </c>
      <c r="Q3" s="20" cm="1">
        <f t="array" ref="Q3">PointMin3(ABS(B3-D3)+ABS(C3-E3),ABS(B3-H3)+ABS(C3-I3),ABS(B3-L3)+ABS(C3-M3),ABS(B3-D3)+ABS(C3-E3))</f>
        <v>3</v>
      </c>
      <c r="R3" s="20" cm="1">
        <f t="array" ref="R3">PointMin3(ABS(B3-D3)+ABS(C3-E3),ABS(B3-H3)+ABS(C3-I3),ABS(B3-L3)+ABS(C3-M3),ABS(B3-H3)+ABS(C3-I3))</f>
        <v>1</v>
      </c>
      <c r="S3" s="20" cm="1">
        <f t="array" ref="S3">PointMin3(ABS(B3-D3)+ABS(C3-E3),ABS(B3-H3)+ABS(C3-I3),ABS(B3-L3)+ABS(C3-M3),ABS(B3-L3)+ABS(C3-M3))</f>
        <v>2</v>
      </c>
      <c r="U3" s="20">
        <f>SUM(Q:S)</f>
        <v>24</v>
      </c>
      <c r="V3" s="20">
        <f>SUM(Q:Q)</f>
        <v>10</v>
      </c>
      <c r="W3" s="20">
        <f>SUM(R:R)</f>
        <v>7</v>
      </c>
      <c r="X3" s="20">
        <f>SUM(S:S)</f>
        <v>7</v>
      </c>
    </row>
    <row r="4" spans="1:24" x14ac:dyDescent="0.3">
      <c r="A4" s="99">
        <f>A3+1</f>
        <v>2</v>
      </c>
      <c r="B4" s="70">
        <v>-1</v>
      </c>
      <c r="C4" s="21">
        <v>-1</v>
      </c>
      <c r="D4" s="22">
        <v>-1</v>
      </c>
      <c r="E4" s="22">
        <v>-1</v>
      </c>
      <c r="F4" s="22" t="str">
        <f>ROUNDUP(ABS(B4-D4),3) &amp; " ± " &amp; ROUNDUP(ABS(C4-E4),3)</f>
        <v>0 ± 0</v>
      </c>
      <c r="G4" s="22" t="str">
        <f t="shared" ref="G4:G67" si="0">ROUNDUP(ABS(B4-D4)/B4*100,3) &amp; " ± " &amp; ROUNDUP(ABS(C4-E4)/B4*100,3)</f>
        <v>0 ± 0</v>
      </c>
      <c r="H4" s="23">
        <v>-1</v>
      </c>
      <c r="I4" s="23">
        <v>-1</v>
      </c>
      <c r="J4" s="23" t="str">
        <f t="shared" ref="J4:J67" si="1">ROUNDUP(ABS(B4-H4),3) &amp; " ± " &amp; ROUNDUP(ABS(C4-I4),3)</f>
        <v>0 ± 0</v>
      </c>
      <c r="K4" s="23" t="str">
        <f t="shared" ref="K4:K67" si="2">ROUNDUP(ABS(B4-H4)/B4*100,3) &amp; " ± " &amp; ROUNDUP(ABS(C4-I4)/B4*100,3)</f>
        <v>0 ± 0</v>
      </c>
      <c r="L4" s="19">
        <v>-1</v>
      </c>
      <c r="M4" s="19">
        <v>-1</v>
      </c>
      <c r="N4" s="24" t="str">
        <f>ROUNDUP(ABS(B4-L4),3) &amp; " ± " &amp; ROUNDUP(ABS(C4-M4),3)</f>
        <v>0 ± 0</v>
      </c>
      <c r="O4" s="24" t="str">
        <f>ROUNDUP(ABS(B4-L4)/B4*100,3) &amp; " ± " &amp; ROUNDUP(ABS(C4-M4)/B4*100,3)</f>
        <v>0 ± 0</v>
      </c>
      <c r="Q4" s="20" cm="1">
        <f t="array" ref="Q4">PointMin3(ABS(B4-D4)+ABS(C4-E4),ABS(B4-H4)+ABS(C4-I4),ABS(B4-L4)+ABS(C4-M4),ABS(B4-D4)+ABS(C4-E4))</f>
        <v>1</v>
      </c>
      <c r="R4" s="20" cm="1">
        <f t="array" ref="R4">PointMin3(ABS(B4-D4)+ABS(C4-E4),ABS(B4-H4)+ABS(C4-I4),ABS(B4-L4)+ABS(C4-M4),ABS(B4-H4)+ABS(C4-I4))</f>
        <v>1</v>
      </c>
      <c r="S4" s="20" cm="1">
        <f t="array" ref="S4">PointMin3(ABS(B4-D4)+ABS(C4-E4),ABS(B4-H4)+ABS(C4-I4),ABS(B4-L4)+ABS(C4-M4),ABS(B4-L4)+ABS(C4-M4))</f>
        <v>1</v>
      </c>
    </row>
    <row r="5" spans="1:24" x14ac:dyDescent="0.3">
      <c r="A5" s="99">
        <f t="shared" ref="A5:A68" si="3">A4+1</f>
        <v>3</v>
      </c>
      <c r="B5" s="70">
        <v>-1</v>
      </c>
      <c r="C5" s="21">
        <v>-1</v>
      </c>
      <c r="D5" s="22">
        <v>-1</v>
      </c>
      <c r="E5" s="22">
        <v>-1</v>
      </c>
      <c r="F5" s="22" t="str">
        <f t="shared" ref="F5:F67" si="4">ROUNDUP(ABS(B5-D5),3) &amp; " ± " &amp; ROUNDUP(ABS(C5-E5),3)</f>
        <v>0 ± 0</v>
      </c>
      <c r="G5" s="22" t="str">
        <f t="shared" si="0"/>
        <v>0 ± 0</v>
      </c>
      <c r="H5" s="23">
        <v>-1</v>
      </c>
      <c r="I5" s="23">
        <v>-1</v>
      </c>
      <c r="J5" s="23" t="str">
        <f t="shared" si="1"/>
        <v>0 ± 0</v>
      </c>
      <c r="K5" s="23" t="str">
        <f t="shared" si="2"/>
        <v>0 ± 0</v>
      </c>
      <c r="L5" s="19">
        <v>-1</v>
      </c>
      <c r="M5" s="19">
        <v>-1</v>
      </c>
      <c r="N5" s="24" t="str">
        <f t="shared" ref="N5:N68" si="5">ROUNDUP(ABS(B5-L5),3) &amp; " ± " &amp; ROUNDUP(ABS(C5-M5),3)</f>
        <v>0 ± 0</v>
      </c>
      <c r="O5" s="24" t="str">
        <f t="shared" ref="O5:O68" si="6">ROUNDUP(ABS(B5-L5)/B5*100,3) &amp; " ± " &amp; ROUNDUP(ABS(C5-M5)/B5*100,3)</f>
        <v>0 ± 0</v>
      </c>
      <c r="Q5" s="20" cm="1">
        <f t="array" ref="Q5">PointMin3(ABS(B5-D5)+ABS(C5-E5),ABS(B5-H5)+ABS(C5-I5),ABS(B5-L5)+ABS(C5-M5),ABS(B5-D5)+ABS(C5-E5))</f>
        <v>1</v>
      </c>
      <c r="R5" s="20" cm="1">
        <f t="array" ref="R5">PointMin3(ABS(B5-D5)+ABS(C5-E5),ABS(B5-H5)+ABS(C5-I5),ABS(B5-L5)+ABS(C5-M5),ABS(B5-H5)+ABS(C5-I5))</f>
        <v>1</v>
      </c>
      <c r="S5" s="20" cm="1">
        <f t="array" ref="S5">PointMin3(ABS(B5-D5)+ABS(C5-E5),ABS(B5-H5)+ABS(C5-I5),ABS(B5-L5)+ABS(C5-M5),ABS(B5-L5)+ABS(C5-M5))</f>
        <v>1</v>
      </c>
    </row>
    <row r="6" spans="1:24" x14ac:dyDescent="0.3">
      <c r="A6" s="99">
        <f t="shared" si="3"/>
        <v>4</v>
      </c>
      <c r="B6" s="70">
        <v>-1</v>
      </c>
      <c r="C6" s="21">
        <v>-1</v>
      </c>
      <c r="D6" s="22">
        <v>-1</v>
      </c>
      <c r="E6" s="22">
        <v>-1</v>
      </c>
      <c r="F6" s="22" t="str">
        <f t="shared" si="4"/>
        <v>0 ± 0</v>
      </c>
      <c r="G6" s="22" t="str">
        <f t="shared" si="0"/>
        <v>0 ± 0</v>
      </c>
      <c r="H6" s="23">
        <v>-1</v>
      </c>
      <c r="I6" s="23">
        <v>-1</v>
      </c>
      <c r="J6" s="23" t="str">
        <f t="shared" si="1"/>
        <v>0 ± 0</v>
      </c>
      <c r="K6" s="23" t="str">
        <f t="shared" si="2"/>
        <v>0 ± 0</v>
      </c>
      <c r="L6" s="19">
        <v>-1</v>
      </c>
      <c r="M6" s="19">
        <v>-1</v>
      </c>
      <c r="N6" s="24" t="str">
        <f t="shared" si="5"/>
        <v>0 ± 0</v>
      </c>
      <c r="O6" s="24" t="str">
        <f t="shared" si="6"/>
        <v>0 ± 0</v>
      </c>
      <c r="Q6" s="20" cm="1">
        <f t="array" ref="Q6">PointMin3(ABS(B6-D6)+ABS(C6-E6),ABS(B6-H6)+ABS(C6-I6),ABS(B6-L6)+ABS(C6-M6),ABS(B6-D6)+ABS(C6-E6))</f>
        <v>1</v>
      </c>
      <c r="R6" s="20" cm="1">
        <f t="array" ref="R6">PointMin3(ABS(B6-D6)+ABS(C6-E6),ABS(B6-H6)+ABS(C6-I6),ABS(B6-L6)+ABS(C6-M6),ABS(B6-H6)+ABS(C6-I6))</f>
        <v>1</v>
      </c>
      <c r="S6" s="20" cm="1">
        <f t="array" ref="S6">PointMin3(ABS(B6-D6)+ABS(C6-E6),ABS(B6-H6)+ABS(C6-I6),ABS(B6-L6)+ABS(C6-M6),ABS(B6-L6)+ABS(C6-M6))</f>
        <v>1</v>
      </c>
    </row>
    <row r="7" spans="1:24" x14ac:dyDescent="0.3">
      <c r="A7" s="99">
        <f t="shared" si="3"/>
        <v>5</v>
      </c>
      <c r="B7" s="70">
        <v>-1</v>
      </c>
      <c r="C7" s="21">
        <v>-1</v>
      </c>
      <c r="D7" s="22">
        <v>-1</v>
      </c>
      <c r="E7" s="22">
        <v>-1</v>
      </c>
      <c r="F7" s="22" t="str">
        <f t="shared" si="4"/>
        <v>0 ± 0</v>
      </c>
      <c r="G7" s="22" t="str">
        <f t="shared" si="0"/>
        <v>0 ± 0</v>
      </c>
      <c r="H7" s="23">
        <v>-1</v>
      </c>
      <c r="I7" s="23">
        <v>-1</v>
      </c>
      <c r="J7" s="23" t="str">
        <f t="shared" si="1"/>
        <v>0 ± 0</v>
      </c>
      <c r="K7" s="23" t="str">
        <f t="shared" si="2"/>
        <v>0 ± 0</v>
      </c>
      <c r="L7" s="19">
        <v>-1</v>
      </c>
      <c r="M7" s="19">
        <v>-1</v>
      </c>
      <c r="N7" s="24" t="str">
        <f t="shared" si="5"/>
        <v>0 ± 0</v>
      </c>
      <c r="O7" s="24" t="str">
        <f t="shared" si="6"/>
        <v>0 ± 0</v>
      </c>
      <c r="Q7" s="20" cm="1">
        <f t="array" ref="Q7">PointMin3(ABS(B7-D7)+ABS(C7-E7),ABS(B7-H7)+ABS(C7-I7),ABS(B7-L7)+ABS(C7-M7),ABS(B7-D7)+ABS(C7-E7))</f>
        <v>1</v>
      </c>
      <c r="R7" s="20" cm="1">
        <f t="array" ref="R7">PointMin3(ABS(B7-D7)+ABS(C7-E7),ABS(B7-H7)+ABS(C7-I7),ABS(B7-L7)+ABS(C7-M7),ABS(B7-H7)+ABS(C7-I7))</f>
        <v>1</v>
      </c>
      <c r="S7" s="20" cm="1">
        <f t="array" ref="S7">PointMin3(ABS(B7-D7)+ABS(C7-E7),ABS(B7-H7)+ABS(C7-I7),ABS(B7-L7)+ABS(C7-M7),ABS(B7-L7)+ABS(C7-M7))</f>
        <v>1</v>
      </c>
    </row>
    <row r="8" spans="1:24" x14ac:dyDescent="0.3">
      <c r="A8" s="100">
        <f t="shared" si="3"/>
        <v>6</v>
      </c>
      <c r="B8" s="70">
        <f>[1]Кг_s1!D7</f>
        <v>1</v>
      </c>
      <c r="C8" s="21">
        <f>[1]Кг_s1!I7</f>
        <v>0</v>
      </c>
      <c r="D8" s="22">
        <f>[2]Кг_s1!B7</f>
        <v>1</v>
      </c>
      <c r="E8" s="22">
        <f>[2]Кг_s1!$C$2</f>
        <v>1E-3</v>
      </c>
      <c r="F8" s="22" t="str">
        <f t="shared" si="4"/>
        <v>0 ± 0,001</v>
      </c>
      <c r="G8" s="22" t="str">
        <f t="shared" si="0"/>
        <v>0 ± 0,1</v>
      </c>
      <c r="H8" s="23">
        <f>[3]Кг_s1!B7</f>
        <v>0.36261102831594633</v>
      </c>
      <c r="I8" s="23">
        <f>[3]Кг_s1!F7</f>
        <v>3.7160469338446439E-2</v>
      </c>
      <c r="J8" s="23" t="str">
        <f t="shared" si="1"/>
        <v>0,638 ± 0,038</v>
      </c>
      <c r="K8" s="23" t="str">
        <f t="shared" si="2"/>
        <v>63,739 ± 3,717</v>
      </c>
      <c r="N8" s="24" t="str">
        <f t="shared" si="5"/>
        <v>1 ± 0</v>
      </c>
      <c r="O8" s="24" t="str">
        <f t="shared" si="6"/>
        <v>100 ± 0</v>
      </c>
      <c r="Q8" s="20" cm="1">
        <f t="array" ref="Q8">PointMin3(ABS(B8-D8)+ABS(C8-E8),ABS(B8-H8)+ABS(C8-I8),ABS(B8-L8)+ABS(C8-M8),ABS(B8-D8)+ABS(C8-E8))</f>
        <v>3</v>
      </c>
      <c r="R8" s="20" cm="1">
        <f t="array" ref="R8">PointMin3(ABS(B8-D8)+ABS(C8-E8),ABS(B8-H8)+ABS(C8-I8),ABS(B8-L8)+ABS(C8-M8),ABS(B8-H8)+ABS(C8-I8))</f>
        <v>2</v>
      </c>
      <c r="S8" s="20" cm="1">
        <f t="array" ref="S8">PointMin3(ABS(B8-D8)+ABS(C8-E8),ABS(B8-H8)+ABS(C8-I8),ABS(B8-L8)+ABS(C8-M8),ABS(B8-L8)+ABS(C8-M8))</f>
        <v>1</v>
      </c>
    </row>
    <row r="9" spans="1:24" x14ac:dyDescent="0.3">
      <c r="A9" s="99">
        <f t="shared" si="3"/>
        <v>7</v>
      </c>
      <c r="B9" s="70">
        <v>-1</v>
      </c>
      <c r="C9" s="21">
        <v>-1</v>
      </c>
      <c r="D9" s="22">
        <v>-1</v>
      </c>
      <c r="E9" s="22">
        <v>-1</v>
      </c>
      <c r="F9" s="22" t="str">
        <f t="shared" si="4"/>
        <v>0 ± 0</v>
      </c>
      <c r="G9" s="22" t="str">
        <f t="shared" si="0"/>
        <v>0 ± 0</v>
      </c>
      <c r="H9" s="23">
        <v>-1</v>
      </c>
      <c r="I9" s="23">
        <v>-1</v>
      </c>
      <c r="J9" s="23" t="str">
        <f t="shared" si="1"/>
        <v>0 ± 0</v>
      </c>
      <c r="K9" s="23" t="str">
        <f t="shared" si="2"/>
        <v>0 ± 0</v>
      </c>
      <c r="N9" s="24" t="str">
        <f t="shared" si="5"/>
        <v>1 ± 1</v>
      </c>
      <c r="O9" s="24" t="str">
        <f t="shared" si="6"/>
        <v>-100 ± -100</v>
      </c>
    </row>
    <row r="10" spans="1:24" x14ac:dyDescent="0.3">
      <c r="A10" s="99">
        <f t="shared" si="3"/>
        <v>8</v>
      </c>
      <c r="B10" s="70">
        <v>-1</v>
      </c>
      <c r="C10" s="21">
        <v>-1</v>
      </c>
      <c r="D10" s="22">
        <v>-1</v>
      </c>
      <c r="E10" s="22">
        <v>-1</v>
      </c>
      <c r="F10" s="22" t="str">
        <f t="shared" si="4"/>
        <v>0 ± 0</v>
      </c>
      <c r="G10" s="22" t="str">
        <f t="shared" si="0"/>
        <v>0 ± 0</v>
      </c>
      <c r="H10" s="23">
        <v>-1</v>
      </c>
      <c r="I10" s="23">
        <v>-1</v>
      </c>
      <c r="J10" s="23" t="str">
        <f t="shared" si="1"/>
        <v>0 ± 0</v>
      </c>
      <c r="K10" s="23" t="str">
        <f t="shared" si="2"/>
        <v>0 ± 0</v>
      </c>
      <c r="N10" s="24" t="str">
        <f t="shared" si="5"/>
        <v>1 ± 1</v>
      </c>
      <c r="O10" s="24" t="str">
        <f t="shared" si="6"/>
        <v>-100 ± -100</v>
      </c>
      <c r="U10" s="36"/>
    </row>
    <row r="11" spans="1:24" x14ac:dyDescent="0.3">
      <c r="A11" s="99">
        <f t="shared" si="3"/>
        <v>9</v>
      </c>
      <c r="B11" s="70">
        <v>-1</v>
      </c>
      <c r="C11" s="21">
        <v>-1</v>
      </c>
      <c r="D11" s="22">
        <v>-1</v>
      </c>
      <c r="E11" s="22">
        <v>-1</v>
      </c>
      <c r="F11" s="22" t="str">
        <f t="shared" si="4"/>
        <v>0 ± 0</v>
      </c>
      <c r="G11" s="22" t="str">
        <f t="shared" si="0"/>
        <v>0 ± 0</v>
      </c>
      <c r="H11" s="23">
        <v>-1</v>
      </c>
      <c r="I11" s="23">
        <v>-1</v>
      </c>
      <c r="J11" s="23" t="str">
        <f t="shared" si="1"/>
        <v>0 ± 0</v>
      </c>
      <c r="K11" s="23" t="str">
        <f t="shared" si="2"/>
        <v>0 ± 0</v>
      </c>
      <c r="N11" s="24" t="str">
        <f t="shared" si="5"/>
        <v>1 ± 1</v>
      </c>
      <c r="O11" s="24" t="str">
        <f t="shared" si="6"/>
        <v>-100 ± -100</v>
      </c>
    </row>
    <row r="12" spans="1:24" x14ac:dyDescent="0.3">
      <c r="A12" s="99">
        <f t="shared" si="3"/>
        <v>10</v>
      </c>
      <c r="B12" s="70">
        <v>-1</v>
      </c>
      <c r="C12" s="21">
        <v>-1</v>
      </c>
      <c r="D12" s="22">
        <v>-1</v>
      </c>
      <c r="E12" s="22">
        <v>-1</v>
      </c>
      <c r="F12" s="22" t="str">
        <f t="shared" si="4"/>
        <v>0 ± 0</v>
      </c>
      <c r="G12" s="22" t="str">
        <f t="shared" si="0"/>
        <v>0 ± 0</v>
      </c>
      <c r="H12" s="23">
        <v>-1</v>
      </c>
      <c r="I12" s="23">
        <v>-1</v>
      </c>
      <c r="J12" s="23" t="str">
        <f t="shared" si="1"/>
        <v>0 ± 0</v>
      </c>
      <c r="K12" s="23" t="str">
        <f t="shared" si="2"/>
        <v>0 ± 0</v>
      </c>
      <c r="N12" s="24" t="str">
        <f t="shared" si="5"/>
        <v>1 ± 1</v>
      </c>
      <c r="O12" s="24" t="str">
        <f t="shared" si="6"/>
        <v>-100 ± -100</v>
      </c>
    </row>
    <row r="13" spans="1:24" x14ac:dyDescent="0.3">
      <c r="A13" s="100">
        <f t="shared" si="3"/>
        <v>11</v>
      </c>
      <c r="B13" s="70">
        <f>[1]Кг_s1!D12</f>
        <v>1</v>
      </c>
      <c r="C13" s="21">
        <f>[1]Кг_s1!I12</f>
        <v>0</v>
      </c>
      <c r="D13" s="22">
        <f>[2]Кг_s1!B12</f>
        <v>0.5</v>
      </c>
      <c r="E13" s="22">
        <f>[2]Кг_s1!$C$2</f>
        <v>1E-3</v>
      </c>
      <c r="F13" s="22" t="str">
        <f t="shared" si="4"/>
        <v>0,5 ± 0,001</v>
      </c>
      <c r="G13" s="22" t="str">
        <f t="shared" si="0"/>
        <v>50 ± 0,1</v>
      </c>
      <c r="H13" s="23">
        <f>[3]Кг_s1!B12</f>
        <v>0.36261102831594633</v>
      </c>
      <c r="I13" s="23">
        <f>[3]Кг_s1!F12</f>
        <v>3.7160469338446439E-2</v>
      </c>
      <c r="J13" s="23" t="str">
        <f t="shared" si="1"/>
        <v>0,638 ± 0,038</v>
      </c>
      <c r="K13" s="23" t="str">
        <f t="shared" si="2"/>
        <v>63,739 ± 3,717</v>
      </c>
      <c r="N13" s="24" t="str">
        <f t="shared" si="5"/>
        <v>1 ± 0</v>
      </c>
      <c r="O13" s="24" t="str">
        <f t="shared" si="6"/>
        <v>100 ± 0</v>
      </c>
    </row>
    <row r="14" spans="1:24" x14ac:dyDescent="0.3">
      <c r="A14" s="99">
        <f t="shared" si="3"/>
        <v>12</v>
      </c>
      <c r="B14" s="70">
        <v>-1</v>
      </c>
      <c r="C14" s="21">
        <v>-1</v>
      </c>
      <c r="D14" s="22">
        <v>-1</v>
      </c>
      <c r="E14" s="22">
        <v>-1</v>
      </c>
      <c r="F14" s="22" t="str">
        <f t="shared" si="4"/>
        <v>0 ± 0</v>
      </c>
      <c r="G14" s="22" t="str">
        <f t="shared" si="0"/>
        <v>0 ± 0</v>
      </c>
      <c r="H14" s="23">
        <v>-1</v>
      </c>
      <c r="I14" s="23">
        <v>-1</v>
      </c>
      <c r="J14" s="23" t="str">
        <f t="shared" si="1"/>
        <v>0 ± 0</v>
      </c>
      <c r="K14" s="23" t="str">
        <f t="shared" si="2"/>
        <v>0 ± 0</v>
      </c>
      <c r="N14" s="24" t="str">
        <f t="shared" si="5"/>
        <v>1 ± 1</v>
      </c>
      <c r="O14" s="24" t="str">
        <f t="shared" si="6"/>
        <v>-100 ± -100</v>
      </c>
      <c r="P14" s="30"/>
    </row>
    <row r="15" spans="1:24" x14ac:dyDescent="0.3">
      <c r="A15" s="99">
        <f t="shared" si="3"/>
        <v>13</v>
      </c>
      <c r="B15" s="70">
        <v>-1</v>
      </c>
      <c r="C15" s="21">
        <v>-1</v>
      </c>
      <c r="D15" s="22">
        <v>-1</v>
      </c>
      <c r="E15" s="22">
        <v>-1</v>
      </c>
      <c r="F15" s="22" t="str">
        <f t="shared" si="4"/>
        <v>0 ± 0</v>
      </c>
      <c r="G15" s="22" t="str">
        <f t="shared" si="0"/>
        <v>0 ± 0</v>
      </c>
      <c r="H15" s="23">
        <v>-1</v>
      </c>
      <c r="I15" s="23">
        <v>-1</v>
      </c>
      <c r="J15" s="23" t="str">
        <f t="shared" si="1"/>
        <v>0 ± 0</v>
      </c>
      <c r="K15" s="23" t="str">
        <f t="shared" si="2"/>
        <v>0 ± 0</v>
      </c>
      <c r="N15" s="24" t="str">
        <f t="shared" si="5"/>
        <v>1 ± 1</v>
      </c>
      <c r="O15" s="24" t="str">
        <f t="shared" si="6"/>
        <v>-100 ± -100</v>
      </c>
      <c r="Q15" s="30"/>
    </row>
    <row r="16" spans="1:24" x14ac:dyDescent="0.3">
      <c r="A16" s="99">
        <f t="shared" si="3"/>
        <v>14</v>
      </c>
      <c r="B16" s="70">
        <v>-1</v>
      </c>
      <c r="C16" s="21">
        <v>-1</v>
      </c>
      <c r="D16" s="22">
        <v>-1</v>
      </c>
      <c r="E16" s="22">
        <v>-1</v>
      </c>
      <c r="F16" s="22" t="str">
        <f t="shared" si="4"/>
        <v>0 ± 0</v>
      </c>
      <c r="G16" s="22" t="str">
        <f t="shared" si="0"/>
        <v>0 ± 0</v>
      </c>
      <c r="H16" s="23">
        <v>-1</v>
      </c>
      <c r="I16" s="23">
        <v>-1</v>
      </c>
      <c r="J16" s="23" t="str">
        <f t="shared" si="1"/>
        <v>0 ± 0</v>
      </c>
      <c r="K16" s="23" t="str">
        <f t="shared" si="2"/>
        <v>0 ± 0</v>
      </c>
      <c r="N16" s="24" t="str">
        <f t="shared" si="5"/>
        <v>1 ± 1</v>
      </c>
      <c r="O16" s="24" t="str">
        <f t="shared" si="6"/>
        <v>-100 ± -100</v>
      </c>
      <c r="Q16" s="97"/>
    </row>
    <row r="17" spans="1:15" x14ac:dyDescent="0.3">
      <c r="A17" s="99">
        <f t="shared" si="3"/>
        <v>15</v>
      </c>
      <c r="B17" s="70">
        <v>-1</v>
      </c>
      <c r="C17" s="21">
        <v>-1</v>
      </c>
      <c r="D17" s="22">
        <v>-1</v>
      </c>
      <c r="E17" s="22">
        <v>-1</v>
      </c>
      <c r="F17" s="22" t="str">
        <f t="shared" si="4"/>
        <v>0 ± 0</v>
      </c>
      <c r="G17" s="22" t="str">
        <f t="shared" si="0"/>
        <v>0 ± 0</v>
      </c>
      <c r="H17" s="23">
        <v>-1</v>
      </c>
      <c r="I17" s="23">
        <v>-1</v>
      </c>
      <c r="J17" s="23" t="str">
        <f t="shared" si="1"/>
        <v>0 ± 0</v>
      </c>
      <c r="K17" s="23" t="str">
        <f t="shared" si="2"/>
        <v>0 ± 0</v>
      </c>
      <c r="N17" s="24" t="str">
        <f t="shared" si="5"/>
        <v>1 ± 1</v>
      </c>
      <c r="O17" s="24" t="str">
        <f t="shared" si="6"/>
        <v>-100 ± -100</v>
      </c>
    </row>
    <row r="18" spans="1:15" x14ac:dyDescent="0.3">
      <c r="A18" s="100">
        <f t="shared" si="3"/>
        <v>16</v>
      </c>
      <c r="B18" s="70">
        <f>[1]Кг_s1!D17</f>
        <v>0.93407780964224163</v>
      </c>
      <c r="C18" s="21">
        <f>[1]Кг_s1!I17</f>
        <v>0.27029839581291781</v>
      </c>
      <c r="D18" s="22">
        <f>[2]Кг_s1!B17</f>
        <v>0.5</v>
      </c>
      <c r="E18" s="22">
        <f>[2]Кг_s1!$C$2</f>
        <v>1E-3</v>
      </c>
      <c r="F18" s="22" t="str">
        <f t="shared" si="4"/>
        <v>0,435 ± 0,27</v>
      </c>
      <c r="G18" s="22" t="str">
        <f t="shared" si="0"/>
        <v>46,472 ± 28,831</v>
      </c>
      <c r="H18" s="23">
        <f>[3]Кг_s1!B17</f>
        <v>0.49807528207073093</v>
      </c>
      <c r="I18" s="23">
        <f>[3]Кг_s1!F17</f>
        <v>0.49807532712325897</v>
      </c>
      <c r="J18" s="23" t="str">
        <f t="shared" si="1"/>
        <v>0,437 ± 0,228</v>
      </c>
      <c r="K18" s="23" t="str">
        <f t="shared" si="2"/>
        <v>46,678 ± 24,386</v>
      </c>
      <c r="N18" s="24" t="str">
        <f t="shared" si="5"/>
        <v>0,935 ± 0,271</v>
      </c>
      <c r="O18" s="24" t="str">
        <f t="shared" si="6"/>
        <v>100 ± 28,938</v>
      </c>
    </row>
    <row r="19" spans="1:15" x14ac:dyDescent="0.3">
      <c r="A19" s="99">
        <f t="shared" si="3"/>
        <v>17</v>
      </c>
      <c r="B19" s="70">
        <v>-1</v>
      </c>
      <c r="C19" s="21">
        <v>-1</v>
      </c>
      <c r="D19" s="22">
        <v>-1</v>
      </c>
      <c r="E19" s="22">
        <v>-1</v>
      </c>
      <c r="F19" s="22" t="str">
        <f t="shared" si="4"/>
        <v>0 ± 0</v>
      </c>
      <c r="G19" s="22" t="str">
        <f t="shared" si="0"/>
        <v>0 ± 0</v>
      </c>
      <c r="H19" s="23">
        <v>-1</v>
      </c>
      <c r="I19" s="23">
        <v>-1</v>
      </c>
      <c r="J19" s="23" t="str">
        <f t="shared" si="1"/>
        <v>0 ± 0</v>
      </c>
      <c r="K19" s="23" t="str">
        <f t="shared" si="2"/>
        <v>0 ± 0</v>
      </c>
      <c r="N19" s="24" t="str">
        <f t="shared" si="5"/>
        <v>1 ± 1</v>
      </c>
      <c r="O19" s="24" t="str">
        <f t="shared" si="6"/>
        <v>-100 ± -100</v>
      </c>
    </row>
    <row r="20" spans="1:15" x14ac:dyDescent="0.3">
      <c r="A20" s="99">
        <f t="shared" si="3"/>
        <v>18</v>
      </c>
      <c r="B20" s="70">
        <v>-1</v>
      </c>
      <c r="C20" s="21">
        <v>-1</v>
      </c>
      <c r="D20" s="22">
        <v>-1</v>
      </c>
      <c r="E20" s="22">
        <v>-1</v>
      </c>
      <c r="F20" s="22" t="str">
        <f t="shared" si="4"/>
        <v>0 ± 0</v>
      </c>
      <c r="G20" s="22" t="str">
        <f t="shared" si="0"/>
        <v>0 ± 0</v>
      </c>
      <c r="H20" s="23">
        <v>-1</v>
      </c>
      <c r="I20" s="23">
        <v>-1</v>
      </c>
      <c r="J20" s="23" t="str">
        <f t="shared" si="1"/>
        <v>0 ± 0</v>
      </c>
      <c r="K20" s="23" t="str">
        <f t="shared" si="2"/>
        <v>0 ± 0</v>
      </c>
      <c r="N20" s="24" t="str">
        <f t="shared" si="5"/>
        <v>1 ± 1</v>
      </c>
      <c r="O20" s="24" t="str">
        <f t="shared" si="6"/>
        <v>-100 ± -100</v>
      </c>
    </row>
    <row r="21" spans="1:15" x14ac:dyDescent="0.3">
      <c r="A21" s="99">
        <f t="shared" si="3"/>
        <v>19</v>
      </c>
      <c r="B21" s="70">
        <v>-1</v>
      </c>
      <c r="C21" s="21">
        <v>-1</v>
      </c>
      <c r="D21" s="22">
        <v>-1</v>
      </c>
      <c r="E21" s="22">
        <v>-1</v>
      </c>
      <c r="F21" s="22" t="str">
        <f t="shared" si="4"/>
        <v>0 ± 0</v>
      </c>
      <c r="G21" s="22" t="str">
        <f t="shared" si="0"/>
        <v>0 ± 0</v>
      </c>
      <c r="H21" s="23">
        <v>-1</v>
      </c>
      <c r="I21" s="23">
        <v>-1</v>
      </c>
      <c r="J21" s="23" t="str">
        <f t="shared" si="1"/>
        <v>0 ± 0</v>
      </c>
      <c r="K21" s="23" t="str">
        <f t="shared" si="2"/>
        <v>0 ± 0</v>
      </c>
      <c r="N21" s="24" t="str">
        <f t="shared" si="5"/>
        <v>1 ± 1</v>
      </c>
      <c r="O21" s="24" t="str">
        <f t="shared" si="6"/>
        <v>-100 ± -100</v>
      </c>
    </row>
    <row r="22" spans="1:15" x14ac:dyDescent="0.3">
      <c r="A22" s="99">
        <f t="shared" si="3"/>
        <v>20</v>
      </c>
      <c r="B22" s="70">
        <v>-1</v>
      </c>
      <c r="C22" s="21">
        <v>-1</v>
      </c>
      <c r="D22" s="22">
        <v>-1</v>
      </c>
      <c r="E22" s="22">
        <v>-1</v>
      </c>
      <c r="F22" s="22" t="str">
        <f t="shared" si="4"/>
        <v>0 ± 0</v>
      </c>
      <c r="G22" s="22" t="str">
        <f t="shared" si="0"/>
        <v>0 ± 0</v>
      </c>
      <c r="H22" s="23">
        <v>-1</v>
      </c>
      <c r="I22" s="23">
        <v>-1</v>
      </c>
      <c r="J22" s="23" t="str">
        <f t="shared" si="1"/>
        <v>0 ± 0</v>
      </c>
      <c r="K22" s="23" t="str">
        <f t="shared" si="2"/>
        <v>0 ± 0</v>
      </c>
      <c r="N22" s="24" t="str">
        <f t="shared" si="5"/>
        <v>1 ± 1</v>
      </c>
      <c r="O22" s="24" t="str">
        <f t="shared" si="6"/>
        <v>-100 ± -100</v>
      </c>
    </row>
    <row r="23" spans="1:15" x14ac:dyDescent="0.3">
      <c r="A23" s="100">
        <f t="shared" si="3"/>
        <v>21</v>
      </c>
      <c r="B23" s="70">
        <f>[1]Кг_s1!D22</f>
        <v>0.98406122288656095</v>
      </c>
      <c r="C23" s="21">
        <f>[1]Кг_s1!I22</f>
        <v>3.792456734900173E-2</v>
      </c>
      <c r="D23" s="22">
        <f>[2]Кг_s1!B22</f>
        <v>0.5</v>
      </c>
      <c r="E23" s="22">
        <f>[2]Кг_s1!$C$2</f>
        <v>1E-3</v>
      </c>
      <c r="F23" s="22" t="str">
        <f t="shared" si="4"/>
        <v>0,485 ± 0,037</v>
      </c>
      <c r="G23" s="22" t="str">
        <f t="shared" si="0"/>
        <v>49,191 ± 3,753</v>
      </c>
      <c r="H23" s="23">
        <f>[3]Кг_s1!B22</f>
        <v>0.49837644160788269</v>
      </c>
      <c r="I23" s="23">
        <f>[3]Кг_s1!F22</f>
        <v>0.49837647365306215</v>
      </c>
      <c r="J23" s="23" t="str">
        <f t="shared" si="1"/>
        <v>0,486 ± 0,461</v>
      </c>
      <c r="K23" s="23" t="str">
        <f t="shared" si="2"/>
        <v>49,356 ± 46,791</v>
      </c>
      <c r="N23" s="24" t="str">
        <f t="shared" si="5"/>
        <v>0,985 ± 0,038</v>
      </c>
      <c r="O23" s="24" t="str">
        <f t="shared" si="6"/>
        <v>100 ± 3,854</v>
      </c>
    </row>
    <row r="24" spans="1:15" x14ac:dyDescent="0.3">
      <c r="A24" s="67">
        <f t="shared" si="3"/>
        <v>22</v>
      </c>
      <c r="B24" s="70">
        <v>-1</v>
      </c>
      <c r="C24" s="21">
        <v>-1</v>
      </c>
      <c r="D24" s="22">
        <v>-1</v>
      </c>
      <c r="E24" s="22">
        <v>-1</v>
      </c>
      <c r="F24" s="22" t="str">
        <f t="shared" si="4"/>
        <v>0 ± 0</v>
      </c>
      <c r="G24" s="22" t="str">
        <f t="shared" si="0"/>
        <v>0 ± 0</v>
      </c>
      <c r="H24" s="23">
        <v>-1</v>
      </c>
      <c r="I24" s="23">
        <v>-1</v>
      </c>
      <c r="J24" s="23" t="str">
        <f t="shared" si="1"/>
        <v>0 ± 0</v>
      </c>
      <c r="K24" s="23" t="str">
        <f t="shared" si="2"/>
        <v>0 ± 0</v>
      </c>
      <c r="N24" s="24" t="str">
        <f t="shared" si="5"/>
        <v>1 ± 1</v>
      </c>
      <c r="O24" s="24" t="str">
        <f t="shared" si="6"/>
        <v>-100 ± -100</v>
      </c>
    </row>
    <row r="25" spans="1:15" x14ac:dyDescent="0.3">
      <c r="A25" s="67">
        <f t="shared" si="3"/>
        <v>23</v>
      </c>
      <c r="B25" s="70">
        <v>-1</v>
      </c>
      <c r="C25" s="21">
        <v>-1</v>
      </c>
      <c r="D25" s="22">
        <v>-1</v>
      </c>
      <c r="E25" s="22">
        <v>-1</v>
      </c>
      <c r="F25" s="22" t="str">
        <f t="shared" si="4"/>
        <v>0 ± 0</v>
      </c>
      <c r="G25" s="22" t="str">
        <f t="shared" si="0"/>
        <v>0 ± 0</v>
      </c>
      <c r="H25" s="23">
        <v>-1</v>
      </c>
      <c r="I25" s="23">
        <v>-1</v>
      </c>
      <c r="J25" s="23" t="str">
        <f t="shared" si="1"/>
        <v>0 ± 0</v>
      </c>
      <c r="K25" s="23" t="str">
        <f t="shared" si="2"/>
        <v>0 ± 0</v>
      </c>
      <c r="N25" s="24" t="str">
        <f t="shared" si="5"/>
        <v>1 ± 1</v>
      </c>
      <c r="O25" s="24" t="str">
        <f t="shared" si="6"/>
        <v>-100 ± -100</v>
      </c>
    </row>
    <row r="26" spans="1:15" x14ac:dyDescent="0.3">
      <c r="A26" s="67">
        <f t="shared" si="3"/>
        <v>24</v>
      </c>
      <c r="B26" s="70">
        <v>-1</v>
      </c>
      <c r="C26" s="21">
        <v>-1</v>
      </c>
      <c r="D26" s="22">
        <v>-1</v>
      </c>
      <c r="E26" s="22">
        <v>-1</v>
      </c>
      <c r="F26" s="22" t="str">
        <f t="shared" si="4"/>
        <v>0 ± 0</v>
      </c>
      <c r="G26" s="22" t="str">
        <f t="shared" si="0"/>
        <v>0 ± 0</v>
      </c>
      <c r="H26" s="23">
        <v>-1</v>
      </c>
      <c r="I26" s="23">
        <v>-1</v>
      </c>
      <c r="J26" s="23" t="str">
        <f t="shared" si="1"/>
        <v>0 ± 0</v>
      </c>
      <c r="K26" s="23" t="str">
        <f t="shared" si="2"/>
        <v>0 ± 0</v>
      </c>
      <c r="N26" s="24" t="str">
        <f t="shared" si="5"/>
        <v>1 ± 1</v>
      </c>
      <c r="O26" s="24" t="str">
        <f t="shared" si="6"/>
        <v>-100 ± -100</v>
      </c>
    </row>
    <row r="27" spans="1:15" x14ac:dyDescent="0.3">
      <c r="A27" s="67">
        <f t="shared" si="3"/>
        <v>25</v>
      </c>
      <c r="B27" s="70">
        <v>-1</v>
      </c>
      <c r="C27" s="21">
        <v>-1</v>
      </c>
      <c r="D27" s="22">
        <v>-1</v>
      </c>
      <c r="E27" s="22">
        <v>-1</v>
      </c>
      <c r="F27" s="22" t="str">
        <f t="shared" si="4"/>
        <v>0 ± 0</v>
      </c>
      <c r="G27" s="22" t="str">
        <f t="shared" si="0"/>
        <v>0 ± 0</v>
      </c>
      <c r="H27" s="23">
        <v>-1</v>
      </c>
      <c r="I27" s="23">
        <v>-1</v>
      </c>
      <c r="J27" s="23" t="str">
        <f t="shared" si="1"/>
        <v>0 ± 0</v>
      </c>
      <c r="K27" s="23" t="str">
        <f t="shared" si="2"/>
        <v>0 ± 0</v>
      </c>
      <c r="N27" s="24" t="str">
        <f t="shared" si="5"/>
        <v>1 ± 1</v>
      </c>
      <c r="O27" s="24" t="str">
        <f t="shared" si="6"/>
        <v>-100 ± -100</v>
      </c>
    </row>
    <row r="28" spans="1:15" x14ac:dyDescent="0.3">
      <c r="A28" s="100">
        <f t="shared" si="3"/>
        <v>26</v>
      </c>
      <c r="B28" s="70">
        <f>[1]Кг_s1!D27</f>
        <v>0.99509801661048369</v>
      </c>
      <c r="C28" s="21">
        <f>[1]Кг_s1!I27</f>
        <v>2.1409305045132269E-2</v>
      </c>
      <c r="D28" s="22">
        <f>[2]Кг_s1!B27</f>
        <v>0.5</v>
      </c>
      <c r="E28" s="22">
        <f>[2]Кг_s1!$C$2</f>
        <v>1E-3</v>
      </c>
      <c r="F28" s="22" t="str">
        <f t="shared" si="4"/>
        <v>0,496 ± 0,021</v>
      </c>
      <c r="G28" s="22" t="str">
        <f t="shared" si="0"/>
        <v>49,754 ± 2,051</v>
      </c>
      <c r="H28" s="23">
        <f>[3]Кг_s1!B27</f>
        <v>0.49807528207073093</v>
      </c>
      <c r="I28" s="23">
        <f>[3]Кг_s1!F27</f>
        <v>0.49807532712325897</v>
      </c>
      <c r="J28" s="23" t="str">
        <f t="shared" si="1"/>
        <v>0,498 ± 0,477</v>
      </c>
      <c r="K28" s="23" t="str">
        <f t="shared" si="2"/>
        <v>49,948 ± 47,902</v>
      </c>
      <c r="N28" s="24" t="str">
        <f t="shared" si="5"/>
        <v>0,996 ± 0,022</v>
      </c>
      <c r="O28" s="24" t="str">
        <f t="shared" si="6"/>
        <v>100 ± 2,152</v>
      </c>
    </row>
    <row r="29" spans="1:15" x14ac:dyDescent="0.3">
      <c r="A29" s="67">
        <f t="shared" si="3"/>
        <v>27</v>
      </c>
      <c r="B29" s="70">
        <v>-1</v>
      </c>
      <c r="C29" s="21">
        <v>-1</v>
      </c>
      <c r="D29" s="22">
        <v>-1</v>
      </c>
      <c r="E29" s="22">
        <v>-1</v>
      </c>
      <c r="F29" s="22" t="str">
        <f t="shared" si="4"/>
        <v>0 ± 0</v>
      </c>
      <c r="G29" s="22" t="str">
        <f t="shared" si="0"/>
        <v>0 ± 0</v>
      </c>
      <c r="H29" s="23">
        <v>-1</v>
      </c>
      <c r="I29" s="23">
        <v>-1</v>
      </c>
      <c r="J29" s="23" t="str">
        <f t="shared" si="1"/>
        <v>0 ± 0</v>
      </c>
      <c r="K29" s="23" t="str">
        <f t="shared" si="2"/>
        <v>0 ± 0</v>
      </c>
      <c r="N29" s="24" t="str">
        <f t="shared" si="5"/>
        <v>1 ± 1</v>
      </c>
      <c r="O29" s="24" t="str">
        <f t="shared" si="6"/>
        <v>-100 ± -100</v>
      </c>
    </row>
    <row r="30" spans="1:15" x14ac:dyDescent="0.3">
      <c r="A30" s="67">
        <f t="shared" si="3"/>
        <v>28</v>
      </c>
      <c r="B30" s="70">
        <v>-1</v>
      </c>
      <c r="C30" s="21">
        <v>-1</v>
      </c>
      <c r="D30" s="22">
        <v>-1</v>
      </c>
      <c r="E30" s="22">
        <v>-1</v>
      </c>
      <c r="F30" s="22" t="str">
        <f t="shared" si="4"/>
        <v>0 ± 0</v>
      </c>
      <c r="G30" s="22" t="str">
        <f t="shared" si="0"/>
        <v>0 ± 0</v>
      </c>
      <c r="H30" s="23">
        <v>-1</v>
      </c>
      <c r="I30" s="23">
        <v>-1</v>
      </c>
      <c r="J30" s="23" t="str">
        <f t="shared" si="1"/>
        <v>0 ± 0</v>
      </c>
      <c r="K30" s="23" t="str">
        <f t="shared" si="2"/>
        <v>0 ± 0</v>
      </c>
      <c r="N30" s="24" t="str">
        <f t="shared" si="5"/>
        <v>1 ± 1</v>
      </c>
      <c r="O30" s="24" t="str">
        <f t="shared" si="6"/>
        <v>-100 ± -100</v>
      </c>
    </row>
    <row r="31" spans="1:15" x14ac:dyDescent="0.3">
      <c r="A31" s="67">
        <f t="shared" si="3"/>
        <v>29</v>
      </c>
      <c r="B31" s="70">
        <v>-1</v>
      </c>
      <c r="C31" s="21">
        <v>-1</v>
      </c>
      <c r="D31" s="22">
        <v>-1</v>
      </c>
      <c r="E31" s="22">
        <v>-1</v>
      </c>
      <c r="F31" s="22" t="str">
        <f t="shared" si="4"/>
        <v>0 ± 0</v>
      </c>
      <c r="G31" s="22" t="str">
        <f t="shared" si="0"/>
        <v>0 ± 0</v>
      </c>
      <c r="H31" s="23">
        <v>-1</v>
      </c>
      <c r="I31" s="23">
        <v>-1</v>
      </c>
      <c r="J31" s="23" t="str">
        <f t="shared" si="1"/>
        <v>0 ± 0</v>
      </c>
      <c r="K31" s="23" t="str">
        <f t="shared" si="2"/>
        <v>0 ± 0</v>
      </c>
      <c r="N31" s="24" t="str">
        <f t="shared" si="5"/>
        <v>1 ± 1</v>
      </c>
      <c r="O31" s="24" t="str">
        <f t="shared" si="6"/>
        <v>-100 ± -100</v>
      </c>
    </row>
    <row r="32" spans="1:15" x14ac:dyDescent="0.3">
      <c r="A32" s="67">
        <f t="shared" si="3"/>
        <v>30</v>
      </c>
      <c r="B32" s="70">
        <v>-1</v>
      </c>
      <c r="C32" s="21">
        <v>-1</v>
      </c>
      <c r="D32" s="22">
        <v>-1</v>
      </c>
      <c r="E32" s="22">
        <v>-1</v>
      </c>
      <c r="F32" s="22" t="str">
        <f t="shared" si="4"/>
        <v>0 ± 0</v>
      </c>
      <c r="G32" s="22" t="str">
        <f t="shared" si="0"/>
        <v>0 ± 0</v>
      </c>
      <c r="H32" s="23">
        <v>-1</v>
      </c>
      <c r="I32" s="23">
        <v>-1</v>
      </c>
      <c r="J32" s="23" t="str">
        <f t="shared" si="1"/>
        <v>0 ± 0</v>
      </c>
      <c r="K32" s="23" t="str">
        <f t="shared" si="2"/>
        <v>0 ± 0</v>
      </c>
      <c r="N32" s="24" t="str">
        <f t="shared" si="5"/>
        <v>1 ± 1</v>
      </c>
      <c r="O32" s="24" t="str">
        <f t="shared" si="6"/>
        <v>-100 ± -100</v>
      </c>
    </row>
    <row r="33" spans="1:15" x14ac:dyDescent="0.3">
      <c r="A33" s="100">
        <f t="shared" si="3"/>
        <v>31</v>
      </c>
      <c r="B33" s="70">
        <f>[1]Кг_s1!D32</f>
        <v>0.99233058249835704</v>
      </c>
      <c r="C33" s="21">
        <f>[1]Кг_s1!I32</f>
        <v>3.3408837392875514E-2</v>
      </c>
      <c r="D33" s="22">
        <f>[2]Кг_s1!B32</f>
        <v>0.5</v>
      </c>
      <c r="E33" s="22">
        <f>[2]Кг_s1!$C$2</f>
        <v>1E-3</v>
      </c>
      <c r="F33" s="22" t="str">
        <f t="shared" si="4"/>
        <v>0,493 ± 0,033</v>
      </c>
      <c r="G33" s="22" t="str">
        <f t="shared" si="0"/>
        <v>49,614 ± 3,266</v>
      </c>
      <c r="H33" s="23">
        <f>[3]Кг_s1!B32</f>
        <v>0.49807528207073093</v>
      </c>
      <c r="I33" s="23">
        <f>[3]Кг_s1!F32</f>
        <v>0.49807532712325897</v>
      </c>
      <c r="J33" s="23" t="str">
        <f t="shared" si="1"/>
        <v>0,495 ± 0,465</v>
      </c>
      <c r="K33" s="23" t="str">
        <f t="shared" si="2"/>
        <v>49,808 ± 46,826</v>
      </c>
      <c r="N33" s="24" t="str">
        <f t="shared" si="5"/>
        <v>0,993 ± 0,034</v>
      </c>
      <c r="O33" s="24" t="str">
        <f t="shared" si="6"/>
        <v>100 ± 3,367</v>
      </c>
    </row>
    <row r="34" spans="1:15" x14ac:dyDescent="0.3">
      <c r="A34" s="67">
        <f t="shared" si="3"/>
        <v>32</v>
      </c>
      <c r="B34" s="70">
        <v>-1</v>
      </c>
      <c r="C34" s="21">
        <v>-1</v>
      </c>
      <c r="D34" s="22">
        <v>-1</v>
      </c>
      <c r="E34" s="22">
        <v>-1</v>
      </c>
      <c r="F34" s="22" t="str">
        <f t="shared" si="4"/>
        <v>0 ± 0</v>
      </c>
      <c r="G34" s="22" t="str">
        <f t="shared" si="0"/>
        <v>0 ± 0</v>
      </c>
      <c r="H34" s="23">
        <v>-1</v>
      </c>
      <c r="I34" s="23">
        <v>-1</v>
      </c>
      <c r="J34" s="23" t="str">
        <f t="shared" si="1"/>
        <v>0 ± 0</v>
      </c>
      <c r="K34" s="23" t="str">
        <f t="shared" si="2"/>
        <v>0 ± 0</v>
      </c>
      <c r="N34" s="24" t="str">
        <f t="shared" si="5"/>
        <v>1 ± 1</v>
      </c>
      <c r="O34" s="24" t="str">
        <f t="shared" si="6"/>
        <v>-100 ± -100</v>
      </c>
    </row>
    <row r="35" spans="1:15" x14ac:dyDescent="0.3">
      <c r="A35" s="67">
        <f t="shared" si="3"/>
        <v>33</v>
      </c>
      <c r="B35" s="70">
        <v>-1</v>
      </c>
      <c r="C35" s="21">
        <v>-1</v>
      </c>
      <c r="D35" s="22">
        <v>-1</v>
      </c>
      <c r="E35" s="22">
        <v>-1</v>
      </c>
      <c r="F35" s="22" t="str">
        <f t="shared" si="4"/>
        <v>0 ± 0</v>
      </c>
      <c r="G35" s="22" t="str">
        <f t="shared" si="0"/>
        <v>0 ± 0</v>
      </c>
      <c r="H35" s="23">
        <v>-1</v>
      </c>
      <c r="I35" s="23">
        <v>-1</v>
      </c>
      <c r="J35" s="23" t="str">
        <f t="shared" si="1"/>
        <v>0 ± 0</v>
      </c>
      <c r="K35" s="23" t="str">
        <f t="shared" si="2"/>
        <v>0 ± 0</v>
      </c>
      <c r="N35" s="24" t="str">
        <f t="shared" si="5"/>
        <v>1 ± 1</v>
      </c>
      <c r="O35" s="24" t="str">
        <f t="shared" si="6"/>
        <v>-100 ± -100</v>
      </c>
    </row>
    <row r="36" spans="1:15" x14ac:dyDescent="0.3">
      <c r="A36" s="67">
        <f t="shared" si="3"/>
        <v>34</v>
      </c>
      <c r="B36" s="70">
        <v>-1</v>
      </c>
      <c r="C36" s="21">
        <v>-1</v>
      </c>
      <c r="D36" s="22">
        <v>-1</v>
      </c>
      <c r="E36" s="22">
        <v>-1</v>
      </c>
      <c r="F36" s="22" t="str">
        <f t="shared" si="4"/>
        <v>0 ± 0</v>
      </c>
      <c r="G36" s="22" t="str">
        <f t="shared" si="0"/>
        <v>0 ± 0</v>
      </c>
      <c r="H36" s="23">
        <v>-1</v>
      </c>
      <c r="I36" s="23">
        <v>-1</v>
      </c>
      <c r="J36" s="23" t="str">
        <f t="shared" si="1"/>
        <v>0 ± 0</v>
      </c>
      <c r="K36" s="23" t="str">
        <f t="shared" si="2"/>
        <v>0 ± 0</v>
      </c>
      <c r="N36" s="24" t="str">
        <f t="shared" si="5"/>
        <v>1 ± 1</v>
      </c>
      <c r="O36" s="24" t="str">
        <f t="shared" si="6"/>
        <v>-100 ± -100</v>
      </c>
    </row>
    <row r="37" spans="1:15" x14ac:dyDescent="0.3">
      <c r="A37" s="67">
        <f t="shared" si="3"/>
        <v>35</v>
      </c>
      <c r="B37" s="70">
        <v>-1</v>
      </c>
      <c r="C37" s="21">
        <v>-1</v>
      </c>
      <c r="D37" s="22">
        <v>-1</v>
      </c>
      <c r="E37" s="22">
        <v>-1</v>
      </c>
      <c r="F37" s="22" t="str">
        <f t="shared" si="4"/>
        <v>0 ± 0</v>
      </c>
      <c r="G37" s="22" t="str">
        <f t="shared" si="0"/>
        <v>0 ± 0</v>
      </c>
      <c r="H37" s="23">
        <v>-1</v>
      </c>
      <c r="I37" s="23">
        <v>-1</v>
      </c>
      <c r="J37" s="23" t="str">
        <f t="shared" si="1"/>
        <v>0 ± 0</v>
      </c>
      <c r="K37" s="23" t="str">
        <f t="shared" si="2"/>
        <v>0 ± 0</v>
      </c>
      <c r="N37" s="24" t="str">
        <f t="shared" si="5"/>
        <v>1 ± 1</v>
      </c>
      <c r="O37" s="24" t="str">
        <f t="shared" si="6"/>
        <v>-100 ± -100</v>
      </c>
    </row>
    <row r="38" spans="1:15" x14ac:dyDescent="0.3">
      <c r="A38" s="100">
        <f t="shared" si="3"/>
        <v>36</v>
      </c>
      <c r="B38" s="70">
        <f>[1]Кг_s1!D37</f>
        <v>0.96625504971354281</v>
      </c>
      <c r="C38" s="21">
        <f>[1]Кг_s1!I37</f>
        <v>8.8082117426413389E-3</v>
      </c>
      <c r="D38" s="22">
        <f>[2]Кг_s1!B37</f>
        <v>0.5</v>
      </c>
      <c r="E38" s="22">
        <f>[2]Кг_s1!$C$2</f>
        <v>1E-3</v>
      </c>
      <c r="F38" s="22" t="str">
        <f t="shared" si="4"/>
        <v>0,467 ± 0,008</v>
      </c>
      <c r="G38" s="22" t="str">
        <f t="shared" si="0"/>
        <v>48,254 ± 0,809</v>
      </c>
      <c r="H38" s="23">
        <f>[3]Кг_s1!B37</f>
        <v>0.49664251047137825</v>
      </c>
      <c r="I38" s="23">
        <f>[3]Кг_s1!F37</f>
        <v>0.49664264916564171</v>
      </c>
      <c r="J38" s="23" t="str">
        <f t="shared" si="1"/>
        <v>0,47 ± 0,488</v>
      </c>
      <c r="K38" s="23" t="str">
        <f t="shared" si="2"/>
        <v>48,602 ± 50,488</v>
      </c>
      <c r="N38" s="24" t="str">
        <f t="shared" si="5"/>
        <v>0,967 ± 0,009</v>
      </c>
      <c r="O38" s="24" t="str">
        <f t="shared" si="6"/>
        <v>100 ± 0,912</v>
      </c>
    </row>
    <row r="39" spans="1:15" x14ac:dyDescent="0.3">
      <c r="A39" s="67">
        <f t="shared" si="3"/>
        <v>37</v>
      </c>
      <c r="B39" s="70">
        <v>-1</v>
      </c>
      <c r="C39" s="21">
        <v>-1</v>
      </c>
      <c r="D39" s="22">
        <v>-1</v>
      </c>
      <c r="E39" s="22">
        <v>-1</v>
      </c>
      <c r="F39" s="22" t="str">
        <f t="shared" si="4"/>
        <v>0 ± 0</v>
      </c>
      <c r="G39" s="22" t="str">
        <f t="shared" si="0"/>
        <v>0 ± 0</v>
      </c>
      <c r="H39" s="23">
        <v>-1</v>
      </c>
      <c r="I39" s="23">
        <v>-1</v>
      </c>
      <c r="J39" s="23" t="str">
        <f t="shared" si="1"/>
        <v>0 ± 0</v>
      </c>
      <c r="K39" s="23" t="str">
        <f t="shared" si="2"/>
        <v>0 ± 0</v>
      </c>
      <c r="N39" s="24" t="str">
        <f t="shared" si="5"/>
        <v>1 ± 1</v>
      </c>
      <c r="O39" s="24" t="str">
        <f t="shared" si="6"/>
        <v>-100 ± -100</v>
      </c>
    </row>
    <row r="40" spans="1:15" x14ac:dyDescent="0.3">
      <c r="A40" s="67">
        <f t="shared" si="3"/>
        <v>38</v>
      </c>
      <c r="B40" s="70">
        <v>-1</v>
      </c>
      <c r="C40" s="21">
        <v>-1</v>
      </c>
      <c r="D40" s="22">
        <v>-1</v>
      </c>
      <c r="E40" s="22">
        <v>-1</v>
      </c>
      <c r="F40" s="22" t="str">
        <f t="shared" si="4"/>
        <v>0 ± 0</v>
      </c>
      <c r="G40" s="22" t="str">
        <f t="shared" si="0"/>
        <v>0 ± 0</v>
      </c>
      <c r="H40" s="23">
        <v>-1</v>
      </c>
      <c r="I40" s="23">
        <v>-1</v>
      </c>
      <c r="J40" s="23" t="str">
        <f t="shared" si="1"/>
        <v>0 ± 0</v>
      </c>
      <c r="K40" s="23" t="str">
        <f t="shared" si="2"/>
        <v>0 ± 0</v>
      </c>
      <c r="N40" s="24" t="str">
        <f t="shared" si="5"/>
        <v>1 ± 1</v>
      </c>
      <c r="O40" s="24" t="str">
        <f t="shared" si="6"/>
        <v>-100 ± -100</v>
      </c>
    </row>
    <row r="41" spans="1:15" x14ac:dyDescent="0.3">
      <c r="A41" s="67">
        <f t="shared" si="3"/>
        <v>39</v>
      </c>
      <c r="B41" s="70">
        <v>-1</v>
      </c>
      <c r="C41" s="21">
        <v>-1</v>
      </c>
      <c r="D41" s="22">
        <v>-1</v>
      </c>
      <c r="E41" s="22">
        <v>-1</v>
      </c>
      <c r="F41" s="22" t="str">
        <f t="shared" si="4"/>
        <v>0 ± 0</v>
      </c>
      <c r="G41" s="22" t="str">
        <f t="shared" si="0"/>
        <v>0 ± 0</v>
      </c>
      <c r="H41" s="23">
        <v>-1</v>
      </c>
      <c r="I41" s="23">
        <v>-1</v>
      </c>
      <c r="J41" s="23" t="str">
        <f t="shared" si="1"/>
        <v>0 ± 0</v>
      </c>
      <c r="K41" s="23" t="str">
        <f t="shared" si="2"/>
        <v>0 ± 0</v>
      </c>
      <c r="N41" s="24" t="str">
        <f t="shared" si="5"/>
        <v>1 ± 1</v>
      </c>
      <c r="O41" s="24" t="str">
        <f t="shared" si="6"/>
        <v>-100 ± -100</v>
      </c>
    </row>
    <row r="42" spans="1:15" x14ac:dyDescent="0.3">
      <c r="A42" s="67">
        <f t="shared" si="3"/>
        <v>40</v>
      </c>
      <c r="B42" s="70">
        <v>-1</v>
      </c>
      <c r="C42" s="21">
        <v>-1</v>
      </c>
      <c r="D42" s="22">
        <v>-1</v>
      </c>
      <c r="E42" s="22">
        <v>-1</v>
      </c>
      <c r="F42" s="22" t="str">
        <f t="shared" si="4"/>
        <v>0 ± 0</v>
      </c>
      <c r="G42" s="22" t="str">
        <f t="shared" si="0"/>
        <v>0 ± 0</v>
      </c>
      <c r="H42" s="23">
        <v>-1</v>
      </c>
      <c r="I42" s="23">
        <v>-1</v>
      </c>
      <c r="J42" s="23" t="str">
        <f t="shared" si="1"/>
        <v>0 ± 0</v>
      </c>
      <c r="K42" s="23" t="str">
        <f t="shared" si="2"/>
        <v>0 ± 0</v>
      </c>
      <c r="N42" s="24" t="str">
        <f t="shared" si="5"/>
        <v>1 ± 1</v>
      </c>
      <c r="O42" s="24" t="str">
        <f t="shared" si="6"/>
        <v>-100 ± -100</v>
      </c>
    </row>
    <row r="43" spans="1:15" x14ac:dyDescent="0.3">
      <c r="A43" s="100">
        <f t="shared" si="3"/>
        <v>41</v>
      </c>
      <c r="B43" s="70">
        <f>[1]Кг_s1!D42</f>
        <v>1</v>
      </c>
      <c r="C43" s="21">
        <f>[1]Кг_s1!I42</f>
        <v>0</v>
      </c>
      <c r="D43" s="22">
        <f>[2]Кг_s1!B42</f>
        <v>1</v>
      </c>
      <c r="E43" s="22">
        <f>[2]Кг_s1!$C$2</f>
        <v>1E-3</v>
      </c>
      <c r="F43" s="22" t="str">
        <f t="shared" si="4"/>
        <v>0 ± 0,001</v>
      </c>
      <c r="G43" s="22" t="str">
        <f t="shared" si="0"/>
        <v>0 ± 0,1</v>
      </c>
      <c r="H43" s="23">
        <f>[3]Кг_s1!B42</f>
        <v>0.36261102831594633</v>
      </c>
      <c r="I43" s="23">
        <f>[3]Кг_s1!F42</f>
        <v>3.7160469338446439E-2</v>
      </c>
      <c r="J43" s="23" t="str">
        <f t="shared" si="1"/>
        <v>0,638 ± 0,038</v>
      </c>
      <c r="K43" s="23" t="str">
        <f t="shared" si="2"/>
        <v>63,739 ± 3,717</v>
      </c>
      <c r="N43" s="24" t="str">
        <f t="shared" si="5"/>
        <v>1 ± 0</v>
      </c>
      <c r="O43" s="24" t="str">
        <f t="shared" si="6"/>
        <v>100 ± 0</v>
      </c>
    </row>
    <row r="44" spans="1:15" x14ac:dyDescent="0.3">
      <c r="A44" s="99">
        <f t="shared" si="3"/>
        <v>42</v>
      </c>
      <c r="B44" s="70">
        <v>-1</v>
      </c>
      <c r="C44" s="21">
        <v>-1</v>
      </c>
      <c r="D44" s="22">
        <v>-1</v>
      </c>
      <c r="E44" s="22">
        <v>-1</v>
      </c>
      <c r="F44" s="22" t="str">
        <f t="shared" si="4"/>
        <v>0 ± 0</v>
      </c>
      <c r="G44" s="22" t="str">
        <f t="shared" si="0"/>
        <v>0 ± 0</v>
      </c>
      <c r="H44" s="23">
        <v>-1</v>
      </c>
      <c r="I44" s="23">
        <v>-1</v>
      </c>
      <c r="J44" s="23" t="str">
        <f t="shared" si="1"/>
        <v>0 ± 0</v>
      </c>
      <c r="K44" s="23" t="str">
        <f t="shared" si="2"/>
        <v>0 ± 0</v>
      </c>
      <c r="N44" s="24" t="str">
        <f t="shared" si="5"/>
        <v>1 ± 1</v>
      </c>
      <c r="O44" s="24" t="str">
        <f t="shared" si="6"/>
        <v>-100 ± -100</v>
      </c>
    </row>
    <row r="45" spans="1:15" x14ac:dyDescent="0.3">
      <c r="A45" s="99">
        <f t="shared" si="3"/>
        <v>43</v>
      </c>
      <c r="B45" s="70">
        <v>-1</v>
      </c>
      <c r="C45" s="21">
        <v>-1</v>
      </c>
      <c r="D45" s="22">
        <v>-1</v>
      </c>
      <c r="E45" s="22">
        <v>-1</v>
      </c>
      <c r="F45" s="22" t="str">
        <f t="shared" si="4"/>
        <v>0 ± 0</v>
      </c>
      <c r="G45" s="22" t="str">
        <f t="shared" si="0"/>
        <v>0 ± 0</v>
      </c>
      <c r="H45" s="23">
        <v>-1</v>
      </c>
      <c r="I45" s="23">
        <v>-1</v>
      </c>
      <c r="J45" s="23" t="str">
        <f t="shared" si="1"/>
        <v>0 ± 0</v>
      </c>
      <c r="K45" s="23" t="str">
        <f t="shared" si="2"/>
        <v>0 ± 0</v>
      </c>
      <c r="N45" s="24" t="str">
        <f t="shared" si="5"/>
        <v>1 ± 1</v>
      </c>
      <c r="O45" s="24" t="str">
        <f t="shared" si="6"/>
        <v>-100 ± -100</v>
      </c>
    </row>
    <row r="46" spans="1:15" x14ac:dyDescent="0.3">
      <c r="A46" s="99">
        <f t="shared" si="3"/>
        <v>44</v>
      </c>
      <c r="B46" s="70">
        <v>-1</v>
      </c>
      <c r="C46" s="21">
        <v>-1</v>
      </c>
      <c r="D46" s="22">
        <v>-1</v>
      </c>
      <c r="E46" s="22">
        <v>-1</v>
      </c>
      <c r="F46" s="22" t="str">
        <f t="shared" si="4"/>
        <v>0 ± 0</v>
      </c>
      <c r="G46" s="22" t="str">
        <f t="shared" si="0"/>
        <v>0 ± 0</v>
      </c>
      <c r="H46" s="23">
        <v>-1</v>
      </c>
      <c r="I46" s="23">
        <v>-1</v>
      </c>
      <c r="J46" s="23" t="str">
        <f t="shared" si="1"/>
        <v>0 ± 0</v>
      </c>
      <c r="K46" s="23" t="str">
        <f t="shared" si="2"/>
        <v>0 ± 0</v>
      </c>
      <c r="N46" s="24" t="str">
        <f t="shared" si="5"/>
        <v>1 ± 1</v>
      </c>
      <c r="O46" s="24" t="str">
        <f t="shared" si="6"/>
        <v>-100 ± -100</v>
      </c>
    </row>
    <row r="47" spans="1:15" x14ac:dyDescent="0.3">
      <c r="A47" s="99">
        <f t="shared" si="3"/>
        <v>45</v>
      </c>
      <c r="B47" s="70">
        <v>-1</v>
      </c>
      <c r="C47" s="21">
        <v>-1</v>
      </c>
      <c r="D47" s="22">
        <v>-1</v>
      </c>
      <c r="E47" s="22">
        <v>-1</v>
      </c>
      <c r="F47" s="22" t="str">
        <f t="shared" si="4"/>
        <v>0 ± 0</v>
      </c>
      <c r="G47" s="22" t="str">
        <f t="shared" si="0"/>
        <v>0 ± 0</v>
      </c>
      <c r="H47" s="23">
        <v>-1</v>
      </c>
      <c r="I47" s="23">
        <v>-1</v>
      </c>
      <c r="J47" s="23" t="str">
        <f t="shared" si="1"/>
        <v>0 ± 0</v>
      </c>
      <c r="K47" s="23" t="str">
        <f t="shared" si="2"/>
        <v>0 ± 0</v>
      </c>
      <c r="N47" s="24" t="str">
        <f t="shared" si="5"/>
        <v>1 ± 1</v>
      </c>
      <c r="O47" s="24" t="str">
        <f t="shared" si="6"/>
        <v>-100 ± -100</v>
      </c>
    </row>
    <row r="48" spans="1:15" x14ac:dyDescent="0.3">
      <c r="A48" s="100">
        <f t="shared" si="3"/>
        <v>46</v>
      </c>
      <c r="B48" s="70">
        <f>[1]Кг_s1!D47</f>
        <v>1</v>
      </c>
      <c r="C48" s="21">
        <f>[1]Кг_s1!I47</f>
        <v>0</v>
      </c>
      <c r="D48" s="22">
        <f>[2]Кг_s1!B47</f>
        <v>1</v>
      </c>
      <c r="E48" s="22">
        <f>[2]Кг_s1!$C$2</f>
        <v>1E-3</v>
      </c>
      <c r="F48" s="22" t="str">
        <f t="shared" si="4"/>
        <v>0 ± 0,001</v>
      </c>
      <c r="G48" s="22" t="str">
        <f t="shared" si="0"/>
        <v>0 ± 0,1</v>
      </c>
      <c r="H48" s="23">
        <f>[3]Кг_s1!B47</f>
        <v>0.36261102831594633</v>
      </c>
      <c r="I48" s="23">
        <f>[3]Кг_s1!F47</f>
        <v>3.7160469338446439E-2</v>
      </c>
      <c r="J48" s="23" t="str">
        <f t="shared" si="1"/>
        <v>0,638 ± 0,038</v>
      </c>
      <c r="K48" s="23" t="str">
        <f t="shared" si="2"/>
        <v>63,739 ± 3,717</v>
      </c>
      <c r="N48" s="24" t="str">
        <f t="shared" si="5"/>
        <v>1 ± 0</v>
      </c>
      <c r="O48" s="24" t="str">
        <f t="shared" si="6"/>
        <v>100 ± 0</v>
      </c>
    </row>
    <row r="49" spans="1:15" x14ac:dyDescent="0.3">
      <c r="A49" s="99">
        <f t="shared" si="3"/>
        <v>47</v>
      </c>
      <c r="B49" s="70">
        <v>-1</v>
      </c>
      <c r="C49" s="21">
        <v>-1</v>
      </c>
      <c r="D49" s="22">
        <v>-1</v>
      </c>
      <c r="E49" s="22">
        <v>-1</v>
      </c>
      <c r="F49" s="22" t="str">
        <f t="shared" si="4"/>
        <v>0 ± 0</v>
      </c>
      <c r="G49" s="22" t="str">
        <f t="shared" si="0"/>
        <v>0 ± 0</v>
      </c>
      <c r="H49" s="23">
        <v>-1</v>
      </c>
      <c r="I49" s="23">
        <v>-1</v>
      </c>
      <c r="J49" s="23" t="str">
        <f t="shared" si="1"/>
        <v>0 ± 0</v>
      </c>
      <c r="K49" s="23" t="str">
        <f t="shared" si="2"/>
        <v>0 ± 0</v>
      </c>
      <c r="N49" s="24" t="str">
        <f t="shared" si="5"/>
        <v>1 ± 1</v>
      </c>
      <c r="O49" s="24" t="str">
        <f t="shared" si="6"/>
        <v>-100 ± -100</v>
      </c>
    </row>
    <row r="50" spans="1:15" x14ac:dyDescent="0.3">
      <c r="A50" s="67">
        <f t="shared" si="3"/>
        <v>48</v>
      </c>
      <c r="B50" s="70">
        <v>-1</v>
      </c>
      <c r="C50" s="21">
        <v>-1</v>
      </c>
      <c r="D50" s="22">
        <v>-1</v>
      </c>
      <c r="E50" s="22">
        <v>-1</v>
      </c>
      <c r="F50" s="22" t="str">
        <f t="shared" si="4"/>
        <v>0 ± 0</v>
      </c>
      <c r="G50" s="22" t="str">
        <f t="shared" si="0"/>
        <v>0 ± 0</v>
      </c>
      <c r="H50" s="23">
        <v>-1</v>
      </c>
      <c r="I50" s="23">
        <v>-1</v>
      </c>
      <c r="J50" s="23" t="str">
        <f t="shared" si="1"/>
        <v>0 ± 0</v>
      </c>
      <c r="K50" s="23" t="str">
        <f t="shared" si="2"/>
        <v>0 ± 0</v>
      </c>
      <c r="N50" s="24" t="str">
        <f t="shared" si="5"/>
        <v>1 ± 1</v>
      </c>
      <c r="O50" s="24" t="str">
        <f t="shared" si="6"/>
        <v>-100 ± -100</v>
      </c>
    </row>
    <row r="51" spans="1:15" x14ac:dyDescent="0.3">
      <c r="A51" s="67">
        <f t="shared" si="3"/>
        <v>49</v>
      </c>
      <c r="B51" s="70">
        <v>-1</v>
      </c>
      <c r="C51" s="21">
        <v>-1</v>
      </c>
      <c r="D51" s="22">
        <v>-1</v>
      </c>
      <c r="E51" s="22">
        <v>-1</v>
      </c>
      <c r="F51" s="22" t="str">
        <f t="shared" si="4"/>
        <v>0 ± 0</v>
      </c>
      <c r="G51" s="22" t="str">
        <f t="shared" si="0"/>
        <v>0 ± 0</v>
      </c>
      <c r="H51" s="23">
        <v>-1</v>
      </c>
      <c r="I51" s="23">
        <v>-1</v>
      </c>
      <c r="J51" s="23" t="str">
        <f t="shared" si="1"/>
        <v>0 ± 0</v>
      </c>
      <c r="K51" s="23" t="str">
        <f t="shared" si="2"/>
        <v>0 ± 0</v>
      </c>
      <c r="N51" s="24" t="str">
        <f t="shared" si="5"/>
        <v>1 ± 1</v>
      </c>
      <c r="O51" s="24" t="str">
        <f t="shared" si="6"/>
        <v>-100 ± -100</v>
      </c>
    </row>
    <row r="52" spans="1:15" x14ac:dyDescent="0.3">
      <c r="A52" s="67">
        <f t="shared" si="3"/>
        <v>50</v>
      </c>
      <c r="B52" s="70">
        <v>-1</v>
      </c>
      <c r="C52" s="21">
        <v>-1</v>
      </c>
      <c r="D52" s="22">
        <v>-1</v>
      </c>
      <c r="E52" s="22">
        <v>-1</v>
      </c>
      <c r="F52" s="22" t="str">
        <f t="shared" si="4"/>
        <v>0 ± 0</v>
      </c>
      <c r="G52" s="22" t="str">
        <f t="shared" si="0"/>
        <v>0 ± 0</v>
      </c>
      <c r="H52" s="23">
        <v>-1</v>
      </c>
      <c r="I52" s="23">
        <v>-1</v>
      </c>
      <c r="J52" s="23" t="str">
        <f t="shared" si="1"/>
        <v>0 ± 0</v>
      </c>
      <c r="K52" s="23" t="str">
        <f t="shared" si="2"/>
        <v>0 ± 0</v>
      </c>
      <c r="N52" s="24" t="str">
        <f t="shared" si="5"/>
        <v>1 ± 1</v>
      </c>
      <c r="O52" s="24" t="str">
        <f t="shared" si="6"/>
        <v>-100 ± -100</v>
      </c>
    </row>
    <row r="53" spans="1:15" x14ac:dyDescent="0.3">
      <c r="A53" s="100">
        <f t="shared" si="3"/>
        <v>51</v>
      </c>
      <c r="B53" s="70">
        <f>[1]Кг_s1!D52</f>
        <v>1</v>
      </c>
      <c r="C53" s="21">
        <f>[1]Кг_s1!I52</f>
        <v>0</v>
      </c>
      <c r="D53" s="22">
        <f>[2]Кг_s1!B52</f>
        <v>1</v>
      </c>
      <c r="E53" s="22">
        <f>[2]Кг_s1!$C$2</f>
        <v>1E-3</v>
      </c>
      <c r="F53" s="22" t="str">
        <f t="shared" si="4"/>
        <v>0 ± 0,001</v>
      </c>
      <c r="G53" s="22" t="str">
        <f t="shared" si="0"/>
        <v>0 ± 0,1</v>
      </c>
      <c r="H53" s="23">
        <f>[3]Кг_s1!B52</f>
        <v>0.36261102831594633</v>
      </c>
      <c r="I53" s="23">
        <f>[3]Кг_s1!F52</f>
        <v>3.7160469338446439E-2</v>
      </c>
      <c r="J53" s="23" t="str">
        <f t="shared" si="1"/>
        <v>0,638 ± 0,038</v>
      </c>
      <c r="K53" s="23" t="str">
        <f t="shared" si="2"/>
        <v>63,739 ± 3,717</v>
      </c>
      <c r="N53" s="24" t="str">
        <f t="shared" si="5"/>
        <v>1 ± 0</v>
      </c>
      <c r="O53" s="24" t="str">
        <f t="shared" si="6"/>
        <v>100 ± 0</v>
      </c>
    </row>
    <row r="54" spans="1:15" x14ac:dyDescent="0.3">
      <c r="A54" s="100">
        <f t="shared" si="3"/>
        <v>52</v>
      </c>
      <c r="B54" s="70">
        <f>[1]Кг_s1!D53</f>
        <v>1</v>
      </c>
      <c r="C54" s="21">
        <f>[1]Кг_s1!I53</f>
        <v>0</v>
      </c>
      <c r="D54" s="22">
        <f>[2]Кг_s1!B53</f>
        <v>1</v>
      </c>
      <c r="E54" s="22">
        <f>[2]Кг_s1!$C$2</f>
        <v>1E-3</v>
      </c>
      <c r="F54" s="22" t="str">
        <f t="shared" si="4"/>
        <v>0 ± 0,001</v>
      </c>
      <c r="G54" s="22" t="str">
        <f t="shared" si="0"/>
        <v>0 ± 0,1</v>
      </c>
      <c r="H54" s="23">
        <f>[3]Кг_s1!B53</f>
        <v>0.36261102831594633</v>
      </c>
      <c r="I54" s="23">
        <f>[3]Кг_s1!F53</f>
        <v>3.7160469338446439E-2</v>
      </c>
      <c r="J54" s="23" t="str">
        <f t="shared" si="1"/>
        <v>0,638 ± 0,038</v>
      </c>
      <c r="K54" s="23" t="str">
        <f t="shared" si="2"/>
        <v>63,739 ± 3,717</v>
      </c>
      <c r="N54" s="24" t="str">
        <f t="shared" si="5"/>
        <v>1 ± 0</v>
      </c>
      <c r="O54" s="24" t="str">
        <f t="shared" si="6"/>
        <v>100 ± 0</v>
      </c>
    </row>
    <row r="55" spans="1:15" x14ac:dyDescent="0.3">
      <c r="A55" s="67">
        <f t="shared" si="3"/>
        <v>53</v>
      </c>
      <c r="B55" s="70">
        <v>-1</v>
      </c>
      <c r="C55" s="21">
        <v>-1</v>
      </c>
      <c r="D55" s="22">
        <v>-1</v>
      </c>
      <c r="E55" s="22">
        <v>-1</v>
      </c>
      <c r="F55" s="22" t="str">
        <f t="shared" si="4"/>
        <v>0 ± 0</v>
      </c>
      <c r="G55" s="22" t="str">
        <f t="shared" si="0"/>
        <v>0 ± 0</v>
      </c>
      <c r="H55" s="23">
        <v>-1</v>
      </c>
      <c r="I55" s="23">
        <v>-1</v>
      </c>
      <c r="J55" s="23" t="str">
        <f t="shared" si="1"/>
        <v>0 ± 0</v>
      </c>
      <c r="K55" s="23" t="str">
        <f t="shared" si="2"/>
        <v>0 ± 0</v>
      </c>
      <c r="N55" s="24" t="str">
        <f t="shared" si="5"/>
        <v>1 ± 1</v>
      </c>
      <c r="O55" s="24" t="str">
        <f t="shared" si="6"/>
        <v>-100 ± -100</v>
      </c>
    </row>
    <row r="56" spans="1:15" x14ac:dyDescent="0.3">
      <c r="A56" s="67">
        <f t="shared" si="3"/>
        <v>54</v>
      </c>
      <c r="B56" s="70">
        <v>-1</v>
      </c>
      <c r="C56" s="21">
        <v>-1</v>
      </c>
      <c r="D56" s="22">
        <v>-1</v>
      </c>
      <c r="E56" s="22">
        <v>-1</v>
      </c>
      <c r="F56" s="22" t="str">
        <f t="shared" si="4"/>
        <v>0 ± 0</v>
      </c>
      <c r="G56" s="22" t="str">
        <f t="shared" si="0"/>
        <v>0 ± 0</v>
      </c>
      <c r="H56" s="23">
        <v>-1</v>
      </c>
      <c r="I56" s="23">
        <v>-1</v>
      </c>
      <c r="J56" s="23" t="str">
        <f t="shared" si="1"/>
        <v>0 ± 0</v>
      </c>
      <c r="K56" s="23" t="str">
        <f t="shared" si="2"/>
        <v>0 ± 0</v>
      </c>
      <c r="N56" s="24" t="str">
        <f t="shared" si="5"/>
        <v>1 ± 1</v>
      </c>
      <c r="O56" s="24" t="str">
        <f t="shared" si="6"/>
        <v>-100 ± -100</v>
      </c>
    </row>
    <row r="57" spans="1:15" x14ac:dyDescent="0.3">
      <c r="A57" s="67">
        <f t="shared" si="3"/>
        <v>55</v>
      </c>
      <c r="B57" s="70">
        <v>-1</v>
      </c>
      <c r="C57" s="21">
        <v>-1</v>
      </c>
      <c r="D57" s="22">
        <v>-1</v>
      </c>
      <c r="E57" s="22">
        <v>-1</v>
      </c>
      <c r="F57" s="22" t="str">
        <f t="shared" si="4"/>
        <v>0 ± 0</v>
      </c>
      <c r="G57" s="22" t="str">
        <f t="shared" si="0"/>
        <v>0 ± 0</v>
      </c>
      <c r="H57" s="23">
        <v>-1</v>
      </c>
      <c r="I57" s="23">
        <v>-1</v>
      </c>
      <c r="J57" s="23" t="str">
        <f t="shared" si="1"/>
        <v>0 ± 0</v>
      </c>
      <c r="K57" s="23" t="str">
        <f t="shared" si="2"/>
        <v>0 ± 0</v>
      </c>
      <c r="N57" s="24" t="str">
        <f t="shared" si="5"/>
        <v>1 ± 1</v>
      </c>
      <c r="O57" s="24" t="str">
        <f t="shared" si="6"/>
        <v>-100 ± -100</v>
      </c>
    </row>
    <row r="58" spans="1:15" x14ac:dyDescent="0.3">
      <c r="A58" s="100">
        <f t="shared" si="3"/>
        <v>56</v>
      </c>
      <c r="B58" s="70">
        <f>[1]Кг_s1!D57</f>
        <v>1</v>
      </c>
      <c r="C58" s="21">
        <f>[1]Кг_s1!I57</f>
        <v>0</v>
      </c>
      <c r="D58" s="22">
        <f>[2]Кг_s1!B57</f>
        <v>1</v>
      </c>
      <c r="E58" s="22">
        <f>[2]Кг_s1!$C$2</f>
        <v>1E-3</v>
      </c>
      <c r="F58" s="22" t="str">
        <f t="shared" si="4"/>
        <v>0 ± 0,001</v>
      </c>
      <c r="G58" s="22" t="str">
        <f t="shared" si="0"/>
        <v>0 ± 0,1</v>
      </c>
      <c r="H58" s="23">
        <f>[3]Кг_s1!B57</f>
        <v>0.36261102831594633</v>
      </c>
      <c r="I58" s="23">
        <f>[3]Кг_s1!F57</f>
        <v>3.7160469338446439E-2</v>
      </c>
      <c r="J58" s="23" t="str">
        <f t="shared" si="1"/>
        <v>0,638 ± 0,038</v>
      </c>
      <c r="K58" s="23" t="str">
        <f t="shared" si="2"/>
        <v>63,739 ± 3,717</v>
      </c>
      <c r="N58" s="24" t="str">
        <f t="shared" si="5"/>
        <v>1 ± 0</v>
      </c>
      <c r="O58" s="24" t="str">
        <f t="shared" si="6"/>
        <v>100 ± 0</v>
      </c>
    </row>
    <row r="59" spans="1:15" x14ac:dyDescent="0.3">
      <c r="A59" s="100">
        <f t="shared" si="3"/>
        <v>57</v>
      </c>
      <c r="B59" s="70">
        <f>[1]Кг_s1!D58</f>
        <v>1</v>
      </c>
      <c r="C59" s="21">
        <f>[1]Кг_s1!I58</f>
        <v>0</v>
      </c>
      <c r="D59" s="22">
        <f>[2]Кг_s1!B58</f>
        <v>1</v>
      </c>
      <c r="E59" s="22">
        <f>[2]Кг_s1!$C$2</f>
        <v>1E-3</v>
      </c>
      <c r="F59" s="22" t="str">
        <f t="shared" si="4"/>
        <v>0 ± 0,001</v>
      </c>
      <c r="G59" s="22" t="str">
        <f t="shared" si="0"/>
        <v>0 ± 0,1</v>
      </c>
      <c r="H59" s="23">
        <f>[3]Кг_s1!B58</f>
        <v>0.36261102831594633</v>
      </c>
      <c r="I59" s="23">
        <f>[3]Кг_s1!F58</f>
        <v>3.7160469338446439E-2</v>
      </c>
      <c r="J59" s="23" t="str">
        <f t="shared" si="1"/>
        <v>0,638 ± 0,038</v>
      </c>
      <c r="K59" s="23" t="str">
        <f t="shared" si="2"/>
        <v>63,739 ± 3,717</v>
      </c>
      <c r="N59" s="24" t="str">
        <f t="shared" si="5"/>
        <v>1 ± 0</v>
      </c>
      <c r="O59" s="24" t="str">
        <f t="shared" si="6"/>
        <v>100 ± 0</v>
      </c>
    </row>
    <row r="60" spans="1:15" x14ac:dyDescent="0.3">
      <c r="A60" s="67">
        <f t="shared" si="3"/>
        <v>58</v>
      </c>
      <c r="B60" s="70">
        <v>-1</v>
      </c>
      <c r="C60" s="21">
        <v>-1</v>
      </c>
      <c r="D60" s="22">
        <v>-1</v>
      </c>
      <c r="E60" s="22">
        <v>-1</v>
      </c>
      <c r="F60" s="22" t="e">
        <f>ROUNDUP(ABS(#REF!-D60),3) &amp; " ± " &amp; ROUNDUP(ABS(#REF!-E60),3)</f>
        <v>#REF!</v>
      </c>
      <c r="G60" s="22" t="e">
        <f>ROUNDUP(ABS(#REF!-D60)/#REF!*100,3) &amp; " ± " &amp; ROUNDUP(ABS(#REF!-E60)/#REF!*100,3)</f>
        <v>#REF!</v>
      </c>
      <c r="H60" s="23">
        <v>-1</v>
      </c>
      <c r="I60" s="23">
        <v>-1</v>
      </c>
      <c r="J60" s="23" t="e">
        <f>ROUNDUP(ABS(#REF!-H60),3) &amp; " ± " &amp; ROUNDUP(ABS(#REF!-I60),3)</f>
        <v>#REF!</v>
      </c>
      <c r="K60" s="23" t="e">
        <f>ROUNDUP(ABS(#REF!-H60)/#REF!*100,3) &amp; " ± " &amp; ROUNDUP(ABS(#REF!-I60)/#REF!*100,3)</f>
        <v>#REF!</v>
      </c>
      <c r="N60" s="24" t="e">
        <f>ROUNDUP(ABS(#REF!-L60),3) &amp; " ± " &amp; ROUNDUP(ABS(#REF!-M60),3)</f>
        <v>#REF!</v>
      </c>
      <c r="O60" s="24" t="e">
        <f>ROUNDUP(ABS(#REF!-L60)/#REF!*100,3) &amp; " ± " &amp; ROUNDUP(ABS(#REF!-M60)/#REF!*100,3)</f>
        <v>#REF!</v>
      </c>
    </row>
    <row r="61" spans="1:15" x14ac:dyDescent="0.3">
      <c r="A61" s="67">
        <f t="shared" si="3"/>
        <v>59</v>
      </c>
      <c r="B61" s="70">
        <v>-1</v>
      </c>
      <c r="C61" s="21">
        <v>-1</v>
      </c>
      <c r="D61" s="22">
        <v>-1</v>
      </c>
      <c r="E61" s="22">
        <v>-1</v>
      </c>
      <c r="F61" s="22" t="e">
        <f>ROUNDUP(ABS(#REF!-D61),3) &amp; " ± " &amp; ROUNDUP(ABS(#REF!-E61),3)</f>
        <v>#REF!</v>
      </c>
      <c r="G61" s="22" t="e">
        <f>ROUNDUP(ABS(#REF!-D61)/#REF!*100,3) &amp; " ± " &amp; ROUNDUP(ABS(#REF!-E61)/#REF!*100,3)</f>
        <v>#REF!</v>
      </c>
      <c r="H61" s="23">
        <v>-1</v>
      </c>
      <c r="I61" s="23">
        <v>-1</v>
      </c>
      <c r="J61" s="23" t="e">
        <f>ROUNDUP(ABS(#REF!-H61),3) &amp; " ± " &amp; ROUNDUP(ABS(#REF!-I61),3)</f>
        <v>#REF!</v>
      </c>
      <c r="K61" s="23" t="e">
        <f>ROUNDUP(ABS(#REF!-H61)/#REF!*100,3) &amp; " ± " &amp; ROUNDUP(ABS(#REF!-I61)/#REF!*100,3)</f>
        <v>#REF!</v>
      </c>
      <c r="N61" s="24" t="e">
        <f>ROUNDUP(ABS(#REF!-L61),3) &amp; " ± " &amp; ROUNDUP(ABS(#REF!-M61),3)</f>
        <v>#REF!</v>
      </c>
      <c r="O61" s="24" t="e">
        <f>ROUNDUP(ABS(#REF!-L61)/#REF!*100,3) &amp; " ± " &amp; ROUNDUP(ABS(#REF!-M61)/#REF!*100,3)</f>
        <v>#REF!</v>
      </c>
    </row>
    <row r="62" spans="1:15" x14ac:dyDescent="0.3">
      <c r="A62" s="67">
        <f t="shared" si="3"/>
        <v>60</v>
      </c>
      <c r="B62" s="70">
        <v>-1</v>
      </c>
      <c r="C62" s="21">
        <v>-1</v>
      </c>
      <c r="D62" s="22">
        <v>-1</v>
      </c>
      <c r="E62" s="22">
        <v>-1</v>
      </c>
      <c r="F62" s="22" t="e">
        <f>ROUNDUP(ABS(#REF!-D62),3) &amp; " ± " &amp; ROUNDUP(ABS(#REF!-E62),3)</f>
        <v>#REF!</v>
      </c>
      <c r="G62" s="22" t="e">
        <f>ROUNDUP(ABS(#REF!-D62)/#REF!*100,3) &amp; " ± " &amp; ROUNDUP(ABS(#REF!-E62)/#REF!*100,3)</f>
        <v>#REF!</v>
      </c>
      <c r="H62" s="23">
        <v>-1</v>
      </c>
      <c r="I62" s="23">
        <v>-1</v>
      </c>
      <c r="J62" s="23" t="e">
        <f>ROUNDUP(ABS(#REF!-H62),3) &amp; " ± " &amp; ROUNDUP(ABS(#REF!-I62),3)</f>
        <v>#REF!</v>
      </c>
      <c r="K62" s="23" t="e">
        <f>ROUNDUP(ABS(#REF!-H62)/#REF!*100,3) &amp; " ± " &amp; ROUNDUP(ABS(#REF!-I62)/#REF!*100,3)</f>
        <v>#REF!</v>
      </c>
      <c r="N62" s="24" t="e">
        <f>ROUNDUP(ABS(#REF!-L62),3) &amp; " ± " &amp; ROUNDUP(ABS(#REF!-M62),3)</f>
        <v>#REF!</v>
      </c>
      <c r="O62" s="24" t="e">
        <f>ROUNDUP(ABS(#REF!-L62)/#REF!*100,3) &amp; " ± " &amp; ROUNDUP(ABS(#REF!-M62)/#REF!*100,3)</f>
        <v>#REF!</v>
      </c>
    </row>
    <row r="63" spans="1:15" x14ac:dyDescent="0.3">
      <c r="A63" s="101">
        <f t="shared" si="3"/>
        <v>61</v>
      </c>
      <c r="B63" s="70">
        <f>[1]Кг_s1!D62</f>
        <v>0.99363158520063111</v>
      </c>
      <c r="C63" s="21">
        <f>[1]Кг_s1!I62</f>
        <v>2.7773566292601932E-2</v>
      </c>
      <c r="D63" s="22">
        <f>[2]Кг_s1!B62</f>
        <v>0.5</v>
      </c>
      <c r="E63" s="22">
        <f>[2]Кг_s1!$C$2</f>
        <v>1E-3</v>
      </c>
      <c r="F63" s="22" t="str">
        <f t="shared" si="4"/>
        <v>0,494 ± 0,027</v>
      </c>
      <c r="G63" s="22" t="str">
        <f t="shared" si="0"/>
        <v>49,68 ± 2,695</v>
      </c>
      <c r="H63" s="23">
        <f>[3]Кг_s1!B62</f>
        <v>0.49807528207073093</v>
      </c>
      <c r="I63" s="23">
        <f>[3]Кг_s1!F62</f>
        <v>0.49807532712325897</v>
      </c>
      <c r="J63" s="23" t="str">
        <f t="shared" si="1"/>
        <v>0,496 ± 0,471</v>
      </c>
      <c r="K63" s="23" t="str">
        <f t="shared" si="2"/>
        <v>49,874 ± 47,332</v>
      </c>
      <c r="N63" s="24" t="str">
        <f t="shared" si="5"/>
        <v>0,994 ± 0,028</v>
      </c>
      <c r="O63" s="24" t="str">
        <f t="shared" si="6"/>
        <v>100 ± 2,796</v>
      </c>
    </row>
    <row r="64" spans="1:15" x14ac:dyDescent="0.3">
      <c r="A64" s="99">
        <f t="shared" si="3"/>
        <v>62</v>
      </c>
      <c r="B64" s="70">
        <v>-1</v>
      </c>
      <c r="C64" s="21">
        <v>-1</v>
      </c>
      <c r="D64" s="22">
        <v>-1</v>
      </c>
      <c r="E64" s="22">
        <v>-1</v>
      </c>
      <c r="F64" s="22" t="str">
        <f t="shared" si="4"/>
        <v>0 ± 0</v>
      </c>
      <c r="G64" s="22" t="str">
        <f t="shared" si="0"/>
        <v>0 ± 0</v>
      </c>
      <c r="H64" s="23">
        <v>-1</v>
      </c>
      <c r="I64" s="23">
        <v>-1</v>
      </c>
      <c r="J64" s="23" t="str">
        <f t="shared" si="1"/>
        <v>0 ± 0</v>
      </c>
      <c r="K64" s="23" t="str">
        <f t="shared" si="2"/>
        <v>0 ± 0</v>
      </c>
      <c r="N64" s="24" t="str">
        <f t="shared" si="5"/>
        <v>1 ± 1</v>
      </c>
      <c r="O64" s="24" t="str">
        <f t="shared" si="6"/>
        <v>-100 ± -100</v>
      </c>
    </row>
    <row r="65" spans="1:15" x14ac:dyDescent="0.3">
      <c r="A65" s="99">
        <f t="shared" si="3"/>
        <v>63</v>
      </c>
      <c r="B65" s="70">
        <v>-1</v>
      </c>
      <c r="C65" s="21">
        <v>-1</v>
      </c>
      <c r="D65" s="22">
        <v>-1</v>
      </c>
      <c r="E65" s="22">
        <v>-1</v>
      </c>
      <c r="F65" s="22" t="str">
        <f t="shared" si="4"/>
        <v>0 ± 0</v>
      </c>
      <c r="G65" s="22" t="str">
        <f t="shared" si="0"/>
        <v>0 ± 0</v>
      </c>
      <c r="H65" s="23">
        <v>-1</v>
      </c>
      <c r="I65" s="23">
        <v>-1</v>
      </c>
      <c r="J65" s="23" t="str">
        <f t="shared" si="1"/>
        <v>0 ± 0</v>
      </c>
      <c r="K65" s="23" t="str">
        <f t="shared" si="2"/>
        <v>0 ± 0</v>
      </c>
      <c r="N65" s="24" t="str">
        <f t="shared" si="5"/>
        <v>1 ± 1</v>
      </c>
      <c r="O65" s="24" t="str">
        <f t="shared" si="6"/>
        <v>-100 ± -100</v>
      </c>
    </row>
    <row r="66" spans="1:15" x14ac:dyDescent="0.3">
      <c r="A66" s="99">
        <f t="shared" si="3"/>
        <v>64</v>
      </c>
      <c r="B66" s="70">
        <v>-1</v>
      </c>
      <c r="C66" s="21">
        <v>-1</v>
      </c>
      <c r="D66" s="22">
        <v>-1</v>
      </c>
      <c r="E66" s="22">
        <v>-1</v>
      </c>
      <c r="F66" s="22" t="str">
        <f t="shared" si="4"/>
        <v>0 ± 0</v>
      </c>
      <c r="G66" s="22" t="str">
        <f t="shared" si="0"/>
        <v>0 ± 0</v>
      </c>
      <c r="H66" s="23">
        <v>-1</v>
      </c>
      <c r="I66" s="23">
        <v>-1</v>
      </c>
      <c r="J66" s="23" t="str">
        <f t="shared" si="1"/>
        <v>0 ± 0</v>
      </c>
      <c r="K66" s="23" t="str">
        <f t="shared" si="2"/>
        <v>0 ± 0</v>
      </c>
      <c r="N66" s="24" t="str">
        <f t="shared" si="5"/>
        <v>1 ± 1</v>
      </c>
      <c r="O66" s="24" t="str">
        <f t="shared" si="6"/>
        <v>-100 ± -100</v>
      </c>
    </row>
    <row r="67" spans="1:15" x14ac:dyDescent="0.3">
      <c r="A67" s="99">
        <f t="shared" si="3"/>
        <v>65</v>
      </c>
      <c r="B67" s="70">
        <v>-1</v>
      </c>
      <c r="C67" s="21">
        <v>-1</v>
      </c>
      <c r="D67" s="22">
        <v>-1</v>
      </c>
      <c r="E67" s="22">
        <v>-1</v>
      </c>
      <c r="F67" s="22" t="str">
        <f t="shared" si="4"/>
        <v>0 ± 0</v>
      </c>
      <c r="G67" s="22" t="str">
        <f t="shared" si="0"/>
        <v>0 ± 0</v>
      </c>
      <c r="H67" s="23">
        <v>-1</v>
      </c>
      <c r="I67" s="23">
        <v>-1</v>
      </c>
      <c r="J67" s="23" t="str">
        <f t="shared" si="1"/>
        <v>0 ± 0</v>
      </c>
      <c r="K67" s="23" t="str">
        <f t="shared" si="2"/>
        <v>0 ± 0</v>
      </c>
      <c r="N67" s="24" t="str">
        <f t="shared" si="5"/>
        <v>1 ± 1</v>
      </c>
      <c r="O67" s="24" t="str">
        <f t="shared" si="6"/>
        <v>-100 ± -100</v>
      </c>
    </row>
    <row r="68" spans="1:15" x14ac:dyDescent="0.3">
      <c r="A68" s="100">
        <f t="shared" si="3"/>
        <v>66</v>
      </c>
      <c r="B68" s="70">
        <f>[1]Кг_s1!D67</f>
        <v>0.95921374911562929</v>
      </c>
      <c r="C68" s="21">
        <f>[1]Кг_s1!I67</f>
        <v>2.5253091213205462E-2</v>
      </c>
      <c r="D68" s="22">
        <f>[2]Кг_s1!B67</f>
        <v>0.5</v>
      </c>
      <c r="E68" s="22">
        <f>[2]Кг_s1!$C$2</f>
        <v>1E-3</v>
      </c>
      <c r="F68" s="22" t="str">
        <f t="shared" ref="F68:F88" si="7">ROUNDUP(ABS(B68-D68),3) &amp; " ± " &amp; ROUNDUP(ABS(C68-E68),3)</f>
        <v>0,46 ± 0,025</v>
      </c>
      <c r="G68" s="22" t="str">
        <f t="shared" ref="G68:G88" si="8">ROUNDUP(ABS(B68-D68)/B68*100,3) &amp; " ± " &amp; ROUNDUP(ABS(C68-E68)/B68*100,3)</f>
        <v>47,874 ± 2,529</v>
      </c>
      <c r="H68" s="23">
        <f>[3]Кг_s1!B67</f>
        <v>0.49890124165106031</v>
      </c>
      <c r="I68" s="23">
        <f>[3]Кг_s1!F67</f>
        <v>0.49890125631856452</v>
      </c>
      <c r="J68" s="23" t="str">
        <f t="shared" ref="J68:J88" si="9">ROUNDUP(ABS(B68-H68),3) &amp; " ± " &amp; ROUNDUP(ABS(C68-I68),3)</f>
        <v>0,461 ± 0,474</v>
      </c>
      <c r="K68" s="23" t="str">
        <f t="shared" ref="K68:K88" si="10">ROUNDUP(ABS(B68-H68)/B68*100,3) &amp; " ± " &amp; ROUNDUP(ABS(C68-I68)/B68*100,3)</f>
        <v>47,989 ± 49,379</v>
      </c>
      <c r="N68" s="24" t="str">
        <f t="shared" si="5"/>
        <v>0,96 ± 0,026</v>
      </c>
      <c r="O68" s="24" t="str">
        <f t="shared" si="6"/>
        <v>100 ± 2,633</v>
      </c>
    </row>
    <row r="69" spans="1:15" x14ac:dyDescent="0.3">
      <c r="A69" s="99">
        <f t="shared" ref="A69:A78" si="11">A68+1</f>
        <v>67</v>
      </c>
      <c r="B69" s="70">
        <v>-1</v>
      </c>
      <c r="C69" s="21">
        <v>-1</v>
      </c>
      <c r="D69" s="22">
        <v>-1</v>
      </c>
      <c r="E69" s="22">
        <v>-1</v>
      </c>
      <c r="F69" s="22" t="str">
        <f t="shared" si="7"/>
        <v>0 ± 0</v>
      </c>
      <c r="G69" s="22" t="str">
        <f t="shared" si="8"/>
        <v>0 ± 0</v>
      </c>
      <c r="H69" s="23">
        <v>-1</v>
      </c>
      <c r="I69" s="23">
        <v>-1</v>
      </c>
      <c r="J69" s="23" t="str">
        <f t="shared" si="9"/>
        <v>0 ± 0</v>
      </c>
      <c r="K69" s="23" t="str">
        <f t="shared" si="10"/>
        <v>0 ± 0</v>
      </c>
      <c r="N69" s="24" t="str">
        <f t="shared" ref="N69:N88" si="12">ROUNDUP(ABS(B69-L69),3) &amp; " ± " &amp; ROUNDUP(ABS(C69-M69),3)</f>
        <v>1 ± 1</v>
      </c>
      <c r="O69" s="24" t="str">
        <f t="shared" ref="O69:O88" si="13">ROUNDUP(ABS(B69-L69)/B69*100,3) &amp; " ± " &amp; ROUNDUP(ABS(C69-M69)/B69*100,3)</f>
        <v>-100 ± -100</v>
      </c>
    </row>
    <row r="70" spans="1:15" x14ac:dyDescent="0.3">
      <c r="A70" s="99">
        <f t="shared" si="11"/>
        <v>68</v>
      </c>
      <c r="B70" s="70">
        <v>-1</v>
      </c>
      <c r="C70" s="21">
        <v>-1</v>
      </c>
      <c r="D70" s="22">
        <v>-1</v>
      </c>
      <c r="E70" s="22">
        <v>-1</v>
      </c>
      <c r="F70" s="22" t="str">
        <f t="shared" si="7"/>
        <v>0 ± 0</v>
      </c>
      <c r="G70" s="22" t="str">
        <f t="shared" si="8"/>
        <v>0 ± 0</v>
      </c>
      <c r="H70" s="23">
        <v>-1</v>
      </c>
      <c r="I70" s="23">
        <v>-1</v>
      </c>
      <c r="J70" s="23" t="str">
        <f t="shared" si="9"/>
        <v>0 ± 0</v>
      </c>
      <c r="K70" s="23" t="str">
        <f t="shared" si="10"/>
        <v>0 ± 0</v>
      </c>
      <c r="N70" s="24" t="str">
        <f t="shared" si="12"/>
        <v>1 ± 1</v>
      </c>
      <c r="O70" s="24" t="str">
        <f t="shared" si="13"/>
        <v>-100 ± -100</v>
      </c>
    </row>
    <row r="71" spans="1:15" x14ac:dyDescent="0.3">
      <c r="A71" s="99">
        <f t="shared" si="11"/>
        <v>69</v>
      </c>
      <c r="B71" s="70">
        <v>-1</v>
      </c>
      <c r="C71" s="21">
        <v>-1</v>
      </c>
      <c r="D71" s="22">
        <v>-1</v>
      </c>
      <c r="E71" s="22">
        <v>-1</v>
      </c>
      <c r="F71" s="22" t="str">
        <f t="shared" si="7"/>
        <v>0 ± 0</v>
      </c>
      <c r="G71" s="22" t="str">
        <f t="shared" si="8"/>
        <v>0 ± 0</v>
      </c>
      <c r="H71" s="23">
        <v>-1</v>
      </c>
      <c r="I71" s="23">
        <v>-1</v>
      </c>
      <c r="J71" s="23" t="str">
        <f t="shared" si="9"/>
        <v>0 ± 0</v>
      </c>
      <c r="K71" s="23" t="str">
        <f t="shared" si="10"/>
        <v>0 ± 0</v>
      </c>
      <c r="N71" s="24" t="str">
        <f t="shared" si="12"/>
        <v>1 ± 1</v>
      </c>
      <c r="O71" s="24" t="str">
        <f t="shared" si="13"/>
        <v>-100 ± -100</v>
      </c>
    </row>
    <row r="72" spans="1:15" x14ac:dyDescent="0.3">
      <c r="A72" s="99">
        <f t="shared" si="11"/>
        <v>70</v>
      </c>
      <c r="B72" s="70">
        <v>-1</v>
      </c>
      <c r="C72" s="21">
        <v>-1</v>
      </c>
      <c r="D72" s="22">
        <v>-1</v>
      </c>
      <c r="E72" s="22">
        <v>-1</v>
      </c>
      <c r="F72" s="22" t="str">
        <f t="shared" si="7"/>
        <v>0 ± 0</v>
      </c>
      <c r="G72" s="22" t="str">
        <f t="shared" si="8"/>
        <v>0 ± 0</v>
      </c>
      <c r="H72" s="23">
        <v>-1</v>
      </c>
      <c r="I72" s="23">
        <v>-1</v>
      </c>
      <c r="J72" s="23" t="str">
        <f t="shared" si="9"/>
        <v>0 ± 0</v>
      </c>
      <c r="K72" s="23" t="str">
        <f t="shared" si="10"/>
        <v>0 ± 0</v>
      </c>
      <c r="N72" s="24" t="str">
        <f t="shared" si="12"/>
        <v>1 ± 1</v>
      </c>
      <c r="O72" s="24" t="str">
        <f t="shared" si="13"/>
        <v>-100 ± -100</v>
      </c>
    </row>
    <row r="73" spans="1:15" x14ac:dyDescent="0.3">
      <c r="A73" s="100">
        <f t="shared" si="11"/>
        <v>71</v>
      </c>
      <c r="B73" s="70">
        <f>[1]Кг_s1!D72</f>
        <v>0.9825794184622092</v>
      </c>
      <c r="C73" s="21">
        <f>[1]Кг_s1!I72</f>
        <v>4.4431283257467882E-2</v>
      </c>
      <c r="D73" s="22">
        <f>[2]Кг_s1!B72</f>
        <v>0.5</v>
      </c>
      <c r="E73" s="22">
        <f>[2]Кг_s1!$C$2</f>
        <v>1E-3</v>
      </c>
      <c r="F73" s="22" t="str">
        <f t="shared" si="7"/>
        <v>0,483 ± 0,044</v>
      </c>
      <c r="G73" s="22" t="str">
        <f t="shared" si="8"/>
        <v>49,114 ± 4,421</v>
      </c>
      <c r="H73" s="23">
        <f>[3]Кг_s1!B72</f>
        <v>0.49902124335843706</v>
      </c>
      <c r="I73" s="23">
        <f>[3]Кг_s1!F72</f>
        <v>0.4990212549953687</v>
      </c>
      <c r="J73" s="23" t="str">
        <f t="shared" si="9"/>
        <v>0,484 ± 0,455</v>
      </c>
      <c r="K73" s="23" t="str">
        <f t="shared" si="10"/>
        <v>49,214 ± 46,265</v>
      </c>
      <c r="N73" s="24" t="str">
        <f t="shared" si="12"/>
        <v>0,983 ± 0,045</v>
      </c>
      <c r="O73" s="24" t="str">
        <f t="shared" si="13"/>
        <v>100 ± 4,522</v>
      </c>
    </row>
    <row r="74" spans="1:15" x14ac:dyDescent="0.3">
      <c r="A74" s="99">
        <f t="shared" si="11"/>
        <v>72</v>
      </c>
      <c r="B74" s="70">
        <v>-1</v>
      </c>
      <c r="C74" s="21">
        <v>-1</v>
      </c>
      <c r="D74" s="22">
        <v>-1</v>
      </c>
      <c r="E74" s="22">
        <v>-1</v>
      </c>
      <c r="F74" s="22" t="str">
        <f>ROUNDUP(ABS(B60-D74),3) &amp; " ± " &amp; ROUNDUP(ABS(C60-E74),3)</f>
        <v>0 ± 0</v>
      </c>
      <c r="G74" s="22" t="str">
        <f>ROUNDUP(ABS(B60-D74)/B60*100,3) &amp; " ± " &amp; ROUNDUP(ABS(C60-E74)/B60*100,3)</f>
        <v>0 ± 0</v>
      </c>
      <c r="H74" s="23">
        <v>-1</v>
      </c>
      <c r="I74" s="23">
        <v>-1</v>
      </c>
      <c r="J74" s="23" t="str">
        <f>ROUNDUP(ABS(B60-H74),3) &amp; " ± " &amp; ROUNDUP(ABS(C60-I74),3)</f>
        <v>0 ± 0</v>
      </c>
      <c r="K74" s="23" t="str">
        <f>ROUNDUP(ABS(B60-H74)/B60*100,3) &amp; " ± " &amp; ROUNDUP(ABS(C60-I74)/B60*100,3)</f>
        <v>0 ± 0</v>
      </c>
      <c r="N74" s="24" t="str">
        <f>ROUNDUP(ABS(B60-L74),3) &amp; " ± " &amp; ROUNDUP(ABS(C60-M74),3)</f>
        <v>1 ± 1</v>
      </c>
      <c r="O74" s="24" t="str">
        <f>ROUNDUP(ABS(B60-L74)/B60*100,3) &amp; " ± " &amp; ROUNDUP(ABS(C60-M74)/B60*100,3)</f>
        <v>-100 ± -100</v>
      </c>
    </row>
    <row r="75" spans="1:15" x14ac:dyDescent="0.3">
      <c r="A75" s="99">
        <f t="shared" si="11"/>
        <v>73</v>
      </c>
      <c r="B75" s="70">
        <v>-1</v>
      </c>
      <c r="C75" s="21">
        <v>-1</v>
      </c>
      <c r="D75" s="22">
        <v>-1</v>
      </c>
      <c r="E75" s="22">
        <v>-1</v>
      </c>
      <c r="F75" s="22" t="str">
        <f>ROUNDUP(ABS(B61-D75),3) &amp; " ± " &amp; ROUNDUP(ABS(C61-E75),3)</f>
        <v>0 ± 0</v>
      </c>
      <c r="G75" s="22" t="str">
        <f>ROUNDUP(ABS(B61-D75)/B61*100,3) &amp; " ± " &amp; ROUNDUP(ABS(C61-E75)/B61*100,3)</f>
        <v>0 ± 0</v>
      </c>
      <c r="H75" s="23">
        <v>-1</v>
      </c>
      <c r="I75" s="23">
        <v>-1</v>
      </c>
      <c r="J75" s="23" t="str">
        <f>ROUNDUP(ABS(B61-H75),3) &amp; " ± " &amp; ROUNDUP(ABS(C61-I75),3)</f>
        <v>0 ± 0</v>
      </c>
      <c r="K75" s="23" t="str">
        <f>ROUNDUP(ABS(B61-H75)/B61*100,3) &amp; " ± " &amp; ROUNDUP(ABS(C61-I75)/B61*100,3)</f>
        <v>0 ± 0</v>
      </c>
      <c r="N75" s="24" t="str">
        <f>ROUNDUP(ABS(B61-L75),3) &amp; " ± " &amp; ROUNDUP(ABS(C61-M75),3)</f>
        <v>1 ± 1</v>
      </c>
      <c r="O75" s="24" t="str">
        <f>ROUNDUP(ABS(B61-L75)/B61*100,3) &amp; " ± " &amp; ROUNDUP(ABS(C61-M75)/B61*100,3)</f>
        <v>-100 ± -100</v>
      </c>
    </row>
    <row r="76" spans="1:15" x14ac:dyDescent="0.3">
      <c r="A76" s="99">
        <f t="shared" si="11"/>
        <v>74</v>
      </c>
      <c r="B76" s="70">
        <v>-1</v>
      </c>
      <c r="C76" s="21">
        <v>-1</v>
      </c>
      <c r="D76" s="22">
        <v>-1</v>
      </c>
      <c r="E76" s="22">
        <v>-1</v>
      </c>
      <c r="F76" s="22" t="str">
        <f>ROUNDUP(ABS(B62-D76),3) &amp; " ± " &amp; ROUNDUP(ABS(C62-E76),3)</f>
        <v>0 ± 0</v>
      </c>
      <c r="G76" s="22" t="str">
        <f>ROUNDUP(ABS(B62-D76)/B62*100,3) &amp; " ± " &amp; ROUNDUP(ABS(C62-E76)/B62*100,3)</f>
        <v>0 ± 0</v>
      </c>
      <c r="H76" s="23">
        <v>-1</v>
      </c>
      <c r="I76" s="23">
        <v>-1</v>
      </c>
      <c r="J76" s="23" t="str">
        <f>ROUNDUP(ABS(B62-H76),3) &amp; " ± " &amp; ROUNDUP(ABS(C62-I76),3)</f>
        <v>0 ± 0</v>
      </c>
      <c r="K76" s="23" t="str">
        <f>ROUNDUP(ABS(B62-H76)/B62*100,3) &amp; " ± " &amp; ROUNDUP(ABS(C62-I76)/B62*100,3)</f>
        <v>0 ± 0</v>
      </c>
      <c r="N76" s="24" t="str">
        <f>ROUNDUP(ABS(B62-L76),3) &amp; " ± " &amp; ROUNDUP(ABS(C62-M76),3)</f>
        <v>1 ± 1</v>
      </c>
      <c r="O76" s="24" t="str">
        <f>ROUNDUP(ABS(B62-L76)/B62*100,3) &amp; " ± " &amp; ROUNDUP(ABS(C62-M76)/B62*100,3)</f>
        <v>-100 ± -100</v>
      </c>
    </row>
    <row r="77" spans="1:15" x14ac:dyDescent="0.3">
      <c r="A77" s="99">
        <f t="shared" si="11"/>
        <v>75</v>
      </c>
      <c r="B77" s="70">
        <v>-1</v>
      </c>
      <c r="C77" s="21">
        <v>-1</v>
      </c>
      <c r="D77" s="22">
        <v>-1</v>
      </c>
      <c r="E77" s="22">
        <v>-1</v>
      </c>
      <c r="F77" s="22" t="str">
        <f t="shared" si="7"/>
        <v>0 ± 0</v>
      </c>
      <c r="G77" s="22" t="str">
        <f t="shared" si="8"/>
        <v>0 ± 0</v>
      </c>
      <c r="H77" s="23">
        <v>-1</v>
      </c>
      <c r="I77" s="23">
        <v>-1</v>
      </c>
      <c r="J77" s="23" t="str">
        <f t="shared" si="9"/>
        <v>0 ± 0</v>
      </c>
      <c r="K77" s="23" t="str">
        <f t="shared" si="10"/>
        <v>0 ± 0</v>
      </c>
      <c r="N77" s="24" t="str">
        <f t="shared" si="12"/>
        <v>1 ± 1</v>
      </c>
      <c r="O77" s="24" t="str">
        <f t="shared" si="13"/>
        <v>-100 ± -100</v>
      </c>
    </row>
    <row r="78" spans="1:15" x14ac:dyDescent="0.3">
      <c r="A78" s="100">
        <f t="shared" si="11"/>
        <v>76</v>
      </c>
      <c r="B78" s="70">
        <f>[1]Кг_s1!D77</f>
        <v>0.99300939114425524</v>
      </c>
      <c r="C78" s="21">
        <f>[1]Кг_s1!I77</f>
        <v>3.132317182053642E-2</v>
      </c>
      <c r="D78" s="22">
        <f>[2]Кг_s1!B77</f>
        <v>2.0000000000000001E-4</v>
      </c>
      <c r="E78" s="22">
        <f>[2]Кг_s1!$C$2</f>
        <v>1E-3</v>
      </c>
      <c r="F78" s="22" t="str">
        <f t="shared" si="7"/>
        <v>0,993 ± 0,031</v>
      </c>
      <c r="G78" s="22" t="str">
        <f t="shared" si="8"/>
        <v>99,98 ± 3,054</v>
      </c>
      <c r="H78" s="23">
        <f>[3]Кг_s1!B77</f>
        <v>0</v>
      </c>
      <c r="I78" s="23">
        <f>[3]Кг_s1!F77</f>
        <v>1.689885738468049E-3</v>
      </c>
      <c r="J78" s="23" t="str">
        <f t="shared" si="9"/>
        <v>0,994 ± 0,03</v>
      </c>
      <c r="K78" s="23" t="str">
        <f t="shared" si="10"/>
        <v>100 ± 2,985</v>
      </c>
      <c r="N78" s="24" t="str">
        <f t="shared" si="12"/>
        <v>0,994 ± 0,032</v>
      </c>
      <c r="O78" s="24" t="str">
        <f t="shared" si="13"/>
        <v>100 ± 3,155</v>
      </c>
    </row>
    <row r="79" spans="1:15" x14ac:dyDescent="0.3">
      <c r="B79" s="70">
        <v>-1</v>
      </c>
      <c r="C79" s="21">
        <v>-1</v>
      </c>
      <c r="D79" s="22">
        <v>-1</v>
      </c>
      <c r="E79" s="22">
        <v>-1</v>
      </c>
      <c r="F79" s="22" t="str">
        <f t="shared" si="7"/>
        <v>0 ± 0</v>
      </c>
      <c r="G79" s="22" t="str">
        <f t="shared" si="8"/>
        <v>0 ± 0</v>
      </c>
      <c r="H79" s="23">
        <v>-1</v>
      </c>
      <c r="I79" s="23">
        <v>-1</v>
      </c>
      <c r="J79" s="23" t="str">
        <f t="shared" si="9"/>
        <v>0 ± 0</v>
      </c>
      <c r="K79" s="23" t="str">
        <f t="shared" si="10"/>
        <v>0 ± 0</v>
      </c>
      <c r="N79" s="24" t="str">
        <f t="shared" si="12"/>
        <v>1 ± 1</v>
      </c>
      <c r="O79" s="24" t="str">
        <f t="shared" si="13"/>
        <v>-100 ± -100</v>
      </c>
    </row>
    <row r="80" spans="1:15" x14ac:dyDescent="0.3">
      <c r="B80" s="70">
        <v>-1</v>
      </c>
      <c r="C80" s="21">
        <v>-1</v>
      </c>
      <c r="D80" s="22">
        <v>-1</v>
      </c>
      <c r="E80" s="22">
        <v>-1</v>
      </c>
      <c r="F80" s="22" t="str">
        <f t="shared" si="7"/>
        <v>0 ± 0</v>
      </c>
      <c r="G80" s="22" t="str">
        <f t="shared" si="8"/>
        <v>0 ± 0</v>
      </c>
      <c r="H80" s="23">
        <v>-1</v>
      </c>
      <c r="I80" s="23">
        <v>-1</v>
      </c>
      <c r="J80" s="23" t="str">
        <f t="shared" si="9"/>
        <v>0 ± 0</v>
      </c>
      <c r="K80" s="23" t="str">
        <f t="shared" si="10"/>
        <v>0 ± 0</v>
      </c>
      <c r="N80" s="24" t="str">
        <f t="shared" si="12"/>
        <v>1 ± 1</v>
      </c>
      <c r="O80" s="24" t="str">
        <f t="shared" si="13"/>
        <v>-100 ± -100</v>
      </c>
    </row>
    <row r="81" spans="1:15" x14ac:dyDescent="0.3">
      <c r="A81" s="100" t="s">
        <v>51</v>
      </c>
      <c r="B81" s="70">
        <f>[1]Кг_s1!D80</f>
        <v>1</v>
      </c>
      <c r="C81" s="21">
        <f>[1]Кг_s1!I80</f>
        <v>0</v>
      </c>
      <c r="D81" s="22">
        <f>[2]Кг_s1!B80</f>
        <v>1</v>
      </c>
      <c r="E81" s="22">
        <f>[2]Кг_s1!$C$2</f>
        <v>1E-3</v>
      </c>
      <c r="F81" s="22" t="str">
        <f t="shared" si="7"/>
        <v>0 ± 0,001</v>
      </c>
      <c r="G81" s="22" t="str">
        <f t="shared" si="8"/>
        <v>0 ± 0,1</v>
      </c>
      <c r="H81" s="23">
        <f>[3]Кг_s1!B80</f>
        <v>0.36261102831594633</v>
      </c>
      <c r="I81" s="23">
        <f>[3]Кг_s1!F80</f>
        <v>3.7160469338446439E-2</v>
      </c>
      <c r="J81" s="23" t="str">
        <f t="shared" si="9"/>
        <v>0,638 ± 0,038</v>
      </c>
      <c r="K81" s="23" t="str">
        <f t="shared" si="10"/>
        <v>63,739 ± 3,717</v>
      </c>
      <c r="N81" s="24" t="str">
        <f t="shared" si="12"/>
        <v>1 ± 0</v>
      </c>
      <c r="O81" s="24" t="str">
        <f t="shared" si="13"/>
        <v>100 ± 0</v>
      </c>
    </row>
    <row r="82" spans="1:15" x14ac:dyDescent="0.3">
      <c r="A82" s="100" t="s">
        <v>52</v>
      </c>
      <c r="B82" s="70">
        <f>[1]Кг_s1!D81</f>
        <v>1</v>
      </c>
      <c r="C82" s="21">
        <f>[1]Кг_s1!I81</f>
        <v>0</v>
      </c>
      <c r="D82" s="22">
        <f>[2]Кг_s1!B81</f>
        <v>1</v>
      </c>
      <c r="E82" s="22">
        <f>[2]Кг_s1!$C$2</f>
        <v>1E-3</v>
      </c>
      <c r="F82" s="22" t="str">
        <f t="shared" si="7"/>
        <v>0 ± 0,001</v>
      </c>
      <c r="G82" s="22" t="str">
        <f t="shared" si="8"/>
        <v>0 ± 0,1</v>
      </c>
      <c r="H82" s="23">
        <f>[3]Кг_s1!B81</f>
        <v>0.36261102831594633</v>
      </c>
      <c r="I82" s="23">
        <f>[3]Кг_s1!F81</f>
        <v>3.7160469338446439E-2</v>
      </c>
      <c r="J82" s="23" t="str">
        <f t="shared" si="9"/>
        <v>0,638 ± 0,038</v>
      </c>
      <c r="K82" s="23" t="str">
        <f t="shared" si="10"/>
        <v>63,739 ± 3,717</v>
      </c>
      <c r="N82" s="24" t="str">
        <f t="shared" si="12"/>
        <v>1 ± 0</v>
      </c>
      <c r="O82" s="24" t="str">
        <f t="shared" si="13"/>
        <v>100 ± 0</v>
      </c>
    </row>
    <row r="83" spans="1:15" x14ac:dyDescent="0.3">
      <c r="A83" s="100" t="s">
        <v>53</v>
      </c>
      <c r="B83" s="70">
        <f>[1]Кг_s1!D82</f>
        <v>0.69260006727211565</v>
      </c>
      <c r="C83" s="21">
        <f>[1]Кг_s1!I82</f>
        <v>0.19767306984655311</v>
      </c>
      <c r="D83" s="22">
        <f>[2]Кг_s1!B82</f>
        <v>0.32200000000000001</v>
      </c>
      <c r="E83" s="22">
        <f>[2]Кг_s1!$C$2</f>
        <v>1E-3</v>
      </c>
      <c r="F83" s="22" t="str">
        <f t="shared" si="7"/>
        <v>0,371 ± 0,197</v>
      </c>
      <c r="G83" s="22" t="str">
        <f t="shared" si="8"/>
        <v>53,509 ± 28,397</v>
      </c>
      <c r="H83" s="23">
        <f>[3]Кг_s1!B82</f>
        <v>0.39169930396452979</v>
      </c>
      <c r="I83" s="23">
        <f>[3]Кг_s1!F82</f>
        <v>0.39169930397544367</v>
      </c>
      <c r="J83" s="23" t="str">
        <f t="shared" si="9"/>
        <v>0,301 ± 0,195</v>
      </c>
      <c r="K83" s="23" t="str">
        <f t="shared" si="10"/>
        <v>43,446 ± 28,015</v>
      </c>
      <c r="N83" s="24" t="str">
        <f t="shared" si="12"/>
        <v>0,693 ± 0,198</v>
      </c>
      <c r="O83" s="24" t="str">
        <f t="shared" si="13"/>
        <v>100 ± 28,541</v>
      </c>
    </row>
    <row r="84" spans="1:15" x14ac:dyDescent="0.3">
      <c r="A84" s="100" t="s">
        <v>54</v>
      </c>
      <c r="B84" s="70">
        <f>[1]Кг_s1!D83</f>
        <v>0.67463626685592626</v>
      </c>
      <c r="C84" s="21">
        <f>[1]Кг_s1!I83</f>
        <v>0.10995865870470983</v>
      </c>
      <c r="D84" s="22">
        <f>[2]Кг_s1!B83</f>
        <v>0.317</v>
      </c>
      <c r="E84" s="22">
        <f>[2]Кг_s1!$C$2</f>
        <v>1E-3</v>
      </c>
      <c r="F84" s="22" t="str">
        <f t="shared" si="7"/>
        <v>0,358 ± 0,109</v>
      </c>
      <c r="G84" s="22" t="str">
        <f t="shared" si="8"/>
        <v>53,012 ± 16,151</v>
      </c>
      <c r="H84" s="23">
        <f>[3]Кг_s1!B83</f>
        <v>0.11741511608516608</v>
      </c>
      <c r="I84" s="23">
        <f>[3]Кг_s1!F83</f>
        <v>0.11741511637648544</v>
      </c>
      <c r="J84" s="23" t="str">
        <f t="shared" si="9"/>
        <v>0,558 ± 0,008</v>
      </c>
      <c r="K84" s="23" t="str">
        <f t="shared" si="10"/>
        <v>82,596 ± 1,106</v>
      </c>
      <c r="N84" s="24" t="str">
        <f t="shared" si="12"/>
        <v>0,675 ± 0,11</v>
      </c>
      <c r="O84" s="24" t="str">
        <f t="shared" si="13"/>
        <v>100 ± 16,299</v>
      </c>
    </row>
    <row r="85" spans="1:15" x14ac:dyDescent="0.3">
      <c r="A85" s="100" t="s">
        <v>55</v>
      </c>
      <c r="B85" s="70">
        <f>[1]Кг_s1!D84</f>
        <v>0.95249794501780982</v>
      </c>
      <c r="C85" s="21">
        <f>[1]Кг_s1!I84</f>
        <v>2.9169537689868188E-4</v>
      </c>
      <c r="D85" s="22">
        <f>[2]Кг_s1!B84</f>
        <v>0.5</v>
      </c>
      <c r="E85" s="22">
        <f>[2]Кг_s1!$C$2</f>
        <v>1E-3</v>
      </c>
      <c r="F85" s="22" t="str">
        <f t="shared" si="7"/>
        <v>0,453 ± 0,001</v>
      </c>
      <c r="G85" s="22" t="str">
        <f t="shared" si="8"/>
        <v>47,507 ± 0,075</v>
      </c>
      <c r="H85" s="23">
        <f>[3]Кг_s1!B84</f>
        <v>0.49829940521068949</v>
      </c>
      <c r="I85" s="23">
        <f>[3]Кг_s1!F84</f>
        <v>0.49829944037231899</v>
      </c>
      <c r="J85" s="23" t="str">
        <f t="shared" si="9"/>
        <v>0,455 ± 0,499</v>
      </c>
      <c r="K85" s="23" t="str">
        <f t="shared" si="10"/>
        <v>47,685 ± 52,285</v>
      </c>
      <c r="N85" s="24" t="str">
        <f t="shared" si="12"/>
        <v>0,953 ± 0,001</v>
      </c>
      <c r="O85" s="24" t="str">
        <f t="shared" si="13"/>
        <v>100 ± 0,031</v>
      </c>
    </row>
    <row r="86" spans="1:15" x14ac:dyDescent="0.3">
      <c r="A86" s="100" t="s">
        <v>56</v>
      </c>
      <c r="B86" s="70">
        <f>[1]Кг_s1!D85</f>
        <v>0.96319885604016997</v>
      </c>
      <c r="C86" s="21">
        <f>[1]Кг_s1!I85</f>
        <v>3.8469649108373465E-2</v>
      </c>
      <c r="D86" s="22">
        <f>[2]Кг_s1!B85</f>
        <v>0.33300000000000002</v>
      </c>
      <c r="E86" s="22">
        <f>[2]Кг_s1!$C$2</f>
        <v>1E-3</v>
      </c>
      <c r="F86" s="22" t="str">
        <f t="shared" si="7"/>
        <v>0,631 ± 0,038</v>
      </c>
      <c r="G86" s="22" t="str">
        <f t="shared" si="8"/>
        <v>65,428 ± 3,891</v>
      </c>
      <c r="H86" s="23">
        <f>[3]Кг_s1!B85</f>
        <v>0.16353489119087769</v>
      </c>
      <c r="I86" s="23">
        <f>[3]Кг_s1!F85</f>
        <v>0.16353539726364597</v>
      </c>
      <c r="J86" s="23" t="str">
        <f t="shared" si="9"/>
        <v>0,8 ± 0,126</v>
      </c>
      <c r="K86" s="23" t="str">
        <f t="shared" si="10"/>
        <v>83,022 ± 12,985</v>
      </c>
      <c r="N86" s="24" t="str">
        <f t="shared" si="12"/>
        <v>0,964 ± 0,039</v>
      </c>
      <c r="O86" s="24" t="str">
        <f t="shared" si="13"/>
        <v>100 ± 3,994</v>
      </c>
    </row>
    <row r="87" spans="1:15" x14ac:dyDescent="0.3">
      <c r="A87" s="100" t="s">
        <v>57</v>
      </c>
      <c r="B87" s="70">
        <f>[1]Кг_s1!D86</f>
        <v>0.81334333210865106</v>
      </c>
      <c r="C87" s="21">
        <f>[1]Кг_s1!I86</f>
        <v>0.11678846481691314</v>
      </c>
      <c r="D87" s="22">
        <f>[2]Кг_s1!B86</f>
        <v>0.36099999999999999</v>
      </c>
      <c r="E87" s="22">
        <f>[2]Кг_s1!$C$2</f>
        <v>1E-3</v>
      </c>
      <c r="F87" s="22" t="str">
        <f t="shared" si="7"/>
        <v>0,453 ± 0,116</v>
      </c>
      <c r="G87" s="22" t="str">
        <f t="shared" si="8"/>
        <v>55,616 ± 14,237</v>
      </c>
      <c r="H87" s="23">
        <f>[3]Кг_s1!B86</f>
        <v>0.2606698301628676</v>
      </c>
      <c r="I87" s="23">
        <f>[3]Кг_s1!F86</f>
        <v>2.8963869389516114E-2</v>
      </c>
      <c r="J87" s="23" t="str">
        <f t="shared" si="9"/>
        <v>0,553 ± 0,088</v>
      </c>
      <c r="K87" s="23" t="str">
        <f t="shared" si="10"/>
        <v>67,951 ± 10,798</v>
      </c>
      <c r="N87" s="24" t="str">
        <f t="shared" si="12"/>
        <v>0,814 ± 0,117</v>
      </c>
      <c r="O87" s="24" t="str">
        <f t="shared" si="13"/>
        <v>100 ± 14,36</v>
      </c>
    </row>
    <row r="88" spans="1:15" x14ac:dyDescent="0.3">
      <c r="A88" s="100" t="s">
        <v>58</v>
      </c>
      <c r="B88" s="70">
        <f>[1]Кг_s1!D87</f>
        <v>0.61640052431554571</v>
      </c>
      <c r="C88" s="21">
        <f>[1]Кг_s1!I87</f>
        <v>0.19832614144616162</v>
      </c>
      <c r="D88" s="22">
        <f>[2]Кг_s1!B87</f>
        <v>0.375</v>
      </c>
      <c r="E88" s="22">
        <f>[2]Кг_s1!$C$2</f>
        <v>1E-3</v>
      </c>
      <c r="F88" s="22" t="str">
        <f t="shared" si="7"/>
        <v>0,242 ± 0,198</v>
      </c>
      <c r="G88" s="22" t="str">
        <f t="shared" si="8"/>
        <v>39,163 ± 32,013</v>
      </c>
      <c r="H88" s="23">
        <f>[3]Кг_s1!B87</f>
        <v>0.23670667139177301</v>
      </c>
      <c r="I88" s="23">
        <f>[3]Кг_s1!F87</f>
        <v>3.9451253948704933E-2</v>
      </c>
      <c r="J88" s="23" t="str">
        <f t="shared" si="9"/>
        <v>0,38 ± 0,159</v>
      </c>
      <c r="K88" s="23" t="str">
        <f t="shared" si="10"/>
        <v>61,599 ± 25,775</v>
      </c>
      <c r="N88" s="24" t="str">
        <f t="shared" si="12"/>
        <v>0,617 ± 0,199</v>
      </c>
      <c r="O88" s="24" t="str">
        <f t="shared" si="13"/>
        <v>100 ± 32,175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1E013-B658-4F02-B923-EFBBC34533C2}">
  <sheetPr codeName="Лист11"/>
  <dimension ref="A1:X88"/>
  <sheetViews>
    <sheetView workbookViewId="0">
      <selection activeCell="S10" sqref="S10"/>
    </sheetView>
  </sheetViews>
  <sheetFormatPr defaultRowHeight="14.4" x14ac:dyDescent="0.3"/>
  <cols>
    <col min="1" max="1" width="33.21875" style="99" customWidth="1"/>
    <col min="2" max="2" width="13.77734375" style="71" customWidth="1"/>
    <col min="3" max="3" width="12.6640625" style="5" customWidth="1"/>
    <col min="4" max="4" width="14.44140625" style="1" customWidth="1"/>
    <col min="5" max="5" width="13.109375" style="1" customWidth="1"/>
    <col min="6" max="6" width="15.44140625" style="1" customWidth="1"/>
    <col min="7" max="7" width="17.88671875" style="1" customWidth="1"/>
    <col min="8" max="8" width="13.5546875" style="14" customWidth="1"/>
    <col min="9" max="9" width="11.44140625" style="14" customWidth="1"/>
    <col min="10" max="11" width="18" style="14" customWidth="1"/>
    <col min="12" max="12" width="15" style="19" customWidth="1"/>
    <col min="13" max="13" width="11.21875" style="19" customWidth="1"/>
    <col min="14" max="14" width="18.44140625" style="19" customWidth="1"/>
    <col min="15" max="15" width="17.44140625" style="19" customWidth="1"/>
    <col min="16" max="17" width="8.88671875" style="4"/>
    <col min="18" max="18" width="12" style="4" customWidth="1"/>
    <col min="19" max="19" width="13.21875" style="4" customWidth="1"/>
    <col min="20" max="20" width="8.88671875" style="4"/>
    <col min="21" max="21" width="15.77734375" style="4" customWidth="1"/>
    <col min="22" max="22" width="11.5546875" style="4" customWidth="1"/>
    <col min="23" max="23" width="15.109375" style="4" customWidth="1"/>
    <col min="24" max="24" width="14.21875" style="4" customWidth="1"/>
    <col min="25" max="16384" width="8.88671875" style="4"/>
  </cols>
  <sheetData>
    <row r="1" spans="1:24" s="2" customFormat="1" x14ac:dyDescent="0.3">
      <c r="A1" s="102" t="s">
        <v>47</v>
      </c>
      <c r="B1" s="68" t="s">
        <v>2</v>
      </c>
      <c r="C1" s="7"/>
      <c r="D1" s="9" t="s">
        <v>4</v>
      </c>
      <c r="E1" s="10"/>
      <c r="F1" s="10"/>
      <c r="G1" s="8"/>
      <c r="H1" s="11" t="s">
        <v>3</v>
      </c>
      <c r="I1" s="12"/>
      <c r="J1" s="12"/>
      <c r="K1" s="13"/>
      <c r="L1" s="15" t="s">
        <v>5</v>
      </c>
      <c r="M1" s="16"/>
      <c r="N1" s="17"/>
      <c r="O1" s="18"/>
      <c r="Q1" s="2" t="s">
        <v>4</v>
      </c>
      <c r="R1" s="2" t="s">
        <v>3</v>
      </c>
      <c r="S1" s="2" t="s">
        <v>5</v>
      </c>
      <c r="U1" s="2" t="s">
        <v>14</v>
      </c>
      <c r="V1" s="2" t="s">
        <v>11</v>
      </c>
      <c r="W1" s="2" t="s">
        <v>12</v>
      </c>
      <c r="X1" s="2" t="s">
        <v>13</v>
      </c>
    </row>
    <row r="2" spans="1:24" s="25" customFormat="1" ht="15" thickBot="1" x14ac:dyDescent="0.35">
      <c r="A2" s="103"/>
      <c r="B2" s="69" t="s">
        <v>0</v>
      </c>
      <c r="C2" s="26" t="s">
        <v>1</v>
      </c>
      <c r="D2" s="27" t="s">
        <v>0</v>
      </c>
      <c r="E2" s="27" t="s">
        <v>1</v>
      </c>
      <c r="F2" s="27" t="s">
        <v>6</v>
      </c>
      <c r="G2" s="27" t="s">
        <v>7</v>
      </c>
      <c r="H2" s="28" t="s">
        <v>0</v>
      </c>
      <c r="I2" s="28" t="s">
        <v>1</v>
      </c>
      <c r="J2" s="28" t="s">
        <v>6</v>
      </c>
      <c r="K2" s="28" t="s">
        <v>7</v>
      </c>
      <c r="L2" s="29" t="s">
        <v>0</v>
      </c>
      <c r="M2" s="29" t="s">
        <v>1</v>
      </c>
      <c r="N2" s="29" t="s">
        <v>6</v>
      </c>
      <c r="O2" s="29" t="s">
        <v>7</v>
      </c>
    </row>
    <row r="3" spans="1:24" s="20" customFormat="1" x14ac:dyDescent="0.3">
      <c r="A3" s="98">
        <v>1</v>
      </c>
      <c r="B3" s="70">
        <f>[1]Кг_s12!D2</f>
        <v>1</v>
      </c>
      <c r="C3" s="21">
        <f>[1]Кг_s12!I2</f>
        <v>0</v>
      </c>
      <c r="D3" s="22">
        <f>[2]Кг_s12!B2</f>
        <v>1</v>
      </c>
      <c r="E3" s="22">
        <f>[2]Кг_s12!$C$2</f>
        <v>1E-3</v>
      </c>
      <c r="F3" s="22" t="str">
        <f>ROUNDUP(ABS(B3-D3),3) &amp; " ± " &amp; ROUNDUP(ABS(C3-E3),3)</f>
        <v>0 ± 0,001</v>
      </c>
      <c r="G3" s="22" t="str">
        <f>ROUNDUP(ABS(B3-D3)/B3*100,3) &amp; " ± " &amp; ROUNDUP(ABS(C3-E3)/B3*100,3)</f>
        <v>0 ± 0,1</v>
      </c>
      <c r="H3" s="23">
        <f>[3]Кг_s12!B2</f>
        <v>0.72561549925484359</v>
      </c>
      <c r="I3" s="23">
        <f>[3]Кг_s12!H2</f>
        <v>5.25574104982919E-2</v>
      </c>
      <c r="J3" s="23" t="str">
        <f>ROUNDUP(ABS(B3-H3),3) &amp; " ± " &amp; ROUNDUP(ABS(C3-I3),3)</f>
        <v>0,275 ± 0,053</v>
      </c>
      <c r="K3" s="23" t="str">
        <f>ROUNDUP(ABS(B3-H3)/B3*100,3) &amp; " ± " &amp; ROUNDUP(ABS(C3-I3)/B3*100,3)</f>
        <v>27,439 ± 5,256</v>
      </c>
      <c r="L3" s="24">
        <v>0.95</v>
      </c>
      <c r="M3" s="24">
        <v>2E-3</v>
      </c>
      <c r="N3" s="24" t="str">
        <f>ROUNDUP(ABS(B3-L3),3) &amp; " ± " &amp; ROUNDUP(ABS(C3-M3),3)</f>
        <v>0,05 ± 0,002</v>
      </c>
      <c r="O3" s="24" t="str">
        <f>ROUNDUP(ABS(B3-L3)/B3*100,3) &amp; " ± " &amp; ROUNDUP(ABS(C3-M3)/B3*100,3)</f>
        <v>5 ± 0,2</v>
      </c>
      <c r="Q3" s="20" cm="1">
        <f t="array" ref="Q3">PointMin3(ABS(B3-D3)+ABS(C3-E3),ABS(B3-H3)+ABS(C3-I3),ABS(B3-L3)+ABS(C3-M3),ABS(B3-D3)+ABS(C3-E3))</f>
        <v>3</v>
      </c>
      <c r="R3" s="20" cm="1">
        <f t="array" ref="R3">PointMin3(ABS(B3-D3)+ABS(C3-E3),ABS(B3-H3)+ABS(C3-I3),ABS(B3-L3)+ABS(C3-M3),ABS(B3-H3)+ABS(C3-I3))</f>
        <v>1</v>
      </c>
      <c r="S3" s="20" cm="1">
        <f t="array" ref="S3">PointMin3(ABS(B3-D3)+ABS(C3-E3),ABS(B3-H3)+ABS(C3-I3),ABS(B3-L3)+ABS(C3-M3),ABS(B3-L3)+ABS(C3-M3))</f>
        <v>2</v>
      </c>
      <c r="U3" s="20">
        <f>SUM(Q:S)</f>
        <v>24</v>
      </c>
      <c r="V3" s="20">
        <f>SUM(Q:Q)</f>
        <v>10</v>
      </c>
      <c r="W3" s="20">
        <f>SUM(R:R)</f>
        <v>7</v>
      </c>
      <c r="X3" s="20">
        <f>SUM(S:S)</f>
        <v>7</v>
      </c>
    </row>
    <row r="4" spans="1:24" x14ac:dyDescent="0.3">
      <c r="A4" s="99">
        <f>A3+1</f>
        <v>2</v>
      </c>
      <c r="B4" s="70">
        <v>-1</v>
      </c>
      <c r="C4" s="21">
        <v>-1</v>
      </c>
      <c r="D4" s="22">
        <v>-1</v>
      </c>
      <c r="E4" s="22">
        <v>-1</v>
      </c>
      <c r="F4" s="22" t="str">
        <f t="shared" ref="F4:F67" si="0">ROUNDUP(ABS(B4-D4),3) &amp; " ± " &amp; ROUNDUP(ABS(C4-E4),3)</f>
        <v>0 ± 0</v>
      </c>
      <c r="G4" s="22" t="str">
        <f t="shared" ref="G4:G67" si="1">ROUNDUP(ABS(B4-D4)/B4*100,3) &amp; " ± " &amp; ROUNDUP(ABS(C4-E4)/B4*100,3)</f>
        <v>0 ± 0</v>
      </c>
      <c r="H4" s="23">
        <v>-1</v>
      </c>
      <c r="I4" s="23">
        <v>-1</v>
      </c>
      <c r="J4" s="23" t="str">
        <f t="shared" ref="J4:J67" si="2">ROUNDUP(ABS(B4-H4),3) &amp; " ± " &amp; ROUNDUP(ABS(C4-I4),3)</f>
        <v>0 ± 0</v>
      </c>
      <c r="K4" s="23" t="str">
        <f t="shared" ref="K4:K67" si="3">ROUNDUP(ABS(B4-H4)/B4*100,3) &amp; " ± " &amp; ROUNDUP(ABS(C4-I4)/B4*100,3)</f>
        <v>0 ± 0</v>
      </c>
      <c r="L4" s="19">
        <v>-1</v>
      </c>
      <c r="M4" s="19">
        <v>-1</v>
      </c>
      <c r="N4" s="24" t="str">
        <f>ROUNDUP(ABS(B4-L4),3) &amp; " ± " &amp; ROUNDUP(ABS(C4-M4),3)</f>
        <v>0 ± 0</v>
      </c>
      <c r="O4" s="24" t="str">
        <f>ROUNDUP(ABS(B4-L4)/B4*100,3) &amp; " ± " &amp; ROUNDUP(ABS(C4-M4)/B4*100,3)</f>
        <v>0 ± 0</v>
      </c>
      <c r="Q4" s="20" cm="1">
        <f t="array" ref="Q4">PointMin3(ABS(B4-D4)+ABS(C4-E4),ABS(B4-H4)+ABS(C4-I4),ABS(B4-L4)+ABS(C4-M4),ABS(B4-D4)+ABS(C4-E4))</f>
        <v>1</v>
      </c>
      <c r="R4" s="20" cm="1">
        <f t="array" ref="R4">PointMin3(ABS(B4-D4)+ABS(C4-E4),ABS(B4-H4)+ABS(C4-I4),ABS(B4-L4)+ABS(C4-M4),ABS(B4-H4)+ABS(C4-I4))</f>
        <v>1</v>
      </c>
      <c r="S4" s="20" cm="1">
        <f t="array" ref="S4">PointMin3(ABS(B4-D4)+ABS(C4-E4),ABS(B4-H4)+ABS(C4-I4),ABS(B4-L4)+ABS(C4-M4),ABS(B4-L4)+ABS(C4-M4))</f>
        <v>1</v>
      </c>
    </row>
    <row r="5" spans="1:24" x14ac:dyDescent="0.3">
      <c r="A5" s="99">
        <f t="shared" ref="A5:A68" si="4">A4+1</f>
        <v>3</v>
      </c>
      <c r="B5" s="70">
        <v>-1</v>
      </c>
      <c r="C5" s="21">
        <v>-1</v>
      </c>
      <c r="D5" s="22">
        <v>-1</v>
      </c>
      <c r="E5" s="22">
        <v>-1</v>
      </c>
      <c r="F5" s="22" t="str">
        <f t="shared" si="0"/>
        <v>0 ± 0</v>
      </c>
      <c r="G5" s="22" t="str">
        <f t="shared" si="1"/>
        <v>0 ± 0</v>
      </c>
      <c r="H5" s="23">
        <v>-1</v>
      </c>
      <c r="I5" s="23">
        <v>-1</v>
      </c>
      <c r="J5" s="23" t="str">
        <f t="shared" si="2"/>
        <v>0 ± 0</v>
      </c>
      <c r="K5" s="23" t="str">
        <f t="shared" si="3"/>
        <v>0 ± 0</v>
      </c>
      <c r="L5" s="19">
        <v>-1</v>
      </c>
      <c r="M5" s="19">
        <v>-1</v>
      </c>
      <c r="N5" s="24" t="str">
        <f t="shared" ref="N5:N68" si="5">ROUNDUP(ABS(B5-L5),3) &amp; " ± " &amp; ROUNDUP(ABS(C5-M5),3)</f>
        <v>0 ± 0</v>
      </c>
      <c r="O5" s="24" t="str">
        <f t="shared" ref="O5:O68" si="6">ROUNDUP(ABS(B5-L5)/B5*100,3) &amp; " ± " &amp; ROUNDUP(ABS(C5-M5)/B5*100,3)</f>
        <v>0 ± 0</v>
      </c>
      <c r="Q5" s="20" cm="1">
        <f t="array" ref="Q5">PointMin3(ABS(B5-D5)+ABS(C5-E5),ABS(B5-H5)+ABS(C5-I5),ABS(B5-L5)+ABS(C5-M5),ABS(B5-D5)+ABS(C5-E5))</f>
        <v>1</v>
      </c>
      <c r="R5" s="20" cm="1">
        <f t="array" ref="R5">PointMin3(ABS(B5-D5)+ABS(C5-E5),ABS(B5-H5)+ABS(C5-I5),ABS(B5-L5)+ABS(C5-M5),ABS(B5-H5)+ABS(C5-I5))</f>
        <v>1</v>
      </c>
      <c r="S5" s="20" cm="1">
        <f t="array" ref="S5">PointMin3(ABS(B5-D5)+ABS(C5-E5),ABS(B5-H5)+ABS(C5-I5),ABS(B5-L5)+ABS(C5-M5),ABS(B5-L5)+ABS(C5-M5))</f>
        <v>1</v>
      </c>
    </row>
    <row r="6" spans="1:24" x14ac:dyDescent="0.3">
      <c r="A6" s="99">
        <f t="shared" si="4"/>
        <v>4</v>
      </c>
      <c r="B6" s="70">
        <v>-1</v>
      </c>
      <c r="C6" s="21">
        <v>-1</v>
      </c>
      <c r="D6" s="22">
        <v>-1</v>
      </c>
      <c r="E6" s="22">
        <v>-1</v>
      </c>
      <c r="F6" s="22" t="str">
        <f t="shared" si="0"/>
        <v>0 ± 0</v>
      </c>
      <c r="G6" s="22" t="str">
        <f t="shared" si="1"/>
        <v>0 ± 0</v>
      </c>
      <c r="H6" s="23">
        <v>-1</v>
      </c>
      <c r="I6" s="23">
        <v>-1</v>
      </c>
      <c r="J6" s="23" t="str">
        <f t="shared" si="2"/>
        <v>0 ± 0</v>
      </c>
      <c r="K6" s="23" t="str">
        <f t="shared" si="3"/>
        <v>0 ± 0</v>
      </c>
      <c r="L6" s="19">
        <v>-1</v>
      </c>
      <c r="M6" s="19">
        <v>-1</v>
      </c>
      <c r="N6" s="24" t="str">
        <f t="shared" si="5"/>
        <v>0 ± 0</v>
      </c>
      <c r="O6" s="24" t="str">
        <f t="shared" si="6"/>
        <v>0 ± 0</v>
      </c>
      <c r="Q6" s="20" cm="1">
        <f t="array" ref="Q6">PointMin3(ABS(B6-D6)+ABS(C6-E6),ABS(B6-H6)+ABS(C6-I6),ABS(B6-L6)+ABS(C6-M6),ABS(B6-D6)+ABS(C6-E6))</f>
        <v>1</v>
      </c>
      <c r="R6" s="20" cm="1">
        <f t="array" ref="R6">PointMin3(ABS(B6-D6)+ABS(C6-E6),ABS(B6-H6)+ABS(C6-I6),ABS(B6-L6)+ABS(C6-M6),ABS(B6-H6)+ABS(C6-I6))</f>
        <v>1</v>
      </c>
      <c r="S6" s="20" cm="1">
        <f t="array" ref="S6">PointMin3(ABS(B6-D6)+ABS(C6-E6),ABS(B6-H6)+ABS(C6-I6),ABS(B6-L6)+ABS(C6-M6),ABS(B6-L6)+ABS(C6-M6))</f>
        <v>1</v>
      </c>
    </row>
    <row r="7" spans="1:24" x14ac:dyDescent="0.3">
      <c r="A7" s="99">
        <f t="shared" si="4"/>
        <v>5</v>
      </c>
      <c r="B7" s="70">
        <v>-1</v>
      </c>
      <c r="C7" s="21">
        <v>-1</v>
      </c>
      <c r="D7" s="22">
        <v>-1</v>
      </c>
      <c r="E7" s="22">
        <v>-1</v>
      </c>
      <c r="F7" s="22" t="str">
        <f t="shared" si="0"/>
        <v>0 ± 0</v>
      </c>
      <c r="G7" s="22" t="str">
        <f t="shared" si="1"/>
        <v>0 ± 0</v>
      </c>
      <c r="H7" s="23">
        <v>-1</v>
      </c>
      <c r="I7" s="23">
        <v>-1</v>
      </c>
      <c r="J7" s="23" t="str">
        <f t="shared" si="2"/>
        <v>0 ± 0</v>
      </c>
      <c r="K7" s="23" t="str">
        <f t="shared" si="3"/>
        <v>0 ± 0</v>
      </c>
      <c r="L7" s="19">
        <v>-1</v>
      </c>
      <c r="M7" s="19">
        <v>-1</v>
      </c>
      <c r="N7" s="24" t="str">
        <f t="shared" si="5"/>
        <v>0 ± 0</v>
      </c>
      <c r="O7" s="24" t="str">
        <f t="shared" si="6"/>
        <v>0 ± 0</v>
      </c>
      <c r="Q7" s="20" cm="1">
        <f t="array" ref="Q7">PointMin3(ABS(B7-D7)+ABS(C7-E7),ABS(B7-H7)+ABS(C7-I7),ABS(B7-L7)+ABS(C7-M7),ABS(B7-D7)+ABS(C7-E7))</f>
        <v>1</v>
      </c>
      <c r="R7" s="20" cm="1">
        <f t="array" ref="R7">PointMin3(ABS(B7-D7)+ABS(C7-E7),ABS(B7-H7)+ABS(C7-I7),ABS(B7-L7)+ABS(C7-M7),ABS(B7-H7)+ABS(C7-I7))</f>
        <v>1</v>
      </c>
      <c r="S7" s="20" cm="1">
        <f t="array" ref="S7">PointMin3(ABS(B7-D7)+ABS(C7-E7),ABS(B7-H7)+ABS(C7-I7),ABS(B7-L7)+ABS(C7-M7),ABS(B7-L7)+ABS(C7-M7))</f>
        <v>1</v>
      </c>
    </row>
    <row r="8" spans="1:24" x14ac:dyDescent="0.3">
      <c r="A8" s="100">
        <f t="shared" si="4"/>
        <v>6</v>
      </c>
      <c r="B8" s="70">
        <f>[1]Кг_s12!D7</f>
        <v>1</v>
      </c>
      <c r="C8" s="21">
        <f>[1]Кг_s12!I7</f>
        <v>0</v>
      </c>
      <c r="D8" s="22">
        <f>[2]Кг_s12!B7</f>
        <v>1</v>
      </c>
      <c r="E8" s="22">
        <f>[2]Кг_s12!$C$2</f>
        <v>1E-3</v>
      </c>
      <c r="F8" s="22" t="str">
        <f t="shared" si="0"/>
        <v>0 ± 0,001</v>
      </c>
      <c r="G8" s="22" t="str">
        <f t="shared" si="1"/>
        <v>0 ± 0,1</v>
      </c>
      <c r="H8" s="23">
        <f>[3]Кг_s12!B7</f>
        <v>0.72561549925484359</v>
      </c>
      <c r="I8" s="23">
        <f>[3]Кг_s12!H7</f>
        <v>5.25574104982919E-2</v>
      </c>
      <c r="J8" s="23" t="str">
        <f t="shared" si="2"/>
        <v>0,275 ± 0,053</v>
      </c>
      <c r="K8" s="23" t="str">
        <f t="shared" si="3"/>
        <v>27,439 ± 5,256</v>
      </c>
      <c r="N8" s="24" t="str">
        <f t="shared" si="5"/>
        <v>1 ± 0</v>
      </c>
      <c r="O8" s="24" t="str">
        <f t="shared" si="6"/>
        <v>100 ± 0</v>
      </c>
      <c r="Q8" s="20" cm="1">
        <f t="array" ref="Q8">PointMin3(ABS(B8-D8)+ABS(C8-E8),ABS(B8-H8)+ABS(C8-I8),ABS(B8-L8)+ABS(C8-M8),ABS(B8-D8)+ABS(C8-E8))</f>
        <v>3</v>
      </c>
      <c r="R8" s="20" cm="1">
        <f t="array" ref="R8">PointMin3(ABS(B8-D8)+ABS(C8-E8),ABS(B8-H8)+ABS(C8-I8),ABS(B8-L8)+ABS(C8-M8),ABS(B8-H8)+ABS(C8-I8))</f>
        <v>2</v>
      </c>
      <c r="S8" s="20" cm="1">
        <f t="array" ref="S8">PointMin3(ABS(B8-D8)+ABS(C8-E8),ABS(B8-H8)+ABS(C8-I8),ABS(B8-L8)+ABS(C8-M8),ABS(B8-L8)+ABS(C8-M8))</f>
        <v>1</v>
      </c>
    </row>
    <row r="9" spans="1:24" x14ac:dyDescent="0.3">
      <c r="A9" s="99">
        <f t="shared" si="4"/>
        <v>7</v>
      </c>
      <c r="B9" s="70">
        <v>-1</v>
      </c>
      <c r="C9" s="21">
        <v>-1</v>
      </c>
      <c r="D9" s="22">
        <v>-1</v>
      </c>
      <c r="E9" s="22">
        <v>-1</v>
      </c>
      <c r="F9" s="22" t="str">
        <f t="shared" si="0"/>
        <v>0 ± 0</v>
      </c>
      <c r="G9" s="22" t="str">
        <f t="shared" si="1"/>
        <v>0 ± 0</v>
      </c>
      <c r="H9" s="23">
        <v>-1</v>
      </c>
      <c r="I9" s="23">
        <v>-1</v>
      </c>
      <c r="J9" s="23" t="str">
        <f t="shared" si="2"/>
        <v>0 ± 0</v>
      </c>
      <c r="K9" s="23" t="str">
        <f t="shared" si="3"/>
        <v>0 ± 0</v>
      </c>
      <c r="N9" s="24" t="str">
        <f t="shared" si="5"/>
        <v>1 ± 1</v>
      </c>
      <c r="O9" s="24" t="str">
        <f t="shared" si="6"/>
        <v>-100 ± -100</v>
      </c>
    </row>
    <row r="10" spans="1:24" x14ac:dyDescent="0.3">
      <c r="A10" s="99">
        <f t="shared" si="4"/>
        <v>8</v>
      </c>
      <c r="B10" s="70">
        <v>-1</v>
      </c>
      <c r="C10" s="21">
        <v>-1</v>
      </c>
      <c r="D10" s="22">
        <v>-1</v>
      </c>
      <c r="E10" s="22">
        <v>-1</v>
      </c>
      <c r="F10" s="22" t="str">
        <f t="shared" si="0"/>
        <v>0 ± 0</v>
      </c>
      <c r="G10" s="22" t="str">
        <f t="shared" si="1"/>
        <v>0 ± 0</v>
      </c>
      <c r="H10" s="23">
        <v>-1</v>
      </c>
      <c r="I10" s="23">
        <v>-1</v>
      </c>
      <c r="J10" s="23" t="str">
        <f t="shared" si="2"/>
        <v>0 ± 0</v>
      </c>
      <c r="K10" s="23" t="str">
        <f t="shared" si="3"/>
        <v>0 ± 0</v>
      </c>
      <c r="N10" s="24" t="str">
        <f t="shared" si="5"/>
        <v>1 ± 1</v>
      </c>
      <c r="O10" s="24" t="str">
        <f t="shared" si="6"/>
        <v>-100 ± -100</v>
      </c>
      <c r="U10" s="36"/>
    </row>
    <row r="11" spans="1:24" x14ac:dyDescent="0.3">
      <c r="A11" s="99">
        <f t="shared" si="4"/>
        <v>9</v>
      </c>
      <c r="B11" s="70">
        <v>-1</v>
      </c>
      <c r="C11" s="21">
        <v>-1</v>
      </c>
      <c r="D11" s="22">
        <v>-1</v>
      </c>
      <c r="E11" s="22">
        <v>-1</v>
      </c>
      <c r="F11" s="22" t="str">
        <f t="shared" si="0"/>
        <v>0 ± 0</v>
      </c>
      <c r="G11" s="22" t="str">
        <f t="shared" si="1"/>
        <v>0 ± 0</v>
      </c>
      <c r="H11" s="23">
        <v>-1</v>
      </c>
      <c r="I11" s="23">
        <v>-1</v>
      </c>
      <c r="J11" s="23" t="str">
        <f t="shared" si="2"/>
        <v>0 ± 0</v>
      </c>
      <c r="K11" s="23" t="str">
        <f t="shared" si="3"/>
        <v>0 ± 0</v>
      </c>
      <c r="N11" s="24" t="str">
        <f t="shared" si="5"/>
        <v>1 ± 1</v>
      </c>
      <c r="O11" s="24" t="str">
        <f t="shared" si="6"/>
        <v>-100 ± -100</v>
      </c>
    </row>
    <row r="12" spans="1:24" x14ac:dyDescent="0.3">
      <c r="A12" s="99">
        <f t="shared" si="4"/>
        <v>10</v>
      </c>
      <c r="B12" s="70">
        <v>-1</v>
      </c>
      <c r="C12" s="21">
        <v>-1</v>
      </c>
      <c r="D12" s="22">
        <v>-1</v>
      </c>
      <c r="E12" s="22">
        <v>-1</v>
      </c>
      <c r="F12" s="22" t="str">
        <f t="shared" si="0"/>
        <v>0 ± 0</v>
      </c>
      <c r="G12" s="22" t="str">
        <f t="shared" si="1"/>
        <v>0 ± 0</v>
      </c>
      <c r="H12" s="23">
        <v>-1</v>
      </c>
      <c r="I12" s="23">
        <v>-1</v>
      </c>
      <c r="J12" s="23" t="str">
        <f t="shared" si="2"/>
        <v>0 ± 0</v>
      </c>
      <c r="K12" s="23" t="str">
        <f t="shared" si="3"/>
        <v>0 ± 0</v>
      </c>
      <c r="N12" s="24" t="str">
        <f t="shared" si="5"/>
        <v>1 ± 1</v>
      </c>
      <c r="O12" s="24" t="str">
        <f t="shared" si="6"/>
        <v>-100 ± -100</v>
      </c>
    </row>
    <row r="13" spans="1:24" x14ac:dyDescent="0.3">
      <c r="A13" s="100">
        <f t="shared" si="4"/>
        <v>11</v>
      </c>
      <c r="B13" s="70">
        <f>[1]Кг_s12!D12</f>
        <v>1</v>
      </c>
      <c r="C13" s="21">
        <f>[1]Кг_s12!I12</f>
        <v>0</v>
      </c>
      <c r="D13" s="22">
        <f>[2]Кг_s12!B12</f>
        <v>0.5</v>
      </c>
      <c r="E13" s="22">
        <f>[2]Кг_s12!$C$2</f>
        <v>1E-3</v>
      </c>
      <c r="F13" s="22" t="str">
        <f t="shared" si="0"/>
        <v>0,5 ± 0,001</v>
      </c>
      <c r="G13" s="22" t="str">
        <f t="shared" si="1"/>
        <v>50 ± 0,1</v>
      </c>
      <c r="H13" s="23">
        <f>[3]Кг_s12!B12</f>
        <v>0.72561549925484359</v>
      </c>
      <c r="I13" s="23">
        <f>[3]Кг_s12!H12</f>
        <v>5.25574104982919E-2</v>
      </c>
      <c r="J13" s="23" t="str">
        <f t="shared" si="2"/>
        <v>0,275 ± 0,053</v>
      </c>
      <c r="K13" s="23" t="str">
        <f t="shared" si="3"/>
        <v>27,439 ± 5,256</v>
      </c>
      <c r="N13" s="24" t="str">
        <f t="shared" si="5"/>
        <v>1 ± 0</v>
      </c>
      <c r="O13" s="24" t="str">
        <f t="shared" si="6"/>
        <v>100 ± 0</v>
      </c>
    </row>
    <row r="14" spans="1:24" x14ac:dyDescent="0.3">
      <c r="A14" s="99">
        <f t="shared" si="4"/>
        <v>12</v>
      </c>
      <c r="B14" s="70">
        <v>-1</v>
      </c>
      <c r="C14" s="21">
        <v>-1</v>
      </c>
      <c r="D14" s="22">
        <v>-1</v>
      </c>
      <c r="E14" s="22">
        <v>-1</v>
      </c>
      <c r="F14" s="22" t="str">
        <f t="shared" si="0"/>
        <v>0 ± 0</v>
      </c>
      <c r="G14" s="22" t="str">
        <f t="shared" si="1"/>
        <v>0 ± 0</v>
      </c>
      <c r="H14" s="23">
        <v>-1</v>
      </c>
      <c r="I14" s="23">
        <v>-1</v>
      </c>
      <c r="J14" s="23" t="str">
        <f t="shared" si="2"/>
        <v>0 ± 0</v>
      </c>
      <c r="K14" s="23" t="str">
        <f t="shared" si="3"/>
        <v>0 ± 0</v>
      </c>
      <c r="N14" s="24" t="str">
        <f t="shared" si="5"/>
        <v>1 ± 1</v>
      </c>
      <c r="O14" s="24" t="str">
        <f t="shared" si="6"/>
        <v>-100 ± -100</v>
      </c>
    </row>
    <row r="15" spans="1:24" x14ac:dyDescent="0.3">
      <c r="A15" s="99">
        <f t="shared" si="4"/>
        <v>13</v>
      </c>
      <c r="B15" s="70">
        <v>-1</v>
      </c>
      <c r="C15" s="21">
        <v>-1</v>
      </c>
      <c r="D15" s="22">
        <v>-1</v>
      </c>
      <c r="E15" s="22">
        <v>-1</v>
      </c>
      <c r="F15" s="22" t="str">
        <f t="shared" si="0"/>
        <v>0 ± 0</v>
      </c>
      <c r="G15" s="22" t="str">
        <f t="shared" si="1"/>
        <v>0 ± 0</v>
      </c>
      <c r="H15" s="23">
        <v>-1</v>
      </c>
      <c r="I15" s="23">
        <v>-1</v>
      </c>
      <c r="J15" s="23" t="str">
        <f t="shared" si="2"/>
        <v>0 ± 0</v>
      </c>
      <c r="K15" s="23" t="str">
        <f t="shared" si="3"/>
        <v>0 ± 0</v>
      </c>
      <c r="N15" s="24" t="str">
        <f t="shared" si="5"/>
        <v>1 ± 1</v>
      </c>
      <c r="O15" s="24" t="str">
        <f t="shared" si="6"/>
        <v>-100 ± -100</v>
      </c>
    </row>
    <row r="16" spans="1:24" x14ac:dyDescent="0.3">
      <c r="A16" s="99">
        <f t="shared" si="4"/>
        <v>14</v>
      </c>
      <c r="B16" s="70">
        <v>-1</v>
      </c>
      <c r="C16" s="21">
        <v>-1</v>
      </c>
      <c r="D16" s="22">
        <v>-1</v>
      </c>
      <c r="E16" s="22">
        <v>-1</v>
      </c>
      <c r="F16" s="22" t="str">
        <f t="shared" si="0"/>
        <v>0 ± 0</v>
      </c>
      <c r="G16" s="22" t="str">
        <f t="shared" si="1"/>
        <v>0 ± 0</v>
      </c>
      <c r="H16" s="23">
        <v>-1</v>
      </c>
      <c r="I16" s="23">
        <v>-1</v>
      </c>
      <c r="J16" s="23" t="str">
        <f t="shared" si="2"/>
        <v>0 ± 0</v>
      </c>
      <c r="K16" s="23" t="str">
        <f t="shared" si="3"/>
        <v>0 ± 0</v>
      </c>
      <c r="N16" s="24" t="str">
        <f t="shared" si="5"/>
        <v>1 ± 1</v>
      </c>
      <c r="O16" s="24" t="str">
        <f t="shared" si="6"/>
        <v>-100 ± -100</v>
      </c>
    </row>
    <row r="17" spans="1:15" x14ac:dyDescent="0.3">
      <c r="A17" s="99">
        <f t="shared" si="4"/>
        <v>15</v>
      </c>
      <c r="B17" s="70">
        <v>-1</v>
      </c>
      <c r="C17" s="21">
        <v>-1</v>
      </c>
      <c r="D17" s="22">
        <v>-1</v>
      </c>
      <c r="E17" s="22">
        <v>-1</v>
      </c>
      <c r="F17" s="22" t="str">
        <f t="shared" si="0"/>
        <v>0 ± 0</v>
      </c>
      <c r="G17" s="22" t="str">
        <f t="shared" si="1"/>
        <v>0 ± 0</v>
      </c>
      <c r="H17" s="23">
        <v>-1</v>
      </c>
      <c r="I17" s="23">
        <v>-1</v>
      </c>
      <c r="J17" s="23" t="str">
        <f t="shared" si="2"/>
        <v>0 ± 0</v>
      </c>
      <c r="K17" s="23" t="str">
        <f t="shared" si="3"/>
        <v>0 ± 0</v>
      </c>
      <c r="N17" s="24" t="str">
        <f t="shared" si="5"/>
        <v>1 ± 1</v>
      </c>
      <c r="O17" s="24" t="str">
        <f t="shared" si="6"/>
        <v>-100 ± -100</v>
      </c>
    </row>
    <row r="18" spans="1:15" x14ac:dyDescent="0.3">
      <c r="A18" s="100">
        <f t="shared" si="4"/>
        <v>16</v>
      </c>
      <c r="B18" s="70">
        <f>[1]Кг_s12!D17</f>
        <v>0.93407780964224163</v>
      </c>
      <c r="C18" s="21">
        <f>[1]Кг_s12!I17</f>
        <v>0.27029839581291781</v>
      </c>
      <c r="D18" s="22">
        <f>[2]Кг_s12!B17</f>
        <v>0.5</v>
      </c>
      <c r="E18" s="22">
        <f>[2]Кг_s12!$C$2</f>
        <v>1E-3</v>
      </c>
      <c r="F18" s="22" t="str">
        <f t="shared" si="0"/>
        <v>0,435 ± 0,27</v>
      </c>
      <c r="G18" s="22" t="str">
        <f t="shared" si="1"/>
        <v>46,472 ± 28,831</v>
      </c>
      <c r="H18" s="23">
        <f>[3]Кг_s12!B17</f>
        <v>0.50026005499194071</v>
      </c>
      <c r="I18" s="23">
        <f>[3]Кг_s12!H17</f>
        <v>0.49807666950955204</v>
      </c>
      <c r="J18" s="23" t="str">
        <f t="shared" si="2"/>
        <v>0,434 ± 0,228</v>
      </c>
      <c r="K18" s="23" t="str">
        <f t="shared" si="3"/>
        <v>46,444 ± 24,386</v>
      </c>
      <c r="N18" s="24" t="str">
        <f t="shared" si="5"/>
        <v>0,935 ± 0,271</v>
      </c>
      <c r="O18" s="24" t="str">
        <f t="shared" si="6"/>
        <v>100 ± 28,938</v>
      </c>
    </row>
    <row r="19" spans="1:15" x14ac:dyDescent="0.3">
      <c r="A19" s="99">
        <f t="shared" si="4"/>
        <v>17</v>
      </c>
      <c r="B19" s="70">
        <v>-1</v>
      </c>
      <c r="C19" s="21">
        <v>-1</v>
      </c>
      <c r="D19" s="22">
        <v>-1</v>
      </c>
      <c r="E19" s="22">
        <v>-1</v>
      </c>
      <c r="F19" s="22" t="str">
        <f t="shared" si="0"/>
        <v>0 ± 0</v>
      </c>
      <c r="G19" s="22" t="str">
        <f t="shared" si="1"/>
        <v>0 ± 0</v>
      </c>
      <c r="H19" s="23">
        <v>-1</v>
      </c>
      <c r="I19" s="23">
        <v>-1</v>
      </c>
      <c r="J19" s="23" t="str">
        <f t="shared" si="2"/>
        <v>0 ± 0</v>
      </c>
      <c r="K19" s="23" t="str">
        <f t="shared" si="3"/>
        <v>0 ± 0</v>
      </c>
      <c r="N19" s="24" t="str">
        <f t="shared" si="5"/>
        <v>1 ± 1</v>
      </c>
      <c r="O19" s="24" t="str">
        <f t="shared" si="6"/>
        <v>-100 ± -100</v>
      </c>
    </row>
    <row r="20" spans="1:15" x14ac:dyDescent="0.3">
      <c r="A20" s="99">
        <f t="shared" si="4"/>
        <v>18</v>
      </c>
      <c r="B20" s="70">
        <v>-1</v>
      </c>
      <c r="C20" s="21">
        <v>-1</v>
      </c>
      <c r="D20" s="22">
        <v>-1</v>
      </c>
      <c r="E20" s="22">
        <v>-1</v>
      </c>
      <c r="F20" s="22" t="str">
        <f t="shared" si="0"/>
        <v>0 ± 0</v>
      </c>
      <c r="G20" s="22" t="str">
        <f t="shared" si="1"/>
        <v>0 ± 0</v>
      </c>
      <c r="H20" s="23">
        <v>-1</v>
      </c>
      <c r="I20" s="23">
        <v>-1</v>
      </c>
      <c r="J20" s="23" t="str">
        <f t="shared" si="2"/>
        <v>0 ± 0</v>
      </c>
      <c r="K20" s="23" t="str">
        <f t="shared" si="3"/>
        <v>0 ± 0</v>
      </c>
      <c r="N20" s="24" t="str">
        <f t="shared" si="5"/>
        <v>1 ± 1</v>
      </c>
      <c r="O20" s="24" t="str">
        <f t="shared" si="6"/>
        <v>-100 ± -100</v>
      </c>
    </row>
    <row r="21" spans="1:15" x14ac:dyDescent="0.3">
      <c r="A21" s="99">
        <f t="shared" si="4"/>
        <v>19</v>
      </c>
      <c r="B21" s="70">
        <v>-1</v>
      </c>
      <c r="C21" s="21">
        <v>-1</v>
      </c>
      <c r="D21" s="22">
        <v>-1</v>
      </c>
      <c r="E21" s="22">
        <v>-1</v>
      </c>
      <c r="F21" s="22" t="str">
        <f t="shared" si="0"/>
        <v>0 ± 0</v>
      </c>
      <c r="G21" s="22" t="str">
        <f t="shared" si="1"/>
        <v>0 ± 0</v>
      </c>
      <c r="H21" s="23">
        <v>-1</v>
      </c>
      <c r="I21" s="23">
        <v>-1</v>
      </c>
      <c r="J21" s="23" t="str">
        <f t="shared" si="2"/>
        <v>0 ± 0</v>
      </c>
      <c r="K21" s="23" t="str">
        <f t="shared" si="3"/>
        <v>0 ± 0</v>
      </c>
      <c r="N21" s="24" t="str">
        <f t="shared" si="5"/>
        <v>1 ± 1</v>
      </c>
      <c r="O21" s="24" t="str">
        <f t="shared" si="6"/>
        <v>-100 ± -100</v>
      </c>
    </row>
    <row r="22" spans="1:15" x14ac:dyDescent="0.3">
      <c r="A22" s="99">
        <f t="shared" si="4"/>
        <v>20</v>
      </c>
      <c r="B22" s="70">
        <v>-1</v>
      </c>
      <c r="C22" s="21">
        <v>-1</v>
      </c>
      <c r="D22" s="22">
        <v>-1</v>
      </c>
      <c r="E22" s="22">
        <v>-1</v>
      </c>
      <c r="F22" s="22" t="str">
        <f t="shared" si="0"/>
        <v>0 ± 0</v>
      </c>
      <c r="G22" s="22" t="str">
        <f t="shared" si="1"/>
        <v>0 ± 0</v>
      </c>
      <c r="H22" s="23">
        <v>-1</v>
      </c>
      <c r="I22" s="23">
        <v>-1</v>
      </c>
      <c r="J22" s="23" t="str">
        <f t="shared" si="2"/>
        <v>0 ± 0</v>
      </c>
      <c r="K22" s="23" t="str">
        <f t="shared" si="3"/>
        <v>0 ± 0</v>
      </c>
      <c r="N22" s="24" t="str">
        <f t="shared" si="5"/>
        <v>1 ± 1</v>
      </c>
      <c r="O22" s="24" t="str">
        <f t="shared" si="6"/>
        <v>-100 ± -100</v>
      </c>
    </row>
    <row r="23" spans="1:15" x14ac:dyDescent="0.3">
      <c r="A23" s="100">
        <f t="shared" si="4"/>
        <v>21</v>
      </c>
      <c r="B23" s="70">
        <f>[1]Кг_s12!D22</f>
        <v>1</v>
      </c>
      <c r="C23" s="21">
        <f>[1]Кг_s12!I22</f>
        <v>0</v>
      </c>
      <c r="D23" s="22">
        <f>[2]Кг_s12!B22</f>
        <v>1</v>
      </c>
      <c r="E23" s="22">
        <f>[2]Кг_s12!$C$2</f>
        <v>1E-3</v>
      </c>
      <c r="F23" s="22" t="str">
        <f t="shared" si="0"/>
        <v>0 ± 0,001</v>
      </c>
      <c r="G23" s="22" t="str">
        <f t="shared" si="1"/>
        <v>0 ± 0,1</v>
      </c>
      <c r="H23" s="23">
        <f>[3]Кг_s12!B22</f>
        <v>0.50021936433290148</v>
      </c>
      <c r="I23" s="23">
        <f>[3]Кг_s12!H22</f>
        <v>0.49837742823417275</v>
      </c>
      <c r="J23" s="23" t="str">
        <f t="shared" si="2"/>
        <v>0,5 ± 0,499</v>
      </c>
      <c r="K23" s="23" t="str">
        <f t="shared" si="3"/>
        <v>49,979 ± 49,838</v>
      </c>
      <c r="N23" s="24" t="str">
        <f t="shared" si="5"/>
        <v>1 ± 0</v>
      </c>
      <c r="O23" s="24" t="str">
        <f t="shared" si="6"/>
        <v>100 ± 0</v>
      </c>
    </row>
    <row r="24" spans="1:15" x14ac:dyDescent="0.3">
      <c r="A24" s="67">
        <f t="shared" si="4"/>
        <v>22</v>
      </c>
      <c r="B24" s="70">
        <v>-1</v>
      </c>
      <c r="C24" s="21">
        <v>-1</v>
      </c>
      <c r="D24" s="22">
        <v>-1</v>
      </c>
      <c r="E24" s="22">
        <v>-1</v>
      </c>
      <c r="F24" s="22" t="str">
        <f t="shared" si="0"/>
        <v>0 ± 0</v>
      </c>
      <c r="G24" s="22" t="str">
        <f t="shared" si="1"/>
        <v>0 ± 0</v>
      </c>
      <c r="H24" s="23">
        <v>-1</v>
      </c>
      <c r="I24" s="23">
        <v>-1</v>
      </c>
      <c r="J24" s="23" t="str">
        <f t="shared" si="2"/>
        <v>0 ± 0</v>
      </c>
      <c r="K24" s="23" t="str">
        <f t="shared" si="3"/>
        <v>0 ± 0</v>
      </c>
      <c r="N24" s="24" t="str">
        <f t="shared" si="5"/>
        <v>1 ± 1</v>
      </c>
      <c r="O24" s="24" t="str">
        <f t="shared" si="6"/>
        <v>-100 ± -100</v>
      </c>
    </row>
    <row r="25" spans="1:15" x14ac:dyDescent="0.3">
      <c r="A25" s="67">
        <f t="shared" si="4"/>
        <v>23</v>
      </c>
      <c r="B25" s="70">
        <v>-1</v>
      </c>
      <c r="C25" s="21">
        <v>-1</v>
      </c>
      <c r="D25" s="22">
        <v>-1</v>
      </c>
      <c r="E25" s="22">
        <v>-1</v>
      </c>
      <c r="F25" s="22" t="str">
        <f t="shared" si="0"/>
        <v>0 ± 0</v>
      </c>
      <c r="G25" s="22" t="str">
        <f t="shared" si="1"/>
        <v>0 ± 0</v>
      </c>
      <c r="H25" s="23">
        <v>-1</v>
      </c>
      <c r="I25" s="23">
        <v>-1</v>
      </c>
      <c r="J25" s="23" t="str">
        <f t="shared" si="2"/>
        <v>0 ± 0</v>
      </c>
      <c r="K25" s="23" t="str">
        <f t="shared" si="3"/>
        <v>0 ± 0</v>
      </c>
      <c r="N25" s="24" t="str">
        <f t="shared" si="5"/>
        <v>1 ± 1</v>
      </c>
      <c r="O25" s="24" t="str">
        <f t="shared" si="6"/>
        <v>-100 ± -100</v>
      </c>
    </row>
    <row r="26" spans="1:15" x14ac:dyDescent="0.3">
      <c r="A26" s="67">
        <f t="shared" si="4"/>
        <v>24</v>
      </c>
      <c r="B26" s="70">
        <v>-1</v>
      </c>
      <c r="C26" s="21">
        <v>-1</v>
      </c>
      <c r="D26" s="22">
        <v>-1</v>
      </c>
      <c r="E26" s="22">
        <v>-1</v>
      </c>
      <c r="F26" s="22" t="str">
        <f t="shared" si="0"/>
        <v>0 ± 0</v>
      </c>
      <c r="G26" s="22" t="str">
        <f t="shared" si="1"/>
        <v>0 ± 0</v>
      </c>
      <c r="H26" s="23">
        <v>-1</v>
      </c>
      <c r="I26" s="23">
        <v>-1</v>
      </c>
      <c r="J26" s="23" t="str">
        <f t="shared" si="2"/>
        <v>0 ± 0</v>
      </c>
      <c r="K26" s="23" t="str">
        <f t="shared" si="3"/>
        <v>0 ± 0</v>
      </c>
      <c r="N26" s="24" t="str">
        <f t="shared" si="5"/>
        <v>1 ± 1</v>
      </c>
      <c r="O26" s="24" t="str">
        <f t="shared" si="6"/>
        <v>-100 ± -100</v>
      </c>
    </row>
    <row r="27" spans="1:15" x14ac:dyDescent="0.3">
      <c r="A27" s="67">
        <f t="shared" si="4"/>
        <v>25</v>
      </c>
      <c r="B27" s="70">
        <v>-1</v>
      </c>
      <c r="C27" s="21">
        <v>-1</v>
      </c>
      <c r="D27" s="22">
        <v>-1</v>
      </c>
      <c r="E27" s="22">
        <v>-1</v>
      </c>
      <c r="F27" s="22" t="str">
        <f t="shared" si="0"/>
        <v>0 ± 0</v>
      </c>
      <c r="G27" s="22" t="str">
        <f t="shared" si="1"/>
        <v>0 ± 0</v>
      </c>
      <c r="H27" s="23">
        <v>-1</v>
      </c>
      <c r="I27" s="23">
        <v>-1</v>
      </c>
      <c r="J27" s="23" t="str">
        <f t="shared" si="2"/>
        <v>0 ± 0</v>
      </c>
      <c r="K27" s="23" t="str">
        <f t="shared" si="3"/>
        <v>0 ± 0</v>
      </c>
      <c r="N27" s="24" t="str">
        <f t="shared" si="5"/>
        <v>1 ± 1</v>
      </c>
      <c r="O27" s="24" t="str">
        <f t="shared" si="6"/>
        <v>-100 ± -100</v>
      </c>
    </row>
    <row r="28" spans="1:15" x14ac:dyDescent="0.3">
      <c r="A28" s="100">
        <f t="shared" si="4"/>
        <v>26</v>
      </c>
      <c r="B28" s="70">
        <f>[1]Кг_s12!D27</f>
        <v>1</v>
      </c>
      <c r="C28" s="21">
        <f>[1]Кг_s12!I27</f>
        <v>0</v>
      </c>
      <c r="D28" s="22">
        <f>[2]Кг_s12!B27</f>
        <v>1</v>
      </c>
      <c r="E28" s="22">
        <f>[2]Кг_s12!$C$2</f>
        <v>1E-3</v>
      </c>
      <c r="F28" s="22" t="str">
        <f t="shared" si="0"/>
        <v>0 ± 0,001</v>
      </c>
      <c r="G28" s="22" t="str">
        <f t="shared" si="1"/>
        <v>0 ± 0,1</v>
      </c>
      <c r="H28" s="23">
        <f>[3]Кг_s12!B27</f>
        <v>0.50026005499194071</v>
      </c>
      <c r="I28" s="23">
        <f>[3]Кг_s12!H27</f>
        <v>0.49807666950955204</v>
      </c>
      <c r="J28" s="23" t="str">
        <f t="shared" si="2"/>
        <v>0,5 ± 0,499</v>
      </c>
      <c r="K28" s="23" t="str">
        <f t="shared" si="3"/>
        <v>49,974 ± 49,808</v>
      </c>
      <c r="N28" s="24" t="str">
        <f t="shared" si="5"/>
        <v>1 ± 0</v>
      </c>
      <c r="O28" s="24" t="str">
        <f t="shared" si="6"/>
        <v>100 ± 0</v>
      </c>
    </row>
    <row r="29" spans="1:15" x14ac:dyDescent="0.3">
      <c r="A29" s="67">
        <f t="shared" si="4"/>
        <v>27</v>
      </c>
      <c r="B29" s="70">
        <v>-1</v>
      </c>
      <c r="C29" s="21">
        <v>-1</v>
      </c>
      <c r="D29" s="22">
        <v>-1</v>
      </c>
      <c r="E29" s="22">
        <v>-1</v>
      </c>
      <c r="F29" s="22" t="str">
        <f t="shared" si="0"/>
        <v>0 ± 0</v>
      </c>
      <c r="G29" s="22" t="str">
        <f t="shared" si="1"/>
        <v>0 ± 0</v>
      </c>
      <c r="H29" s="23">
        <v>-1</v>
      </c>
      <c r="I29" s="23">
        <v>-1</v>
      </c>
      <c r="J29" s="23" t="str">
        <f t="shared" si="2"/>
        <v>0 ± 0</v>
      </c>
      <c r="K29" s="23" t="str">
        <f t="shared" si="3"/>
        <v>0 ± 0</v>
      </c>
      <c r="N29" s="24" t="str">
        <f t="shared" si="5"/>
        <v>1 ± 1</v>
      </c>
      <c r="O29" s="24" t="str">
        <f t="shared" si="6"/>
        <v>-100 ± -100</v>
      </c>
    </row>
    <row r="30" spans="1:15" x14ac:dyDescent="0.3">
      <c r="A30" s="67">
        <f t="shared" si="4"/>
        <v>28</v>
      </c>
      <c r="B30" s="70">
        <v>-1</v>
      </c>
      <c r="C30" s="21">
        <v>-1</v>
      </c>
      <c r="D30" s="22">
        <v>-1</v>
      </c>
      <c r="E30" s="22">
        <v>-1</v>
      </c>
      <c r="F30" s="22" t="str">
        <f t="shared" si="0"/>
        <v>0 ± 0</v>
      </c>
      <c r="G30" s="22" t="str">
        <f t="shared" si="1"/>
        <v>0 ± 0</v>
      </c>
      <c r="H30" s="23">
        <v>-1</v>
      </c>
      <c r="I30" s="23">
        <v>-1</v>
      </c>
      <c r="J30" s="23" t="str">
        <f t="shared" si="2"/>
        <v>0 ± 0</v>
      </c>
      <c r="K30" s="23" t="str">
        <f t="shared" si="3"/>
        <v>0 ± 0</v>
      </c>
      <c r="N30" s="24" t="str">
        <f t="shared" si="5"/>
        <v>1 ± 1</v>
      </c>
      <c r="O30" s="24" t="str">
        <f t="shared" si="6"/>
        <v>-100 ± -100</v>
      </c>
    </row>
    <row r="31" spans="1:15" x14ac:dyDescent="0.3">
      <c r="A31" s="67">
        <f t="shared" si="4"/>
        <v>29</v>
      </c>
      <c r="B31" s="70">
        <v>-1</v>
      </c>
      <c r="C31" s="21">
        <v>-1</v>
      </c>
      <c r="D31" s="22">
        <v>-1</v>
      </c>
      <c r="E31" s="22">
        <v>-1</v>
      </c>
      <c r="F31" s="22" t="str">
        <f t="shared" si="0"/>
        <v>0 ± 0</v>
      </c>
      <c r="G31" s="22" t="str">
        <f t="shared" si="1"/>
        <v>0 ± 0</v>
      </c>
      <c r="H31" s="23">
        <v>-1</v>
      </c>
      <c r="I31" s="23">
        <v>-1</v>
      </c>
      <c r="J31" s="23" t="str">
        <f t="shared" si="2"/>
        <v>0 ± 0</v>
      </c>
      <c r="K31" s="23" t="str">
        <f t="shared" si="3"/>
        <v>0 ± 0</v>
      </c>
      <c r="N31" s="24" t="str">
        <f t="shared" si="5"/>
        <v>1 ± 1</v>
      </c>
      <c r="O31" s="24" t="str">
        <f t="shared" si="6"/>
        <v>-100 ± -100</v>
      </c>
    </row>
    <row r="32" spans="1:15" x14ac:dyDescent="0.3">
      <c r="A32" s="67">
        <f t="shared" si="4"/>
        <v>30</v>
      </c>
      <c r="B32" s="70">
        <v>-1</v>
      </c>
      <c r="C32" s="21">
        <v>-1</v>
      </c>
      <c r="D32" s="22">
        <v>-1</v>
      </c>
      <c r="E32" s="22">
        <v>-1</v>
      </c>
      <c r="F32" s="22" t="str">
        <f t="shared" si="0"/>
        <v>0 ± 0</v>
      </c>
      <c r="G32" s="22" t="str">
        <f t="shared" si="1"/>
        <v>0 ± 0</v>
      </c>
      <c r="H32" s="23">
        <v>-1</v>
      </c>
      <c r="I32" s="23">
        <v>-1</v>
      </c>
      <c r="J32" s="23" t="str">
        <f t="shared" si="2"/>
        <v>0 ± 0</v>
      </c>
      <c r="K32" s="23" t="str">
        <f t="shared" si="3"/>
        <v>0 ± 0</v>
      </c>
      <c r="N32" s="24" t="str">
        <f t="shared" si="5"/>
        <v>1 ± 1</v>
      </c>
      <c r="O32" s="24" t="str">
        <f t="shared" si="6"/>
        <v>-100 ± -100</v>
      </c>
    </row>
    <row r="33" spans="1:15" x14ac:dyDescent="0.3">
      <c r="A33" s="100">
        <f t="shared" si="4"/>
        <v>31</v>
      </c>
      <c r="B33" s="70">
        <f>[1]Кг_s12!D32</f>
        <v>1</v>
      </c>
      <c r="C33" s="21">
        <f>[1]Кг_s12!I32</f>
        <v>0</v>
      </c>
      <c r="D33" s="22">
        <f>[2]Кг_s12!B32</f>
        <v>1</v>
      </c>
      <c r="E33" s="22">
        <f>[2]Кг_s12!$C$2</f>
        <v>1E-3</v>
      </c>
      <c r="F33" s="22" t="str">
        <f t="shared" si="0"/>
        <v>0 ± 0,001</v>
      </c>
      <c r="G33" s="22" t="str">
        <f t="shared" si="1"/>
        <v>0 ± 0,1</v>
      </c>
      <c r="H33" s="23">
        <f>[3]Кг_s12!B32</f>
        <v>0.50026005499194071</v>
      </c>
      <c r="I33" s="23">
        <f>[3]Кг_s12!H32</f>
        <v>0.49807666950955204</v>
      </c>
      <c r="J33" s="23" t="str">
        <f t="shared" si="2"/>
        <v>0,5 ± 0,499</v>
      </c>
      <c r="K33" s="23" t="str">
        <f t="shared" si="3"/>
        <v>49,974 ± 49,808</v>
      </c>
      <c r="N33" s="24" t="str">
        <f t="shared" si="5"/>
        <v>1 ± 0</v>
      </c>
      <c r="O33" s="24" t="str">
        <f t="shared" si="6"/>
        <v>100 ± 0</v>
      </c>
    </row>
    <row r="34" spans="1:15" x14ac:dyDescent="0.3">
      <c r="A34" s="67">
        <f t="shared" si="4"/>
        <v>32</v>
      </c>
      <c r="B34" s="70">
        <v>-1</v>
      </c>
      <c r="C34" s="21">
        <v>-1</v>
      </c>
      <c r="D34" s="22">
        <v>-1</v>
      </c>
      <c r="E34" s="22">
        <v>-1</v>
      </c>
      <c r="F34" s="22" t="str">
        <f t="shared" si="0"/>
        <v>0 ± 0</v>
      </c>
      <c r="G34" s="22" t="str">
        <f t="shared" si="1"/>
        <v>0 ± 0</v>
      </c>
      <c r="H34" s="23">
        <v>-1</v>
      </c>
      <c r="I34" s="23">
        <v>-1</v>
      </c>
      <c r="J34" s="23" t="str">
        <f t="shared" si="2"/>
        <v>0 ± 0</v>
      </c>
      <c r="K34" s="23" t="str">
        <f t="shared" si="3"/>
        <v>0 ± 0</v>
      </c>
      <c r="N34" s="24" t="str">
        <f t="shared" si="5"/>
        <v>1 ± 1</v>
      </c>
      <c r="O34" s="24" t="str">
        <f t="shared" si="6"/>
        <v>-100 ± -100</v>
      </c>
    </row>
    <row r="35" spans="1:15" x14ac:dyDescent="0.3">
      <c r="A35" s="67">
        <f t="shared" si="4"/>
        <v>33</v>
      </c>
      <c r="B35" s="70">
        <v>-1</v>
      </c>
      <c r="C35" s="21">
        <v>-1</v>
      </c>
      <c r="D35" s="22">
        <v>-1</v>
      </c>
      <c r="E35" s="22">
        <v>-1</v>
      </c>
      <c r="F35" s="22" t="str">
        <f t="shared" si="0"/>
        <v>0 ± 0</v>
      </c>
      <c r="G35" s="22" t="str">
        <f t="shared" si="1"/>
        <v>0 ± 0</v>
      </c>
      <c r="H35" s="23">
        <v>-1</v>
      </c>
      <c r="I35" s="23">
        <v>-1</v>
      </c>
      <c r="J35" s="23" t="str">
        <f t="shared" si="2"/>
        <v>0 ± 0</v>
      </c>
      <c r="K35" s="23" t="str">
        <f t="shared" si="3"/>
        <v>0 ± 0</v>
      </c>
      <c r="N35" s="24" t="str">
        <f t="shared" si="5"/>
        <v>1 ± 1</v>
      </c>
      <c r="O35" s="24" t="str">
        <f t="shared" si="6"/>
        <v>-100 ± -100</v>
      </c>
    </row>
    <row r="36" spans="1:15" x14ac:dyDescent="0.3">
      <c r="A36" s="67">
        <f t="shared" si="4"/>
        <v>34</v>
      </c>
      <c r="B36" s="70">
        <v>-1</v>
      </c>
      <c r="C36" s="21">
        <v>-1</v>
      </c>
      <c r="D36" s="22">
        <v>-1</v>
      </c>
      <c r="E36" s="22">
        <v>-1</v>
      </c>
      <c r="F36" s="22" t="str">
        <f t="shared" si="0"/>
        <v>0 ± 0</v>
      </c>
      <c r="G36" s="22" t="str">
        <f t="shared" si="1"/>
        <v>0 ± 0</v>
      </c>
      <c r="H36" s="23">
        <v>-1</v>
      </c>
      <c r="I36" s="23">
        <v>-1</v>
      </c>
      <c r="J36" s="23" t="str">
        <f t="shared" si="2"/>
        <v>0 ± 0</v>
      </c>
      <c r="K36" s="23" t="str">
        <f t="shared" si="3"/>
        <v>0 ± 0</v>
      </c>
      <c r="N36" s="24" t="str">
        <f t="shared" si="5"/>
        <v>1 ± 1</v>
      </c>
      <c r="O36" s="24" t="str">
        <f t="shared" si="6"/>
        <v>-100 ± -100</v>
      </c>
    </row>
    <row r="37" spans="1:15" x14ac:dyDescent="0.3">
      <c r="A37" s="67">
        <f t="shared" si="4"/>
        <v>35</v>
      </c>
      <c r="B37" s="70">
        <v>-1</v>
      </c>
      <c r="C37" s="21">
        <v>-1</v>
      </c>
      <c r="D37" s="22">
        <v>-1</v>
      </c>
      <c r="E37" s="22">
        <v>-1</v>
      </c>
      <c r="F37" s="22" t="str">
        <f t="shared" si="0"/>
        <v>0 ± 0</v>
      </c>
      <c r="G37" s="22" t="str">
        <f t="shared" si="1"/>
        <v>0 ± 0</v>
      </c>
      <c r="H37" s="23">
        <v>-1</v>
      </c>
      <c r="I37" s="23">
        <v>-1</v>
      </c>
      <c r="J37" s="23" t="str">
        <f t="shared" si="2"/>
        <v>0 ± 0</v>
      </c>
      <c r="K37" s="23" t="str">
        <f t="shared" si="3"/>
        <v>0 ± 0</v>
      </c>
      <c r="N37" s="24" t="str">
        <f t="shared" si="5"/>
        <v>1 ± 1</v>
      </c>
      <c r="O37" s="24" t="str">
        <f t="shared" si="6"/>
        <v>-100 ± -100</v>
      </c>
    </row>
    <row r="38" spans="1:15" x14ac:dyDescent="0.3">
      <c r="A38" s="100">
        <f t="shared" si="4"/>
        <v>36</v>
      </c>
      <c r="B38" s="70">
        <f>[1]Кг_s12!D37</f>
        <v>1</v>
      </c>
      <c r="C38" s="21">
        <f>[1]Кг_s12!I37</f>
        <v>0</v>
      </c>
      <c r="D38" s="22">
        <f>[2]Кг_s12!B37</f>
        <v>1</v>
      </c>
      <c r="E38" s="22">
        <f>[2]Кг_s12!$C$2</f>
        <v>1E-3</v>
      </c>
      <c r="F38" s="22" t="str">
        <f t="shared" si="0"/>
        <v>0 ± 0,001</v>
      </c>
      <c r="G38" s="22" t="str">
        <f t="shared" si="1"/>
        <v>0 ± 0,1</v>
      </c>
      <c r="H38" s="23">
        <f>[3]Кг_s12!B37</f>
        <v>0.50047250847683</v>
      </c>
      <c r="I38" s="23">
        <f>[3]Кг_s12!H37</f>
        <v>0.49664678659808592</v>
      </c>
      <c r="J38" s="23" t="str">
        <f t="shared" si="2"/>
        <v>0,5 ± 0,497</v>
      </c>
      <c r="K38" s="23" t="str">
        <f t="shared" si="3"/>
        <v>49,953 ± 49,665</v>
      </c>
      <c r="N38" s="24" t="str">
        <f t="shared" si="5"/>
        <v>1 ± 0</v>
      </c>
      <c r="O38" s="24" t="str">
        <f t="shared" si="6"/>
        <v>100 ± 0</v>
      </c>
    </row>
    <row r="39" spans="1:15" x14ac:dyDescent="0.3">
      <c r="A39" s="67">
        <f t="shared" si="4"/>
        <v>37</v>
      </c>
      <c r="B39" s="70">
        <v>-1</v>
      </c>
      <c r="C39" s="21">
        <v>-1</v>
      </c>
      <c r="D39" s="22">
        <v>-1</v>
      </c>
      <c r="E39" s="22">
        <v>-1</v>
      </c>
      <c r="F39" s="22" t="str">
        <f t="shared" si="0"/>
        <v>0 ± 0</v>
      </c>
      <c r="G39" s="22" t="str">
        <f t="shared" si="1"/>
        <v>0 ± 0</v>
      </c>
      <c r="H39" s="23">
        <v>-1</v>
      </c>
      <c r="I39" s="23">
        <v>-1</v>
      </c>
      <c r="J39" s="23" t="str">
        <f t="shared" si="2"/>
        <v>0 ± 0</v>
      </c>
      <c r="K39" s="23" t="str">
        <f t="shared" si="3"/>
        <v>0 ± 0</v>
      </c>
      <c r="N39" s="24" t="str">
        <f t="shared" si="5"/>
        <v>1 ± 1</v>
      </c>
      <c r="O39" s="24" t="str">
        <f t="shared" si="6"/>
        <v>-100 ± -100</v>
      </c>
    </row>
    <row r="40" spans="1:15" x14ac:dyDescent="0.3">
      <c r="A40" s="67">
        <f t="shared" si="4"/>
        <v>38</v>
      </c>
      <c r="B40" s="70">
        <v>-1</v>
      </c>
      <c r="C40" s="21">
        <v>-1</v>
      </c>
      <c r="D40" s="22">
        <v>-1</v>
      </c>
      <c r="E40" s="22">
        <v>-1</v>
      </c>
      <c r="F40" s="22" t="str">
        <f t="shared" si="0"/>
        <v>0 ± 0</v>
      </c>
      <c r="G40" s="22" t="str">
        <f t="shared" si="1"/>
        <v>0 ± 0</v>
      </c>
      <c r="H40" s="23">
        <v>-1</v>
      </c>
      <c r="I40" s="23">
        <v>-1</v>
      </c>
      <c r="J40" s="23" t="str">
        <f t="shared" si="2"/>
        <v>0 ± 0</v>
      </c>
      <c r="K40" s="23" t="str">
        <f t="shared" si="3"/>
        <v>0 ± 0</v>
      </c>
      <c r="N40" s="24" t="str">
        <f t="shared" si="5"/>
        <v>1 ± 1</v>
      </c>
      <c r="O40" s="24" t="str">
        <f t="shared" si="6"/>
        <v>-100 ± -100</v>
      </c>
    </row>
    <row r="41" spans="1:15" x14ac:dyDescent="0.3">
      <c r="A41" s="67">
        <f t="shared" si="4"/>
        <v>39</v>
      </c>
      <c r="B41" s="70">
        <v>-1</v>
      </c>
      <c r="C41" s="21">
        <v>-1</v>
      </c>
      <c r="D41" s="22">
        <v>-1</v>
      </c>
      <c r="E41" s="22">
        <v>-1</v>
      </c>
      <c r="F41" s="22" t="str">
        <f t="shared" si="0"/>
        <v>0 ± 0</v>
      </c>
      <c r="G41" s="22" t="str">
        <f t="shared" si="1"/>
        <v>0 ± 0</v>
      </c>
      <c r="H41" s="23">
        <v>-1</v>
      </c>
      <c r="I41" s="23">
        <v>-1</v>
      </c>
      <c r="J41" s="23" t="str">
        <f t="shared" si="2"/>
        <v>0 ± 0</v>
      </c>
      <c r="K41" s="23" t="str">
        <f t="shared" si="3"/>
        <v>0 ± 0</v>
      </c>
      <c r="N41" s="24" t="str">
        <f t="shared" si="5"/>
        <v>1 ± 1</v>
      </c>
      <c r="O41" s="24" t="str">
        <f t="shared" si="6"/>
        <v>-100 ± -100</v>
      </c>
    </row>
    <row r="42" spans="1:15" x14ac:dyDescent="0.3">
      <c r="A42" s="67">
        <f t="shared" si="4"/>
        <v>40</v>
      </c>
      <c r="B42" s="70">
        <v>-1</v>
      </c>
      <c r="C42" s="21">
        <v>-1</v>
      </c>
      <c r="D42" s="22">
        <v>-1</v>
      </c>
      <c r="E42" s="22">
        <v>-1</v>
      </c>
      <c r="F42" s="22" t="str">
        <f t="shared" si="0"/>
        <v>0 ± 0</v>
      </c>
      <c r="G42" s="22" t="str">
        <f t="shared" si="1"/>
        <v>0 ± 0</v>
      </c>
      <c r="H42" s="23">
        <v>-1</v>
      </c>
      <c r="I42" s="23">
        <v>-1</v>
      </c>
      <c r="J42" s="23" t="str">
        <f t="shared" si="2"/>
        <v>0 ± 0</v>
      </c>
      <c r="K42" s="23" t="str">
        <f t="shared" si="3"/>
        <v>0 ± 0</v>
      </c>
      <c r="N42" s="24" t="str">
        <f t="shared" si="5"/>
        <v>1 ± 1</v>
      </c>
      <c r="O42" s="24" t="str">
        <f t="shared" si="6"/>
        <v>-100 ± -100</v>
      </c>
    </row>
    <row r="43" spans="1:15" x14ac:dyDescent="0.3">
      <c r="A43" s="100">
        <f t="shared" si="4"/>
        <v>41</v>
      </c>
      <c r="B43" s="70">
        <f>[1]Кг_s12!D42</f>
        <v>1</v>
      </c>
      <c r="C43" s="21">
        <f>[1]Кг_s12!I42</f>
        <v>0</v>
      </c>
      <c r="D43" s="22">
        <f>[2]Кг_s12!B42</f>
        <v>1</v>
      </c>
      <c r="E43" s="22">
        <f>[2]Кг_s12!$C$2</f>
        <v>1E-3</v>
      </c>
      <c r="F43" s="22" t="str">
        <f t="shared" si="0"/>
        <v>0 ± 0,001</v>
      </c>
      <c r="G43" s="22" t="str">
        <f t="shared" si="1"/>
        <v>0 ± 0,1</v>
      </c>
      <c r="H43" s="23">
        <f>[3]Кг_s12!B42</f>
        <v>0.72561549925484359</v>
      </c>
      <c r="I43" s="23">
        <f>[3]Кг_s12!H42</f>
        <v>5.25574104982919E-2</v>
      </c>
      <c r="J43" s="23" t="str">
        <f t="shared" si="2"/>
        <v>0,275 ± 0,053</v>
      </c>
      <c r="K43" s="23" t="str">
        <f t="shared" si="3"/>
        <v>27,439 ± 5,256</v>
      </c>
      <c r="N43" s="24" t="str">
        <f t="shared" si="5"/>
        <v>1 ± 0</v>
      </c>
      <c r="O43" s="24" t="str">
        <f t="shared" si="6"/>
        <v>100 ± 0</v>
      </c>
    </row>
    <row r="44" spans="1:15" x14ac:dyDescent="0.3">
      <c r="A44" s="99">
        <f t="shared" si="4"/>
        <v>42</v>
      </c>
      <c r="B44" s="70">
        <v>-1</v>
      </c>
      <c r="C44" s="21">
        <v>-1</v>
      </c>
      <c r="D44" s="22">
        <v>-1</v>
      </c>
      <c r="E44" s="22">
        <v>-1</v>
      </c>
      <c r="F44" s="22" t="str">
        <f t="shared" si="0"/>
        <v>0 ± 0</v>
      </c>
      <c r="G44" s="22" t="str">
        <f t="shared" si="1"/>
        <v>0 ± 0</v>
      </c>
      <c r="H44" s="23">
        <v>-1</v>
      </c>
      <c r="I44" s="23">
        <v>-1</v>
      </c>
      <c r="J44" s="23" t="str">
        <f t="shared" si="2"/>
        <v>0 ± 0</v>
      </c>
      <c r="K44" s="23" t="str">
        <f t="shared" si="3"/>
        <v>0 ± 0</v>
      </c>
      <c r="N44" s="24" t="str">
        <f t="shared" si="5"/>
        <v>1 ± 1</v>
      </c>
      <c r="O44" s="24" t="str">
        <f t="shared" si="6"/>
        <v>-100 ± -100</v>
      </c>
    </row>
    <row r="45" spans="1:15" x14ac:dyDescent="0.3">
      <c r="A45" s="99">
        <f t="shared" si="4"/>
        <v>43</v>
      </c>
      <c r="B45" s="70">
        <v>-1</v>
      </c>
      <c r="C45" s="21">
        <v>-1</v>
      </c>
      <c r="D45" s="22">
        <v>-1</v>
      </c>
      <c r="E45" s="22">
        <v>-1</v>
      </c>
      <c r="F45" s="22" t="str">
        <f t="shared" si="0"/>
        <v>0 ± 0</v>
      </c>
      <c r="G45" s="22" t="str">
        <f t="shared" si="1"/>
        <v>0 ± 0</v>
      </c>
      <c r="H45" s="23">
        <v>-1</v>
      </c>
      <c r="I45" s="23">
        <v>-1</v>
      </c>
      <c r="J45" s="23" t="str">
        <f t="shared" si="2"/>
        <v>0 ± 0</v>
      </c>
      <c r="K45" s="23" t="str">
        <f t="shared" si="3"/>
        <v>0 ± 0</v>
      </c>
      <c r="N45" s="24" t="str">
        <f t="shared" si="5"/>
        <v>1 ± 1</v>
      </c>
      <c r="O45" s="24" t="str">
        <f t="shared" si="6"/>
        <v>-100 ± -100</v>
      </c>
    </row>
    <row r="46" spans="1:15" x14ac:dyDescent="0.3">
      <c r="A46" s="99">
        <f t="shared" si="4"/>
        <v>44</v>
      </c>
      <c r="B46" s="70">
        <v>-1</v>
      </c>
      <c r="C46" s="21">
        <v>-1</v>
      </c>
      <c r="D46" s="22">
        <v>-1</v>
      </c>
      <c r="E46" s="22">
        <v>-1</v>
      </c>
      <c r="F46" s="22" t="str">
        <f t="shared" si="0"/>
        <v>0 ± 0</v>
      </c>
      <c r="G46" s="22" t="str">
        <f t="shared" si="1"/>
        <v>0 ± 0</v>
      </c>
      <c r="H46" s="23">
        <v>-1</v>
      </c>
      <c r="I46" s="23">
        <v>-1</v>
      </c>
      <c r="J46" s="23" t="str">
        <f t="shared" si="2"/>
        <v>0 ± 0</v>
      </c>
      <c r="K46" s="23" t="str">
        <f t="shared" si="3"/>
        <v>0 ± 0</v>
      </c>
      <c r="N46" s="24" t="str">
        <f t="shared" si="5"/>
        <v>1 ± 1</v>
      </c>
      <c r="O46" s="24" t="str">
        <f t="shared" si="6"/>
        <v>-100 ± -100</v>
      </c>
    </row>
    <row r="47" spans="1:15" x14ac:dyDescent="0.3">
      <c r="A47" s="99">
        <f t="shared" si="4"/>
        <v>45</v>
      </c>
      <c r="B47" s="70">
        <v>-1</v>
      </c>
      <c r="C47" s="21">
        <v>-1</v>
      </c>
      <c r="D47" s="22">
        <v>-1</v>
      </c>
      <c r="E47" s="22">
        <v>-1</v>
      </c>
      <c r="F47" s="22" t="str">
        <f t="shared" si="0"/>
        <v>0 ± 0</v>
      </c>
      <c r="G47" s="22" t="str">
        <f t="shared" si="1"/>
        <v>0 ± 0</v>
      </c>
      <c r="H47" s="23">
        <v>-1</v>
      </c>
      <c r="I47" s="23">
        <v>-1</v>
      </c>
      <c r="J47" s="23" t="str">
        <f t="shared" si="2"/>
        <v>0 ± 0</v>
      </c>
      <c r="K47" s="23" t="str">
        <f t="shared" si="3"/>
        <v>0 ± 0</v>
      </c>
      <c r="N47" s="24" t="str">
        <f t="shared" si="5"/>
        <v>1 ± 1</v>
      </c>
      <c r="O47" s="24" t="str">
        <f t="shared" si="6"/>
        <v>-100 ± -100</v>
      </c>
    </row>
    <row r="48" spans="1:15" x14ac:dyDescent="0.3">
      <c r="A48" s="100">
        <f t="shared" si="4"/>
        <v>46</v>
      </c>
      <c r="B48" s="70">
        <f>[1]Кг_s12!D47</f>
        <v>1</v>
      </c>
      <c r="C48" s="21">
        <f>[1]Кг_s12!I47</f>
        <v>0</v>
      </c>
      <c r="D48" s="22">
        <f>[2]Кг_s12!B47</f>
        <v>1</v>
      </c>
      <c r="E48" s="22">
        <f>[2]Кг_s12!$C$2</f>
        <v>1E-3</v>
      </c>
      <c r="F48" s="22" t="str">
        <f t="shared" si="0"/>
        <v>0 ± 0,001</v>
      </c>
      <c r="G48" s="22" t="str">
        <f t="shared" si="1"/>
        <v>0 ± 0,1</v>
      </c>
      <c r="H48" s="23">
        <f>[3]Кг_s12!B47</f>
        <v>0.72561549925484359</v>
      </c>
      <c r="I48" s="23">
        <f>[3]Кг_s12!H47</f>
        <v>5.25574104982919E-2</v>
      </c>
      <c r="J48" s="23" t="str">
        <f t="shared" si="2"/>
        <v>0,275 ± 0,053</v>
      </c>
      <c r="K48" s="23" t="str">
        <f t="shared" si="3"/>
        <v>27,439 ± 5,256</v>
      </c>
      <c r="N48" s="24" t="str">
        <f t="shared" si="5"/>
        <v>1 ± 0</v>
      </c>
      <c r="O48" s="24" t="str">
        <f t="shared" si="6"/>
        <v>100 ± 0</v>
      </c>
    </row>
    <row r="49" spans="1:15" x14ac:dyDescent="0.3">
      <c r="A49" s="99">
        <f t="shared" si="4"/>
        <v>47</v>
      </c>
      <c r="B49" s="70">
        <v>-1</v>
      </c>
      <c r="C49" s="21">
        <v>-1</v>
      </c>
      <c r="D49" s="22">
        <v>-1</v>
      </c>
      <c r="E49" s="22">
        <v>-1</v>
      </c>
      <c r="F49" s="22" t="str">
        <f t="shared" si="0"/>
        <v>0 ± 0</v>
      </c>
      <c r="G49" s="22" t="str">
        <f t="shared" si="1"/>
        <v>0 ± 0</v>
      </c>
      <c r="H49" s="23">
        <v>-1</v>
      </c>
      <c r="I49" s="23">
        <v>-1</v>
      </c>
      <c r="J49" s="23" t="str">
        <f t="shared" si="2"/>
        <v>0 ± 0</v>
      </c>
      <c r="K49" s="23" t="str">
        <f t="shared" si="3"/>
        <v>0 ± 0</v>
      </c>
      <c r="N49" s="24" t="str">
        <f t="shared" si="5"/>
        <v>1 ± 1</v>
      </c>
      <c r="O49" s="24" t="str">
        <f t="shared" si="6"/>
        <v>-100 ± -100</v>
      </c>
    </row>
    <row r="50" spans="1:15" x14ac:dyDescent="0.3">
      <c r="A50" s="67">
        <f t="shared" si="4"/>
        <v>48</v>
      </c>
      <c r="B50" s="70">
        <v>-1</v>
      </c>
      <c r="C50" s="21">
        <v>-1</v>
      </c>
      <c r="D50" s="22">
        <v>-1</v>
      </c>
      <c r="E50" s="22">
        <v>-1</v>
      </c>
      <c r="F50" s="22" t="str">
        <f t="shared" si="0"/>
        <v>0 ± 0</v>
      </c>
      <c r="G50" s="22" t="str">
        <f t="shared" si="1"/>
        <v>0 ± 0</v>
      </c>
      <c r="H50" s="23">
        <v>-1</v>
      </c>
      <c r="I50" s="23">
        <v>-1</v>
      </c>
      <c r="J50" s="23" t="str">
        <f t="shared" si="2"/>
        <v>0 ± 0</v>
      </c>
      <c r="K50" s="23" t="str">
        <f t="shared" si="3"/>
        <v>0 ± 0</v>
      </c>
      <c r="N50" s="24" t="str">
        <f t="shared" si="5"/>
        <v>1 ± 1</v>
      </c>
      <c r="O50" s="24" t="str">
        <f t="shared" si="6"/>
        <v>-100 ± -100</v>
      </c>
    </row>
    <row r="51" spans="1:15" x14ac:dyDescent="0.3">
      <c r="A51" s="67">
        <f t="shared" si="4"/>
        <v>49</v>
      </c>
      <c r="B51" s="70">
        <v>-1</v>
      </c>
      <c r="C51" s="21">
        <v>-1</v>
      </c>
      <c r="D51" s="22">
        <v>-1</v>
      </c>
      <c r="E51" s="22">
        <v>-1</v>
      </c>
      <c r="F51" s="22" t="str">
        <f t="shared" si="0"/>
        <v>0 ± 0</v>
      </c>
      <c r="G51" s="22" t="str">
        <f t="shared" si="1"/>
        <v>0 ± 0</v>
      </c>
      <c r="H51" s="23">
        <v>-1</v>
      </c>
      <c r="I51" s="23">
        <v>-1</v>
      </c>
      <c r="J51" s="23" t="str">
        <f t="shared" si="2"/>
        <v>0 ± 0</v>
      </c>
      <c r="K51" s="23" t="str">
        <f t="shared" si="3"/>
        <v>0 ± 0</v>
      </c>
      <c r="N51" s="24" t="str">
        <f t="shared" si="5"/>
        <v>1 ± 1</v>
      </c>
      <c r="O51" s="24" t="str">
        <f t="shared" si="6"/>
        <v>-100 ± -100</v>
      </c>
    </row>
    <row r="52" spans="1:15" x14ac:dyDescent="0.3">
      <c r="A52" s="67">
        <f t="shared" si="4"/>
        <v>50</v>
      </c>
      <c r="B52" s="70">
        <v>-1</v>
      </c>
      <c r="C52" s="21">
        <v>-1</v>
      </c>
      <c r="D52" s="22">
        <v>-1</v>
      </c>
      <c r="E52" s="22">
        <v>-1</v>
      </c>
      <c r="F52" s="22" t="str">
        <f t="shared" si="0"/>
        <v>0 ± 0</v>
      </c>
      <c r="G52" s="22" t="str">
        <f t="shared" si="1"/>
        <v>0 ± 0</v>
      </c>
      <c r="H52" s="23">
        <v>-1</v>
      </c>
      <c r="I52" s="23">
        <v>-1</v>
      </c>
      <c r="J52" s="23" t="str">
        <f t="shared" si="2"/>
        <v>0 ± 0</v>
      </c>
      <c r="K52" s="23" t="str">
        <f t="shared" si="3"/>
        <v>0 ± 0</v>
      </c>
      <c r="N52" s="24" t="str">
        <f t="shared" si="5"/>
        <v>1 ± 1</v>
      </c>
      <c r="O52" s="24" t="str">
        <f t="shared" si="6"/>
        <v>-100 ± -100</v>
      </c>
    </row>
    <row r="53" spans="1:15" x14ac:dyDescent="0.3">
      <c r="A53" s="100">
        <f t="shared" si="4"/>
        <v>51</v>
      </c>
      <c r="B53" s="70">
        <f>[1]Кг_s12!D52</f>
        <v>1</v>
      </c>
      <c r="C53" s="21">
        <f>[1]Кг_s12!I52</f>
        <v>0</v>
      </c>
      <c r="D53" s="22">
        <f>[2]Кг_s12!B52</f>
        <v>1</v>
      </c>
      <c r="E53" s="22">
        <f>[2]Кг_s12!$C$2</f>
        <v>1E-3</v>
      </c>
      <c r="F53" s="22" t="str">
        <f t="shared" si="0"/>
        <v>0 ± 0,001</v>
      </c>
      <c r="G53" s="22" t="str">
        <f t="shared" si="1"/>
        <v>0 ± 0,1</v>
      </c>
      <c r="H53" s="23">
        <f>[3]Кг_s12!B52</f>
        <v>0.72561549925484359</v>
      </c>
      <c r="I53" s="23">
        <f>[3]Кг_s12!H52</f>
        <v>5.25574104982919E-2</v>
      </c>
      <c r="J53" s="23" t="str">
        <f t="shared" si="2"/>
        <v>0,275 ± 0,053</v>
      </c>
      <c r="K53" s="23" t="str">
        <f t="shared" si="3"/>
        <v>27,439 ± 5,256</v>
      </c>
      <c r="N53" s="24" t="str">
        <f t="shared" si="5"/>
        <v>1 ± 0</v>
      </c>
      <c r="O53" s="24" t="str">
        <f t="shared" si="6"/>
        <v>100 ± 0</v>
      </c>
    </row>
    <row r="54" spans="1:15" x14ac:dyDescent="0.3">
      <c r="A54" s="100">
        <f t="shared" si="4"/>
        <v>52</v>
      </c>
      <c r="B54" s="70">
        <f>[1]Кг_s12!D53</f>
        <v>1</v>
      </c>
      <c r="C54" s="21">
        <f>[1]Кг_s12!I53</f>
        <v>0</v>
      </c>
      <c r="D54" s="22">
        <f>[2]Кг_s12!B53</f>
        <v>1</v>
      </c>
      <c r="E54" s="22">
        <f>[2]Кг_s12!$C$2</f>
        <v>1E-3</v>
      </c>
      <c r="F54" s="22" t="str">
        <f t="shared" si="0"/>
        <v>0 ± 0,001</v>
      </c>
      <c r="G54" s="22" t="str">
        <f t="shared" si="1"/>
        <v>0 ± 0,1</v>
      </c>
      <c r="H54" s="23">
        <f>[3]Кг_s12!B53</f>
        <v>0.72561549925484359</v>
      </c>
      <c r="I54" s="23">
        <f>[3]Кг_s12!H53</f>
        <v>5.25574104982919E-2</v>
      </c>
      <c r="J54" s="23" t="str">
        <f t="shared" si="2"/>
        <v>0,275 ± 0,053</v>
      </c>
      <c r="K54" s="23" t="str">
        <f t="shared" si="3"/>
        <v>27,439 ± 5,256</v>
      </c>
      <c r="N54" s="24" t="str">
        <f t="shared" si="5"/>
        <v>1 ± 0</v>
      </c>
      <c r="O54" s="24" t="str">
        <f t="shared" si="6"/>
        <v>100 ± 0</v>
      </c>
    </row>
    <row r="55" spans="1:15" x14ac:dyDescent="0.3">
      <c r="A55" s="67">
        <f t="shared" si="4"/>
        <v>53</v>
      </c>
      <c r="B55" s="70">
        <v>-1</v>
      </c>
      <c r="C55" s="21">
        <v>-1</v>
      </c>
      <c r="D55" s="22">
        <v>-1</v>
      </c>
      <c r="E55" s="22">
        <v>-1</v>
      </c>
      <c r="F55" s="22" t="str">
        <f t="shared" si="0"/>
        <v>0 ± 0</v>
      </c>
      <c r="G55" s="22" t="str">
        <f t="shared" si="1"/>
        <v>0 ± 0</v>
      </c>
      <c r="H55" s="23">
        <v>-1</v>
      </c>
      <c r="I55" s="23">
        <v>-1</v>
      </c>
      <c r="J55" s="23" t="str">
        <f t="shared" si="2"/>
        <v>0 ± 0</v>
      </c>
      <c r="K55" s="23" t="str">
        <f t="shared" si="3"/>
        <v>0 ± 0</v>
      </c>
      <c r="N55" s="24" t="str">
        <f t="shared" si="5"/>
        <v>1 ± 1</v>
      </c>
      <c r="O55" s="24" t="str">
        <f t="shared" si="6"/>
        <v>-100 ± -100</v>
      </c>
    </row>
    <row r="56" spans="1:15" x14ac:dyDescent="0.3">
      <c r="A56" s="67">
        <f t="shared" si="4"/>
        <v>54</v>
      </c>
      <c r="B56" s="70">
        <v>-1</v>
      </c>
      <c r="C56" s="21">
        <v>-1</v>
      </c>
      <c r="D56" s="22">
        <v>-1</v>
      </c>
      <c r="E56" s="22">
        <v>-1</v>
      </c>
      <c r="F56" s="22" t="str">
        <f t="shared" si="0"/>
        <v>0 ± 0</v>
      </c>
      <c r="G56" s="22" t="str">
        <f t="shared" si="1"/>
        <v>0 ± 0</v>
      </c>
      <c r="H56" s="23">
        <v>-1</v>
      </c>
      <c r="I56" s="23">
        <v>-1</v>
      </c>
      <c r="J56" s="23" t="str">
        <f t="shared" si="2"/>
        <v>0 ± 0</v>
      </c>
      <c r="K56" s="23" t="str">
        <f t="shared" si="3"/>
        <v>0 ± 0</v>
      </c>
      <c r="N56" s="24" t="str">
        <f t="shared" si="5"/>
        <v>1 ± 1</v>
      </c>
      <c r="O56" s="24" t="str">
        <f t="shared" si="6"/>
        <v>-100 ± -100</v>
      </c>
    </row>
    <row r="57" spans="1:15" x14ac:dyDescent="0.3">
      <c r="A57" s="67">
        <f t="shared" si="4"/>
        <v>55</v>
      </c>
      <c r="B57" s="70">
        <v>-1</v>
      </c>
      <c r="C57" s="21">
        <v>-1</v>
      </c>
      <c r="D57" s="22">
        <v>-1</v>
      </c>
      <c r="E57" s="22">
        <v>-1</v>
      </c>
      <c r="F57" s="22" t="str">
        <f t="shared" si="0"/>
        <v>0 ± 0</v>
      </c>
      <c r="G57" s="22" t="str">
        <f t="shared" si="1"/>
        <v>0 ± 0</v>
      </c>
      <c r="H57" s="23">
        <v>-1</v>
      </c>
      <c r="I57" s="23">
        <v>-1</v>
      </c>
      <c r="J57" s="23" t="str">
        <f t="shared" si="2"/>
        <v>0 ± 0</v>
      </c>
      <c r="K57" s="23" t="str">
        <f t="shared" si="3"/>
        <v>0 ± 0</v>
      </c>
      <c r="N57" s="24" t="str">
        <f t="shared" si="5"/>
        <v>1 ± 1</v>
      </c>
      <c r="O57" s="24" t="str">
        <f t="shared" si="6"/>
        <v>-100 ± -100</v>
      </c>
    </row>
    <row r="58" spans="1:15" x14ac:dyDescent="0.3">
      <c r="A58" s="100">
        <f t="shared" si="4"/>
        <v>56</v>
      </c>
      <c r="B58" s="70">
        <f>[1]Кг_s12!D57</f>
        <v>1</v>
      </c>
      <c r="C58" s="21">
        <f>[1]Кг_s12!I57</f>
        <v>0</v>
      </c>
      <c r="D58" s="22">
        <f>[2]Кг_s12!B57</f>
        <v>1</v>
      </c>
      <c r="E58" s="22">
        <f>[2]Кг_s12!$C$2</f>
        <v>1E-3</v>
      </c>
      <c r="F58" s="22" t="str">
        <f t="shared" si="0"/>
        <v>0 ± 0,001</v>
      </c>
      <c r="G58" s="22" t="str">
        <f t="shared" si="1"/>
        <v>0 ± 0,1</v>
      </c>
      <c r="H58" s="23">
        <f>[3]Кг_s12!B57</f>
        <v>0.72561549925484359</v>
      </c>
      <c r="I58" s="23">
        <f>[3]Кг_s12!H57</f>
        <v>5.25574104982919E-2</v>
      </c>
      <c r="J58" s="23" t="str">
        <f t="shared" si="2"/>
        <v>0,275 ± 0,053</v>
      </c>
      <c r="K58" s="23" t="str">
        <f t="shared" si="3"/>
        <v>27,439 ± 5,256</v>
      </c>
      <c r="N58" s="24" t="str">
        <f t="shared" si="5"/>
        <v>1 ± 0</v>
      </c>
      <c r="O58" s="24" t="str">
        <f t="shared" si="6"/>
        <v>100 ± 0</v>
      </c>
    </row>
    <row r="59" spans="1:15" x14ac:dyDescent="0.3">
      <c r="A59" s="100">
        <f t="shared" si="4"/>
        <v>57</v>
      </c>
      <c r="B59" s="70">
        <f>[1]Кг_s12!D58</f>
        <v>1</v>
      </c>
      <c r="C59" s="21">
        <f>[1]Кг_s12!I58</f>
        <v>0</v>
      </c>
      <c r="D59" s="22">
        <f>[2]Кг_s12!B58</f>
        <v>1</v>
      </c>
      <c r="E59" s="22">
        <f>[2]Кг_s12!$C$2</f>
        <v>1E-3</v>
      </c>
      <c r="F59" s="22" t="str">
        <f t="shared" si="0"/>
        <v>0 ± 0,001</v>
      </c>
      <c r="G59" s="22" t="str">
        <f t="shared" si="1"/>
        <v>0 ± 0,1</v>
      </c>
      <c r="H59" s="23">
        <f>[3]Кг_s12!B58</f>
        <v>0.72561549925484359</v>
      </c>
      <c r="I59" s="23">
        <f>[3]Кг_s12!H58</f>
        <v>5.25574104982919E-2</v>
      </c>
      <c r="J59" s="23" t="str">
        <f t="shared" si="2"/>
        <v>0,275 ± 0,053</v>
      </c>
      <c r="K59" s="23" t="str">
        <f t="shared" si="3"/>
        <v>27,439 ± 5,256</v>
      </c>
      <c r="N59" s="24" t="str">
        <f t="shared" si="5"/>
        <v>1 ± 0</v>
      </c>
      <c r="O59" s="24" t="str">
        <f t="shared" si="6"/>
        <v>100 ± 0</v>
      </c>
    </row>
    <row r="60" spans="1:15" x14ac:dyDescent="0.3">
      <c r="A60" s="67">
        <f t="shared" si="4"/>
        <v>58</v>
      </c>
      <c r="B60" s="70">
        <v>-1</v>
      </c>
      <c r="C60" s="21">
        <v>-1</v>
      </c>
      <c r="D60" s="22">
        <v>-1</v>
      </c>
      <c r="E60" s="22">
        <v>-1</v>
      </c>
      <c r="F60" s="22" t="str">
        <f t="shared" si="0"/>
        <v>0 ± 0</v>
      </c>
      <c r="G60" s="22" t="str">
        <f t="shared" si="1"/>
        <v>0 ± 0</v>
      </c>
      <c r="H60" s="23">
        <v>-1</v>
      </c>
      <c r="I60" s="23">
        <v>-1</v>
      </c>
      <c r="J60" s="23" t="str">
        <f t="shared" si="2"/>
        <v>0 ± 0</v>
      </c>
      <c r="K60" s="23" t="str">
        <f t="shared" si="3"/>
        <v>0 ± 0</v>
      </c>
      <c r="N60" s="24" t="str">
        <f t="shared" si="5"/>
        <v>1 ± 1</v>
      </c>
      <c r="O60" s="24" t="str">
        <f t="shared" si="6"/>
        <v>-100 ± -100</v>
      </c>
    </row>
    <row r="61" spans="1:15" x14ac:dyDescent="0.3">
      <c r="A61" s="67">
        <f t="shared" si="4"/>
        <v>59</v>
      </c>
      <c r="B61" s="70">
        <v>-1</v>
      </c>
      <c r="C61" s="21">
        <v>-1</v>
      </c>
      <c r="D61" s="22">
        <v>-1</v>
      </c>
      <c r="E61" s="22">
        <v>-1</v>
      </c>
      <c r="F61" s="22" t="str">
        <f t="shared" si="0"/>
        <v>0 ± 0</v>
      </c>
      <c r="G61" s="22" t="str">
        <f t="shared" si="1"/>
        <v>0 ± 0</v>
      </c>
      <c r="H61" s="23">
        <v>-1</v>
      </c>
      <c r="I61" s="23">
        <v>-1</v>
      </c>
      <c r="J61" s="23" t="str">
        <f t="shared" si="2"/>
        <v>0 ± 0</v>
      </c>
      <c r="K61" s="23" t="str">
        <f t="shared" si="3"/>
        <v>0 ± 0</v>
      </c>
      <c r="N61" s="24" t="str">
        <f t="shared" si="5"/>
        <v>1 ± 1</v>
      </c>
      <c r="O61" s="24" t="str">
        <f t="shared" si="6"/>
        <v>-100 ± -100</v>
      </c>
    </row>
    <row r="62" spans="1:15" x14ac:dyDescent="0.3">
      <c r="A62" s="67">
        <f t="shared" si="4"/>
        <v>60</v>
      </c>
      <c r="B62" s="70">
        <v>-1</v>
      </c>
      <c r="C62" s="21">
        <v>-1</v>
      </c>
      <c r="D62" s="22">
        <v>-1</v>
      </c>
      <c r="E62" s="22">
        <v>-1</v>
      </c>
      <c r="F62" s="22" t="str">
        <f t="shared" si="0"/>
        <v>0 ± 0</v>
      </c>
      <c r="G62" s="22" t="str">
        <f t="shared" si="1"/>
        <v>0 ± 0</v>
      </c>
      <c r="H62" s="23">
        <v>-1</v>
      </c>
      <c r="I62" s="23">
        <v>-1</v>
      </c>
      <c r="J62" s="23" t="str">
        <f t="shared" si="2"/>
        <v>0 ± 0</v>
      </c>
      <c r="K62" s="23" t="str">
        <f t="shared" si="3"/>
        <v>0 ± 0</v>
      </c>
      <c r="N62" s="24" t="str">
        <f t="shared" si="5"/>
        <v>1 ± 1</v>
      </c>
      <c r="O62" s="24" t="str">
        <f t="shared" si="6"/>
        <v>-100 ± -100</v>
      </c>
    </row>
    <row r="63" spans="1:15" x14ac:dyDescent="0.3">
      <c r="A63" s="101">
        <f t="shared" si="4"/>
        <v>61</v>
      </c>
      <c r="B63" s="70">
        <f>[1]Кг_s12!D62</f>
        <v>1</v>
      </c>
      <c r="C63" s="21">
        <f>[1]Кг_s12!I62</f>
        <v>0</v>
      </c>
      <c r="D63" s="22">
        <f>[2]Кг_s12!B62</f>
        <v>1</v>
      </c>
      <c r="E63" s="22">
        <f>[2]Кг_s12!$C$2</f>
        <v>1E-3</v>
      </c>
      <c r="F63" s="22" t="str">
        <f t="shared" si="0"/>
        <v>0 ± 0,001</v>
      </c>
      <c r="G63" s="22" t="str">
        <f t="shared" si="1"/>
        <v>0 ± 0,1</v>
      </c>
      <c r="H63" s="23">
        <f>[3]Кг_s12!B62</f>
        <v>0.50026005499194071</v>
      </c>
      <c r="I63" s="23">
        <f>[3]Кг_s12!H62</f>
        <v>0.49807666950955204</v>
      </c>
      <c r="J63" s="23" t="str">
        <f t="shared" si="2"/>
        <v>0,5 ± 0,499</v>
      </c>
      <c r="K63" s="23" t="str">
        <f t="shared" si="3"/>
        <v>49,974 ± 49,808</v>
      </c>
      <c r="N63" s="24" t="str">
        <f t="shared" si="5"/>
        <v>1 ± 0</v>
      </c>
      <c r="O63" s="24" t="str">
        <f t="shared" si="6"/>
        <v>100 ± 0</v>
      </c>
    </row>
    <row r="64" spans="1:15" x14ac:dyDescent="0.3">
      <c r="A64" s="99">
        <f t="shared" si="4"/>
        <v>62</v>
      </c>
      <c r="B64" s="70">
        <v>-1</v>
      </c>
      <c r="C64" s="21">
        <v>-1</v>
      </c>
      <c r="D64" s="22">
        <v>-1</v>
      </c>
      <c r="E64" s="22">
        <v>-1</v>
      </c>
      <c r="F64" s="22" t="str">
        <f t="shared" si="0"/>
        <v>0 ± 0</v>
      </c>
      <c r="G64" s="22" t="str">
        <f t="shared" si="1"/>
        <v>0 ± 0</v>
      </c>
      <c r="H64" s="23">
        <v>-1</v>
      </c>
      <c r="I64" s="23">
        <v>-1</v>
      </c>
      <c r="J64" s="23" t="str">
        <f t="shared" si="2"/>
        <v>0 ± 0</v>
      </c>
      <c r="K64" s="23" t="str">
        <f t="shared" si="3"/>
        <v>0 ± 0</v>
      </c>
      <c r="N64" s="24" t="str">
        <f t="shared" si="5"/>
        <v>1 ± 1</v>
      </c>
      <c r="O64" s="24" t="str">
        <f t="shared" si="6"/>
        <v>-100 ± -100</v>
      </c>
    </row>
    <row r="65" spans="1:15" x14ac:dyDescent="0.3">
      <c r="A65" s="99">
        <f t="shared" si="4"/>
        <v>63</v>
      </c>
      <c r="B65" s="70">
        <v>-1</v>
      </c>
      <c r="C65" s="21">
        <v>-1</v>
      </c>
      <c r="D65" s="22">
        <v>-1</v>
      </c>
      <c r="E65" s="22">
        <v>-1</v>
      </c>
      <c r="F65" s="22" t="str">
        <f t="shared" si="0"/>
        <v>0 ± 0</v>
      </c>
      <c r="G65" s="22" t="str">
        <f t="shared" si="1"/>
        <v>0 ± 0</v>
      </c>
      <c r="H65" s="23">
        <v>-1</v>
      </c>
      <c r="I65" s="23">
        <v>-1</v>
      </c>
      <c r="J65" s="23" t="str">
        <f t="shared" si="2"/>
        <v>0 ± 0</v>
      </c>
      <c r="K65" s="23" t="str">
        <f t="shared" si="3"/>
        <v>0 ± 0</v>
      </c>
      <c r="N65" s="24" t="str">
        <f t="shared" si="5"/>
        <v>1 ± 1</v>
      </c>
      <c r="O65" s="24" t="str">
        <f t="shared" si="6"/>
        <v>-100 ± -100</v>
      </c>
    </row>
    <row r="66" spans="1:15" x14ac:dyDescent="0.3">
      <c r="A66" s="99">
        <f t="shared" si="4"/>
        <v>64</v>
      </c>
      <c r="B66" s="70">
        <v>-1</v>
      </c>
      <c r="C66" s="21">
        <v>-1</v>
      </c>
      <c r="D66" s="22">
        <v>-1</v>
      </c>
      <c r="E66" s="22">
        <v>-1</v>
      </c>
      <c r="F66" s="22" t="str">
        <f t="shared" si="0"/>
        <v>0 ± 0</v>
      </c>
      <c r="G66" s="22" t="str">
        <f t="shared" si="1"/>
        <v>0 ± 0</v>
      </c>
      <c r="H66" s="23">
        <v>-1</v>
      </c>
      <c r="I66" s="23">
        <v>-1</v>
      </c>
      <c r="J66" s="23" t="str">
        <f t="shared" si="2"/>
        <v>0 ± 0</v>
      </c>
      <c r="K66" s="23" t="str">
        <f t="shared" si="3"/>
        <v>0 ± 0</v>
      </c>
      <c r="N66" s="24" t="str">
        <f t="shared" si="5"/>
        <v>1 ± 1</v>
      </c>
      <c r="O66" s="24" t="str">
        <f t="shared" si="6"/>
        <v>-100 ± -100</v>
      </c>
    </row>
    <row r="67" spans="1:15" x14ac:dyDescent="0.3">
      <c r="A67" s="99">
        <f t="shared" si="4"/>
        <v>65</v>
      </c>
      <c r="B67" s="70">
        <v>-1</v>
      </c>
      <c r="C67" s="21">
        <v>-1</v>
      </c>
      <c r="D67" s="22">
        <v>-1</v>
      </c>
      <c r="E67" s="22">
        <v>-1</v>
      </c>
      <c r="F67" s="22" t="str">
        <f t="shared" si="0"/>
        <v>0 ± 0</v>
      </c>
      <c r="G67" s="22" t="str">
        <f t="shared" si="1"/>
        <v>0 ± 0</v>
      </c>
      <c r="H67" s="23">
        <v>-1</v>
      </c>
      <c r="I67" s="23">
        <v>-1</v>
      </c>
      <c r="J67" s="23" t="str">
        <f t="shared" si="2"/>
        <v>0 ± 0</v>
      </c>
      <c r="K67" s="23" t="str">
        <f t="shared" si="3"/>
        <v>0 ± 0</v>
      </c>
      <c r="N67" s="24" t="str">
        <f t="shared" si="5"/>
        <v>1 ± 1</v>
      </c>
      <c r="O67" s="24" t="str">
        <f t="shared" si="6"/>
        <v>-100 ± -100</v>
      </c>
    </row>
    <row r="68" spans="1:15" x14ac:dyDescent="0.3">
      <c r="A68" s="100">
        <f t="shared" si="4"/>
        <v>66</v>
      </c>
      <c r="B68" s="70">
        <f>[1]Кг_s12!D67</f>
        <v>1</v>
      </c>
      <c r="C68" s="21">
        <f>[1]Кг_s12!I67</f>
        <v>0</v>
      </c>
      <c r="D68" s="22">
        <f>[2]Кг_s12!B67</f>
        <v>1</v>
      </c>
      <c r="E68" s="22">
        <f>[2]Кг_s12!$C$2</f>
        <v>1E-3</v>
      </c>
      <c r="F68" s="22" t="str">
        <f t="shared" ref="F68:F88" si="7">ROUNDUP(ABS(B68-D68),3) &amp; " ± " &amp; ROUNDUP(ABS(C68-E68),3)</f>
        <v>0 ± 0,001</v>
      </c>
      <c r="G68" s="22" t="str">
        <f t="shared" ref="G68:G88" si="8">ROUNDUP(ABS(B68-D68)/B68*100,3) &amp; " ± " &amp; ROUNDUP(ABS(C68-E68)/B68*100,3)</f>
        <v>0 ± 0,1</v>
      </c>
      <c r="H68" s="23">
        <f>[3]Кг_s12!B67</f>
        <v>0.50014845686696907</v>
      </c>
      <c r="I68" s="23">
        <f>[3]Кг_s12!H67</f>
        <v>0.49890169305317178</v>
      </c>
      <c r="J68" s="23" t="str">
        <f t="shared" ref="J68:J88" si="9">ROUNDUP(ABS(B68-H68),3) &amp; " ± " &amp; ROUNDUP(ABS(C68-I68),3)</f>
        <v>0,5 ± 0,499</v>
      </c>
      <c r="K68" s="23" t="str">
        <f t="shared" ref="K68:K88" si="10">ROUNDUP(ABS(B68-H68)/B68*100,3) &amp; " ± " &amp; ROUNDUP(ABS(C68-I68)/B68*100,3)</f>
        <v>49,986 ± 49,891</v>
      </c>
      <c r="N68" s="24" t="str">
        <f t="shared" si="5"/>
        <v>1 ± 0</v>
      </c>
      <c r="O68" s="24" t="str">
        <f t="shared" si="6"/>
        <v>100 ± 0</v>
      </c>
    </row>
    <row r="69" spans="1:15" x14ac:dyDescent="0.3">
      <c r="A69" s="99">
        <f t="shared" ref="A69:A78" si="11">A68+1</f>
        <v>67</v>
      </c>
      <c r="B69" s="70">
        <v>-1</v>
      </c>
      <c r="C69" s="21">
        <v>-1</v>
      </c>
      <c r="D69" s="22">
        <v>-1</v>
      </c>
      <c r="E69" s="22">
        <v>-1</v>
      </c>
      <c r="F69" s="22" t="str">
        <f t="shared" si="7"/>
        <v>0 ± 0</v>
      </c>
      <c r="G69" s="22" t="str">
        <f t="shared" si="8"/>
        <v>0 ± 0</v>
      </c>
      <c r="H69" s="23">
        <v>-1</v>
      </c>
      <c r="I69" s="23">
        <v>-1</v>
      </c>
      <c r="J69" s="23" t="str">
        <f t="shared" si="9"/>
        <v>0 ± 0</v>
      </c>
      <c r="K69" s="23" t="str">
        <f t="shared" si="10"/>
        <v>0 ± 0</v>
      </c>
      <c r="N69" s="24" t="str">
        <f t="shared" ref="N69:N88" si="12">ROUNDUP(ABS(B69-L69),3) &amp; " ± " &amp; ROUNDUP(ABS(C69-M69),3)</f>
        <v>1 ± 1</v>
      </c>
      <c r="O69" s="24" t="str">
        <f t="shared" ref="O69:O88" si="13">ROUNDUP(ABS(B69-L69)/B69*100,3) &amp; " ± " &amp; ROUNDUP(ABS(C69-M69)/B69*100,3)</f>
        <v>-100 ± -100</v>
      </c>
    </row>
    <row r="70" spans="1:15" x14ac:dyDescent="0.3">
      <c r="A70" s="99">
        <f t="shared" si="11"/>
        <v>68</v>
      </c>
      <c r="B70" s="70">
        <v>-1</v>
      </c>
      <c r="C70" s="21">
        <v>-1</v>
      </c>
      <c r="D70" s="22">
        <v>-1</v>
      </c>
      <c r="E70" s="22">
        <v>-1</v>
      </c>
      <c r="F70" s="22" t="str">
        <f t="shared" si="7"/>
        <v>0 ± 0</v>
      </c>
      <c r="G70" s="22" t="str">
        <f t="shared" si="8"/>
        <v>0 ± 0</v>
      </c>
      <c r="H70" s="23">
        <v>-1</v>
      </c>
      <c r="I70" s="23">
        <v>-1</v>
      </c>
      <c r="J70" s="23" t="str">
        <f t="shared" si="9"/>
        <v>0 ± 0</v>
      </c>
      <c r="K70" s="23" t="str">
        <f t="shared" si="10"/>
        <v>0 ± 0</v>
      </c>
      <c r="N70" s="24" t="str">
        <f t="shared" si="12"/>
        <v>1 ± 1</v>
      </c>
      <c r="O70" s="24" t="str">
        <f t="shared" si="13"/>
        <v>-100 ± -100</v>
      </c>
    </row>
    <row r="71" spans="1:15" x14ac:dyDescent="0.3">
      <c r="A71" s="99">
        <f t="shared" si="11"/>
        <v>69</v>
      </c>
      <c r="B71" s="70">
        <v>-1</v>
      </c>
      <c r="C71" s="21">
        <v>-1</v>
      </c>
      <c r="D71" s="22">
        <v>-1</v>
      </c>
      <c r="E71" s="22">
        <v>-1</v>
      </c>
      <c r="F71" s="22" t="str">
        <f t="shared" si="7"/>
        <v>0 ± 0</v>
      </c>
      <c r="G71" s="22" t="str">
        <f t="shared" si="8"/>
        <v>0 ± 0</v>
      </c>
      <c r="H71" s="23">
        <v>-1</v>
      </c>
      <c r="I71" s="23">
        <v>-1</v>
      </c>
      <c r="J71" s="23" t="str">
        <f t="shared" si="9"/>
        <v>0 ± 0</v>
      </c>
      <c r="K71" s="23" t="str">
        <f t="shared" si="10"/>
        <v>0 ± 0</v>
      </c>
      <c r="N71" s="24" t="str">
        <f t="shared" si="12"/>
        <v>1 ± 1</v>
      </c>
      <c r="O71" s="24" t="str">
        <f t="shared" si="13"/>
        <v>-100 ± -100</v>
      </c>
    </row>
    <row r="72" spans="1:15" x14ac:dyDescent="0.3">
      <c r="A72" s="99">
        <f t="shared" si="11"/>
        <v>70</v>
      </c>
      <c r="B72" s="70">
        <v>-1</v>
      </c>
      <c r="C72" s="21">
        <v>-1</v>
      </c>
      <c r="D72" s="22">
        <v>-1</v>
      </c>
      <c r="E72" s="22">
        <v>-1</v>
      </c>
      <c r="F72" s="22" t="str">
        <f t="shared" si="7"/>
        <v>0 ± 0</v>
      </c>
      <c r="G72" s="22" t="str">
        <f t="shared" si="8"/>
        <v>0 ± 0</v>
      </c>
      <c r="H72" s="23">
        <v>-1</v>
      </c>
      <c r="I72" s="23">
        <v>-1</v>
      </c>
      <c r="J72" s="23" t="str">
        <f t="shared" si="9"/>
        <v>0 ± 0</v>
      </c>
      <c r="K72" s="23" t="str">
        <f t="shared" si="10"/>
        <v>0 ± 0</v>
      </c>
      <c r="N72" s="24" t="str">
        <f t="shared" si="12"/>
        <v>1 ± 1</v>
      </c>
      <c r="O72" s="24" t="str">
        <f t="shared" si="13"/>
        <v>-100 ± -100</v>
      </c>
    </row>
    <row r="73" spans="1:15" x14ac:dyDescent="0.3">
      <c r="A73" s="100">
        <f t="shared" si="11"/>
        <v>71</v>
      </c>
      <c r="B73" s="70">
        <f>[1]Кг_s12!D72</f>
        <v>1</v>
      </c>
      <c r="C73" s="21">
        <f>[1]Кг_s12!I72</f>
        <v>0</v>
      </c>
      <c r="D73" s="22">
        <f>[2]Кг_s12!B72</f>
        <v>1</v>
      </c>
      <c r="E73" s="22">
        <f>[2]Кг_s12!$C$2</f>
        <v>1E-3</v>
      </c>
      <c r="F73" s="22" t="str">
        <f t="shared" si="7"/>
        <v>0 ± 0,001</v>
      </c>
      <c r="G73" s="22" t="str">
        <f t="shared" si="8"/>
        <v>0 ± 0,1</v>
      </c>
      <c r="H73" s="23">
        <f>[3]Кг_s12!B72</f>
        <v>0.50013224304022064</v>
      </c>
      <c r="I73" s="23">
        <f>[3]Кг_s12!H72</f>
        <v>0.49902160145822383</v>
      </c>
      <c r="J73" s="23" t="str">
        <f t="shared" si="9"/>
        <v>0,5 ± 0,5</v>
      </c>
      <c r="K73" s="23" t="str">
        <f t="shared" si="10"/>
        <v>49,987 ± 49,903</v>
      </c>
      <c r="N73" s="24" t="str">
        <f t="shared" si="12"/>
        <v>1 ± 0</v>
      </c>
      <c r="O73" s="24" t="str">
        <f t="shared" si="13"/>
        <v>100 ± 0</v>
      </c>
    </row>
    <row r="74" spans="1:15" x14ac:dyDescent="0.3">
      <c r="A74" s="99">
        <f t="shared" si="11"/>
        <v>72</v>
      </c>
      <c r="B74" s="70">
        <v>-1</v>
      </c>
      <c r="C74" s="21">
        <v>-1</v>
      </c>
      <c r="D74" s="22">
        <v>-1</v>
      </c>
      <c r="E74" s="22">
        <v>-1</v>
      </c>
      <c r="F74" s="22" t="str">
        <f t="shared" si="7"/>
        <v>0 ± 0</v>
      </c>
      <c r="G74" s="22" t="str">
        <f t="shared" si="8"/>
        <v>0 ± 0</v>
      </c>
      <c r="H74" s="23">
        <v>-1</v>
      </c>
      <c r="I74" s="23">
        <v>-1</v>
      </c>
      <c r="J74" s="23" t="str">
        <f t="shared" si="9"/>
        <v>0 ± 0</v>
      </c>
      <c r="K74" s="23" t="str">
        <f t="shared" si="10"/>
        <v>0 ± 0</v>
      </c>
      <c r="N74" s="24" t="str">
        <f t="shared" si="12"/>
        <v>1 ± 1</v>
      </c>
      <c r="O74" s="24" t="str">
        <f t="shared" si="13"/>
        <v>-100 ± -100</v>
      </c>
    </row>
    <row r="75" spans="1:15" x14ac:dyDescent="0.3">
      <c r="A75" s="99">
        <f t="shared" si="11"/>
        <v>73</v>
      </c>
      <c r="B75" s="70">
        <v>-1</v>
      </c>
      <c r="C75" s="21">
        <v>-1</v>
      </c>
      <c r="D75" s="22">
        <v>-1</v>
      </c>
      <c r="E75" s="22">
        <v>-1</v>
      </c>
      <c r="F75" s="22" t="str">
        <f t="shared" si="7"/>
        <v>0 ± 0</v>
      </c>
      <c r="G75" s="22" t="str">
        <f t="shared" si="8"/>
        <v>0 ± 0</v>
      </c>
      <c r="H75" s="23">
        <v>-1</v>
      </c>
      <c r="I75" s="23">
        <v>-1</v>
      </c>
      <c r="J75" s="23" t="str">
        <f t="shared" si="9"/>
        <v>0 ± 0</v>
      </c>
      <c r="K75" s="23" t="str">
        <f t="shared" si="10"/>
        <v>0 ± 0</v>
      </c>
      <c r="N75" s="24" t="str">
        <f t="shared" si="12"/>
        <v>1 ± 1</v>
      </c>
      <c r="O75" s="24" t="str">
        <f t="shared" si="13"/>
        <v>-100 ± -100</v>
      </c>
    </row>
    <row r="76" spans="1:15" x14ac:dyDescent="0.3">
      <c r="A76" s="99">
        <f t="shared" si="11"/>
        <v>74</v>
      </c>
      <c r="B76" s="70">
        <v>-1</v>
      </c>
      <c r="C76" s="21">
        <v>-1</v>
      </c>
      <c r="D76" s="22">
        <v>-1</v>
      </c>
      <c r="E76" s="22">
        <v>-1</v>
      </c>
      <c r="F76" s="22" t="str">
        <f t="shared" si="7"/>
        <v>0 ± 0</v>
      </c>
      <c r="G76" s="22" t="str">
        <f t="shared" si="8"/>
        <v>0 ± 0</v>
      </c>
      <c r="H76" s="23">
        <v>-1</v>
      </c>
      <c r="I76" s="23">
        <v>-1</v>
      </c>
      <c r="J76" s="23" t="str">
        <f t="shared" si="9"/>
        <v>0 ± 0</v>
      </c>
      <c r="K76" s="23" t="str">
        <f t="shared" si="10"/>
        <v>0 ± 0</v>
      </c>
      <c r="N76" s="24" t="str">
        <f t="shared" si="12"/>
        <v>1 ± 1</v>
      </c>
      <c r="O76" s="24" t="str">
        <f t="shared" si="13"/>
        <v>-100 ± -100</v>
      </c>
    </row>
    <row r="77" spans="1:15" x14ac:dyDescent="0.3">
      <c r="A77" s="99">
        <f t="shared" si="11"/>
        <v>75</v>
      </c>
      <c r="B77" s="70">
        <v>-1</v>
      </c>
      <c r="C77" s="21">
        <v>-1</v>
      </c>
      <c r="D77" s="22">
        <v>-1</v>
      </c>
      <c r="E77" s="22">
        <v>-1</v>
      </c>
      <c r="F77" s="22" t="str">
        <f t="shared" si="7"/>
        <v>0 ± 0</v>
      </c>
      <c r="G77" s="22" t="str">
        <f t="shared" si="8"/>
        <v>0 ± 0</v>
      </c>
      <c r="H77" s="23">
        <v>-1</v>
      </c>
      <c r="I77" s="23">
        <v>-1</v>
      </c>
      <c r="J77" s="23" t="str">
        <f t="shared" si="9"/>
        <v>0 ± 0</v>
      </c>
      <c r="K77" s="23" t="str">
        <f t="shared" si="10"/>
        <v>0 ± 0</v>
      </c>
      <c r="N77" s="24" t="str">
        <f t="shared" si="12"/>
        <v>1 ± 1</v>
      </c>
      <c r="O77" s="24" t="str">
        <f t="shared" si="13"/>
        <v>-100 ± -100</v>
      </c>
    </row>
    <row r="78" spans="1:15" x14ac:dyDescent="0.3">
      <c r="A78" s="100">
        <f t="shared" si="11"/>
        <v>76</v>
      </c>
      <c r="B78" s="70">
        <f>[1]Кг_s12!D77</f>
        <v>1</v>
      </c>
      <c r="C78" s="21">
        <f>[1]Кг_s12!I77</f>
        <v>0</v>
      </c>
      <c r="D78" s="22">
        <f>[2]Кг_s12!B77</f>
        <v>5.0000000000000001E-4</v>
      </c>
      <c r="E78" s="22">
        <f>[2]Кг_s12!$C$2</f>
        <v>1E-3</v>
      </c>
      <c r="F78" s="22" t="str">
        <f t="shared" si="7"/>
        <v>1 ± 0,001</v>
      </c>
      <c r="G78" s="22" t="str">
        <f t="shared" si="8"/>
        <v>99,95 ± 0,1</v>
      </c>
      <c r="H78" s="23">
        <f>[3]Кг_s12!B77</f>
        <v>0.9946677951756242</v>
      </c>
      <c r="I78" s="23">
        <f>[3]Кг_s12!H77</f>
        <v>0.99466994705689293</v>
      </c>
      <c r="J78" s="23" t="str">
        <f t="shared" si="9"/>
        <v>0,006 ± 0,995</v>
      </c>
      <c r="K78" s="23" t="str">
        <f t="shared" si="10"/>
        <v>0,534 ± 99,467</v>
      </c>
      <c r="N78" s="24" t="str">
        <f t="shared" si="12"/>
        <v>1 ± 0</v>
      </c>
      <c r="O78" s="24" t="str">
        <f t="shared" si="13"/>
        <v>100 ± 0</v>
      </c>
    </row>
    <row r="79" spans="1:15" x14ac:dyDescent="0.3">
      <c r="B79" s="70">
        <v>-1</v>
      </c>
      <c r="C79" s="21">
        <v>-1</v>
      </c>
      <c r="D79" s="22">
        <v>-1</v>
      </c>
      <c r="E79" s="22">
        <v>-1</v>
      </c>
      <c r="F79" s="22" t="str">
        <f t="shared" si="7"/>
        <v>0 ± 0</v>
      </c>
      <c r="G79" s="22" t="str">
        <f t="shared" si="8"/>
        <v>0 ± 0</v>
      </c>
      <c r="H79" s="23">
        <v>-1</v>
      </c>
      <c r="I79" s="23">
        <v>-1</v>
      </c>
      <c r="J79" s="23" t="str">
        <f t="shared" si="9"/>
        <v>0 ± 0</v>
      </c>
      <c r="K79" s="23" t="str">
        <f t="shared" si="10"/>
        <v>0 ± 0</v>
      </c>
      <c r="N79" s="24" t="str">
        <f t="shared" si="12"/>
        <v>1 ± 1</v>
      </c>
      <c r="O79" s="24" t="str">
        <f t="shared" si="13"/>
        <v>-100 ± -100</v>
      </c>
    </row>
    <row r="80" spans="1:15" x14ac:dyDescent="0.3">
      <c r="B80" s="70">
        <v>-1</v>
      </c>
      <c r="C80" s="21">
        <v>-1</v>
      </c>
      <c r="D80" s="22">
        <v>-1</v>
      </c>
      <c r="E80" s="22">
        <v>-1</v>
      </c>
      <c r="F80" s="22" t="str">
        <f t="shared" si="7"/>
        <v>0 ± 0</v>
      </c>
      <c r="G80" s="22" t="str">
        <f t="shared" si="8"/>
        <v>0 ± 0</v>
      </c>
      <c r="H80" s="23">
        <v>-1</v>
      </c>
      <c r="I80" s="23">
        <v>-1</v>
      </c>
      <c r="J80" s="23" t="str">
        <f t="shared" si="9"/>
        <v>0 ± 0</v>
      </c>
      <c r="K80" s="23" t="str">
        <f t="shared" si="10"/>
        <v>0 ± 0</v>
      </c>
      <c r="N80" s="24" t="str">
        <f t="shared" si="12"/>
        <v>1 ± 1</v>
      </c>
      <c r="O80" s="24" t="str">
        <f t="shared" si="13"/>
        <v>-100 ± -100</v>
      </c>
    </row>
    <row r="81" spans="1:15" x14ac:dyDescent="0.3">
      <c r="A81" s="100" t="s">
        <v>51</v>
      </c>
      <c r="B81" s="70">
        <f>[1]Кг_s12!D80</f>
        <v>1</v>
      </c>
      <c r="C81" s="21">
        <f>[1]Кг_s12!I80</f>
        <v>0</v>
      </c>
      <c r="D81" s="22">
        <f>[2]Кг_s12!B80</f>
        <v>1</v>
      </c>
      <c r="E81" s="22">
        <f>[2]Кг_s12!$C$2</f>
        <v>1E-3</v>
      </c>
      <c r="F81" s="22" t="str">
        <f t="shared" si="7"/>
        <v>0 ± 0,001</v>
      </c>
      <c r="G81" s="22" t="str">
        <f t="shared" si="8"/>
        <v>0 ± 0,1</v>
      </c>
      <c r="H81" s="23">
        <f>[3]Кг_s12!B80</f>
        <v>0.72561549925484359</v>
      </c>
      <c r="I81" s="23">
        <f>[3]Кг_s12!H80</f>
        <v>5.25574104982919E-2</v>
      </c>
      <c r="J81" s="23" t="str">
        <f t="shared" si="9"/>
        <v>0,275 ± 0,053</v>
      </c>
      <c r="K81" s="23" t="str">
        <f t="shared" si="10"/>
        <v>27,439 ± 5,256</v>
      </c>
      <c r="N81" s="24" t="str">
        <f t="shared" si="12"/>
        <v>1 ± 0</v>
      </c>
      <c r="O81" s="24" t="str">
        <f t="shared" si="13"/>
        <v>100 ± 0</v>
      </c>
    </row>
    <row r="82" spans="1:15" x14ac:dyDescent="0.3">
      <c r="A82" s="100" t="s">
        <v>52</v>
      </c>
      <c r="B82" s="70">
        <f>[1]Кг_s12!D81</f>
        <v>1</v>
      </c>
      <c r="C82" s="21">
        <f>[1]Кг_s12!I81</f>
        <v>0</v>
      </c>
      <c r="D82" s="22">
        <f>[2]Кг_s12!B81</f>
        <v>1</v>
      </c>
      <c r="E82" s="22">
        <f>[2]Кг_s12!$C$2</f>
        <v>1E-3</v>
      </c>
      <c r="F82" s="22" t="str">
        <f t="shared" si="7"/>
        <v>0 ± 0,001</v>
      </c>
      <c r="G82" s="22" t="str">
        <f t="shared" si="8"/>
        <v>0 ± 0,1</v>
      </c>
      <c r="H82" s="23">
        <f>[3]Кг_s12!B81</f>
        <v>0.72561549925484359</v>
      </c>
      <c r="I82" s="23">
        <f>[3]Кг_s12!H81</f>
        <v>5.25574104982919E-2</v>
      </c>
      <c r="J82" s="23" t="str">
        <f t="shared" si="9"/>
        <v>0,275 ± 0,053</v>
      </c>
      <c r="K82" s="23" t="str">
        <f t="shared" si="10"/>
        <v>27,439 ± 5,256</v>
      </c>
      <c r="N82" s="24" t="str">
        <f t="shared" si="12"/>
        <v>1 ± 0</v>
      </c>
      <c r="O82" s="24" t="str">
        <f t="shared" si="13"/>
        <v>100 ± 0</v>
      </c>
    </row>
    <row r="83" spans="1:15" x14ac:dyDescent="0.3">
      <c r="A83" s="100" t="s">
        <v>53</v>
      </c>
      <c r="B83" s="70">
        <f>[1]Кг_s12!D82</f>
        <v>0.8468451536844982</v>
      </c>
      <c r="C83" s="21">
        <f>[1]Кг_s12!I82</f>
        <v>0.13594658225371029</v>
      </c>
      <c r="D83" s="22">
        <f>[2]Кг_s12!B82</f>
        <v>0.64600000000000002</v>
      </c>
      <c r="E83" s="22">
        <f>[2]Кг_s12!$C$2</f>
        <v>1E-3</v>
      </c>
      <c r="F83" s="22" t="str">
        <f t="shared" si="7"/>
        <v>0,201 ± 0,135</v>
      </c>
      <c r="G83" s="22" t="str">
        <f t="shared" si="8"/>
        <v>23,717 ± 15,936</v>
      </c>
      <c r="H83" s="23">
        <f>[3]Кг_s12!B82</f>
        <v>0.51206048552319727</v>
      </c>
      <c r="I83" s="23">
        <f>[3]Кг_s12!H82</f>
        <v>0.39629540531256913</v>
      </c>
      <c r="J83" s="23" t="str">
        <f t="shared" si="9"/>
        <v>0,335 ± 0,261</v>
      </c>
      <c r="K83" s="23" t="str">
        <f t="shared" si="10"/>
        <v>39,534 ± 30,744</v>
      </c>
      <c r="N83" s="24" t="str">
        <f t="shared" si="12"/>
        <v>0,847 ± 0,136</v>
      </c>
      <c r="O83" s="24" t="str">
        <f t="shared" si="13"/>
        <v>100 ± 16,054</v>
      </c>
    </row>
    <row r="84" spans="1:15" x14ac:dyDescent="0.3">
      <c r="A84" s="100" t="s">
        <v>54</v>
      </c>
      <c r="B84" s="70">
        <f>[1]Кг_s12!D83</f>
        <v>0.87245034292330981</v>
      </c>
      <c r="C84" s="21">
        <f>[1]Кг_s12!I83</f>
        <v>4.2498556665950378E-2</v>
      </c>
      <c r="D84" s="22">
        <f>[2]Кг_s12!B83</f>
        <v>0.624</v>
      </c>
      <c r="E84" s="22">
        <f>[2]Кг_s12!$C$2</f>
        <v>1E-3</v>
      </c>
      <c r="F84" s="22" t="str">
        <f t="shared" si="7"/>
        <v>0,249 ± 0,042</v>
      </c>
      <c r="G84" s="22" t="str">
        <f t="shared" si="8"/>
        <v>28,478 ± 4,757</v>
      </c>
      <c r="H84" s="23">
        <f>[3]Кг_s12!B83</f>
        <v>0.39562356911263008</v>
      </c>
      <c r="I84" s="23">
        <f>[3]Кг_s12!H83</f>
        <v>0.30197061606512338</v>
      </c>
      <c r="J84" s="23" t="str">
        <f t="shared" si="9"/>
        <v>0,477 ± 0,26</v>
      </c>
      <c r="K84" s="23" t="str">
        <f t="shared" si="10"/>
        <v>54,654 ± 29,741</v>
      </c>
      <c r="N84" s="24" t="str">
        <f t="shared" si="12"/>
        <v>0,873 ± 0,043</v>
      </c>
      <c r="O84" s="24" t="str">
        <f t="shared" si="13"/>
        <v>100 ± 4,872</v>
      </c>
    </row>
    <row r="85" spans="1:15" x14ac:dyDescent="0.3">
      <c r="A85" s="100" t="s">
        <v>55</v>
      </c>
      <c r="B85" s="70">
        <f>[1]Кг_s12!D84</f>
        <v>1</v>
      </c>
      <c r="C85" s="21">
        <f>[1]Кг_s12!I84</f>
        <v>0</v>
      </c>
      <c r="D85" s="22">
        <f>[2]Кг_s12!B84</f>
        <v>1</v>
      </c>
      <c r="E85" s="22">
        <f>[2]Кг_s12!$C$2</f>
        <v>1E-3</v>
      </c>
      <c r="F85" s="22" t="str">
        <f t="shared" si="7"/>
        <v>0 ± 0,001</v>
      </c>
      <c r="G85" s="22" t="str">
        <f t="shared" si="8"/>
        <v>0 ± 0,1</v>
      </c>
      <c r="H85" s="23">
        <f>[3]Кг_s12!B84</f>
        <v>0.50022977297478433</v>
      </c>
      <c r="I85" s="23">
        <f>[3]Кг_s12!H84</f>
        <v>0.49830048785490022</v>
      </c>
      <c r="J85" s="23" t="str">
        <f t="shared" si="9"/>
        <v>0,5 ± 0,499</v>
      </c>
      <c r="K85" s="23" t="str">
        <f t="shared" si="10"/>
        <v>49,978 ± 49,831</v>
      </c>
      <c r="N85" s="24" t="str">
        <f t="shared" si="12"/>
        <v>1 ± 0</v>
      </c>
      <c r="O85" s="24" t="str">
        <f t="shared" si="13"/>
        <v>100 ± 0</v>
      </c>
    </row>
    <row r="86" spans="1:15" x14ac:dyDescent="0.3">
      <c r="A86" s="100" t="s">
        <v>56</v>
      </c>
      <c r="B86" s="70">
        <f>[1]Кг_s12!D85</f>
        <v>0.99920898270745739</v>
      </c>
      <c r="C86" s="21">
        <f>[1]Кг_s12!I85</f>
        <v>3.4663077875842223E-3</v>
      </c>
      <c r="D86" s="22">
        <f>[2]Кг_s12!B85</f>
        <v>0.66700000000000004</v>
      </c>
      <c r="E86" s="22">
        <f>[2]Кг_s12!$C$2</f>
        <v>1E-3</v>
      </c>
      <c r="F86" s="22" t="str">
        <f t="shared" si="7"/>
        <v>0,333 ± 0,003</v>
      </c>
      <c r="G86" s="22" t="str">
        <f t="shared" si="8"/>
        <v>33,248 ± 0,247</v>
      </c>
      <c r="H86" s="23">
        <f>[3]Кг_s12!B85</f>
        <v>0.16584786798361839</v>
      </c>
      <c r="I86" s="23">
        <f>[3]Кг_s12!H85</f>
        <v>0.16355224655339071</v>
      </c>
      <c r="J86" s="23" t="str">
        <f t="shared" si="9"/>
        <v>0,834 ± 0,161</v>
      </c>
      <c r="K86" s="23" t="str">
        <f t="shared" si="10"/>
        <v>83,403 ± 16,022</v>
      </c>
      <c r="N86" s="24" t="str">
        <f t="shared" si="12"/>
        <v>1 ± 0,004</v>
      </c>
      <c r="O86" s="24" t="str">
        <f t="shared" si="13"/>
        <v>100 ± 0,347</v>
      </c>
    </row>
    <row r="87" spans="1:15" x14ac:dyDescent="0.3">
      <c r="A87" s="100" t="s">
        <v>57</v>
      </c>
      <c r="B87" s="70">
        <f>[1]Кг_s12!D86</f>
        <v>0.82177843432841091</v>
      </c>
      <c r="C87" s="21">
        <f>[1]Кг_s12!I86</f>
        <v>0.11094443425691701</v>
      </c>
      <c r="D87" s="22">
        <f>[2]Кг_s12!B86</f>
        <v>0.68</v>
      </c>
      <c r="E87" s="22">
        <f>[2]Кг_s12!$C$2</f>
        <v>1E-3</v>
      </c>
      <c r="F87" s="22" t="str">
        <f t="shared" si="7"/>
        <v>0,142 ± 0,11</v>
      </c>
      <c r="G87" s="22" t="str">
        <f t="shared" si="8"/>
        <v>17,253 ± 13,379</v>
      </c>
      <c r="H87" s="23">
        <f>[3]Кг_s12!B86</f>
        <v>0.42701224842538738</v>
      </c>
      <c r="I87" s="23">
        <f>[3]Кг_s12!H86</f>
        <v>3.3401248911804224E-2</v>
      </c>
      <c r="J87" s="23" t="str">
        <f t="shared" si="9"/>
        <v>0,395 ± 0,078</v>
      </c>
      <c r="K87" s="23" t="str">
        <f t="shared" si="10"/>
        <v>48,039 ± 9,437</v>
      </c>
      <c r="N87" s="24" t="str">
        <f t="shared" si="12"/>
        <v>0,822 ± 0,111</v>
      </c>
      <c r="O87" s="24" t="str">
        <f t="shared" si="13"/>
        <v>100 ± 13,501</v>
      </c>
    </row>
    <row r="88" spans="1:15" x14ac:dyDescent="0.3">
      <c r="A88" s="100" t="s">
        <v>58</v>
      </c>
      <c r="B88" s="70">
        <f>[1]Кг_s12!D87</f>
        <v>0.62402618280146083</v>
      </c>
      <c r="C88" s="21">
        <f>[1]Кг_s12!I87</f>
        <v>0.20837802940781933</v>
      </c>
      <c r="D88" s="22">
        <f>[2]Кг_s12!B87</f>
        <v>0.68700000000000006</v>
      </c>
      <c r="E88" s="22">
        <f>[2]Кг_s12!$C$2</f>
        <v>1E-3</v>
      </c>
      <c r="F88" s="22" t="str">
        <f t="shared" si="7"/>
        <v>0,063 ± 0,208</v>
      </c>
      <c r="G88" s="22" t="str">
        <f t="shared" si="8"/>
        <v>10,092 ± 33,233</v>
      </c>
      <c r="H88" s="23">
        <f>[3]Кг_s12!B87</f>
        <v>0.33071654122214522</v>
      </c>
      <c r="I88" s="23">
        <f>[3]Кг_s12!H87</f>
        <v>4.2448894390490308E-2</v>
      </c>
      <c r="J88" s="23" t="str">
        <f t="shared" si="9"/>
        <v>0,294 ± 0,166</v>
      </c>
      <c r="K88" s="23" t="str">
        <f t="shared" si="10"/>
        <v>47,003 ± 26,591</v>
      </c>
      <c r="N88" s="24" t="str">
        <f t="shared" si="12"/>
        <v>0,625 ± 0,209</v>
      </c>
      <c r="O88" s="24" t="str">
        <f t="shared" si="13"/>
        <v>100 ± 33,393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5132A-80C4-410D-A18F-1C32BE43DD94}">
  <sheetPr codeName="Лист12"/>
  <dimension ref="A1:S88"/>
  <sheetViews>
    <sheetView workbookViewId="0">
      <pane xSplit="1" topLeftCell="B1" activePane="topRight" state="frozen"/>
      <selection pane="topRight" activeCell="G3" sqref="G3"/>
    </sheetView>
  </sheetViews>
  <sheetFormatPr defaultRowHeight="14.4" x14ac:dyDescent="0.3"/>
  <cols>
    <col min="1" max="1" width="33.21875" style="99" customWidth="1"/>
    <col min="2" max="2" width="10.5546875" style="71" customWidth="1"/>
    <col min="3" max="3" width="9.77734375" style="5" customWidth="1"/>
    <col min="4" max="4" width="10.88671875" style="1" customWidth="1"/>
    <col min="5" max="5" width="10.21875" style="1" customWidth="1"/>
    <col min="6" max="6" width="11.88671875" style="14" customWidth="1"/>
    <col min="7" max="7" width="9.21875" style="14" customWidth="1"/>
    <col min="8" max="8" width="13.5546875" style="19" customWidth="1"/>
    <col min="9" max="9" width="11.44140625" style="19" customWidth="1"/>
    <col min="10" max="10" width="18" style="96" customWidth="1"/>
    <col min="11" max="11" width="18" style="30" customWidth="1"/>
    <col min="12" max="12" width="15" style="30" customWidth="1"/>
    <col min="13" max="13" width="14.88671875" style="30" customWidth="1"/>
    <col min="14" max="14" width="18.44140625" style="30" customWidth="1"/>
    <col min="15" max="15" width="17.44140625" style="6" customWidth="1"/>
    <col min="16" max="16" width="10.5546875" style="4" customWidth="1"/>
    <col min="17" max="17" width="13.6640625" style="4" customWidth="1"/>
    <col min="18" max="18" width="14.21875" style="4" customWidth="1"/>
    <col min="19" max="19" width="15.109375" style="4" customWidth="1"/>
    <col min="20" max="16384" width="8.88671875" style="4"/>
  </cols>
  <sheetData>
    <row r="1" spans="1:19" s="2" customFormat="1" x14ac:dyDescent="0.3">
      <c r="A1" s="102" t="s">
        <v>47</v>
      </c>
      <c r="B1" s="68" t="s">
        <v>2</v>
      </c>
      <c r="C1" s="7"/>
      <c r="D1" s="9" t="s">
        <v>4</v>
      </c>
      <c r="E1" s="8"/>
      <c r="F1" s="11" t="s">
        <v>3</v>
      </c>
      <c r="G1" s="13"/>
      <c r="H1" s="16" t="s">
        <v>5</v>
      </c>
      <c r="I1" s="18"/>
      <c r="J1" s="93"/>
      <c r="K1" s="34" t="s">
        <v>2</v>
      </c>
      <c r="L1" s="34" t="s">
        <v>4</v>
      </c>
      <c r="M1" s="34" t="s">
        <v>3</v>
      </c>
      <c r="N1" s="34" t="s">
        <v>5</v>
      </c>
      <c r="O1" s="3"/>
      <c r="P1" s="2" t="s">
        <v>14</v>
      </c>
      <c r="Q1" s="2" t="s">
        <v>11</v>
      </c>
      <c r="R1" s="2" t="s">
        <v>12</v>
      </c>
      <c r="S1" s="2" t="s">
        <v>13</v>
      </c>
    </row>
    <row r="2" spans="1:19" s="25" customFormat="1" ht="15" thickBot="1" x14ac:dyDescent="0.35">
      <c r="A2" s="103"/>
      <c r="B2" s="69" t="s">
        <v>8</v>
      </c>
      <c r="C2" s="26" t="s">
        <v>9</v>
      </c>
      <c r="D2" s="27" t="s">
        <v>8</v>
      </c>
      <c r="E2" s="27" t="s">
        <v>9</v>
      </c>
      <c r="F2" s="28" t="s">
        <v>8</v>
      </c>
      <c r="G2" s="28" t="s">
        <v>9</v>
      </c>
      <c r="H2" s="29" t="s">
        <v>8</v>
      </c>
      <c r="I2" s="29" t="s">
        <v>10</v>
      </c>
      <c r="J2" s="94"/>
      <c r="K2" s="32"/>
      <c r="L2" s="32"/>
      <c r="M2" s="32"/>
      <c r="N2" s="32"/>
      <c r="O2" s="33"/>
    </row>
    <row r="3" spans="1:19" s="20" customFormat="1" x14ac:dyDescent="0.3">
      <c r="A3" s="98">
        <v>1</v>
      </c>
      <c r="B3" s="70">
        <f>[1]Время!G3</f>
        <v>155.23766666666668</v>
      </c>
      <c r="C3" s="21">
        <f>[1]Время!S3</f>
        <v>9.3975495196590479</v>
      </c>
      <c r="D3" s="22">
        <f>[2]Время!G3</f>
        <v>1.2</v>
      </c>
      <c r="E3" s="22">
        <f>[2]Время!S3</f>
        <v>0</v>
      </c>
      <c r="F3" s="23">
        <f>[3]Время!G3</f>
        <v>1</v>
      </c>
      <c r="G3" s="23">
        <f>[3]Время!S3</f>
        <v>0</v>
      </c>
      <c r="H3" s="24">
        <v>60</v>
      </c>
      <c r="I3" s="24">
        <v>2E-3</v>
      </c>
      <c r="J3" s="95"/>
      <c r="K3" s="35" cm="1">
        <f t="array" ref="K3">PointMin4(B3+C3,D3+E3,F3+G3,H3+I3,B3+C3)</f>
        <v>1</v>
      </c>
      <c r="L3" s="35" cm="1">
        <f t="array" ref="L3">PointMin4(B3+C3,D3+E3,F3+G3,H3+I3,D3+E3)</f>
        <v>3</v>
      </c>
      <c r="M3" s="35" cm="1">
        <f t="array" ref="M3">PointMin4(B3+C3,D3+E3,F3+G3,H3+I3,F3+G3)</f>
        <v>4</v>
      </c>
      <c r="N3" s="35" cm="1">
        <f t="array" ref="N3">PointMin4(B3+C3,D3+E3,F3+G3,H3+I3,H3+I3)</f>
        <v>2</v>
      </c>
      <c r="O3" s="31"/>
      <c r="P3" s="35">
        <f>SUM(K:K)</f>
        <v>14</v>
      </c>
      <c r="Q3" s="35">
        <f>SUM(L:L)</f>
        <v>9</v>
      </c>
      <c r="R3" s="35">
        <f>SUM(M:M)</f>
        <v>11</v>
      </c>
      <c r="S3" s="35">
        <f>SUM(N:N)</f>
        <v>18</v>
      </c>
    </row>
    <row r="4" spans="1:19" x14ac:dyDescent="0.3">
      <c r="A4" s="99">
        <f>A3+1</f>
        <v>2</v>
      </c>
      <c r="B4" s="70">
        <v>-1</v>
      </c>
      <c r="C4" s="21">
        <v>-1</v>
      </c>
      <c r="D4" s="22">
        <f>[2]Время!G4</f>
        <v>0</v>
      </c>
      <c r="E4" s="22">
        <f>[2]Время!S4</f>
        <v>0</v>
      </c>
      <c r="F4" s="23">
        <f>[3]Время!G4</f>
        <v>0</v>
      </c>
      <c r="G4" s="23">
        <f>[3]Время!S4</f>
        <v>0</v>
      </c>
      <c r="H4" s="19">
        <v>-1</v>
      </c>
      <c r="I4" s="19">
        <v>-1</v>
      </c>
      <c r="J4" s="95"/>
      <c r="K4" s="35" cm="1">
        <f t="array" ref="K4">PointMin4(B4+C4,D4+E4,F4+G4,H4+I4,B4+C4)</f>
        <v>3</v>
      </c>
      <c r="L4" s="35" cm="1">
        <f t="array" ref="L4">PointMin4(B4+C4,D4+E4,F4+G4,H4+I4,D4+E4)</f>
        <v>1</v>
      </c>
      <c r="M4" s="35" cm="1">
        <f t="array" ref="M4">PointMin4(B4+C4,D4+E4,F4+G4,H4+I4,F4+G4)</f>
        <v>1</v>
      </c>
      <c r="N4" s="35" cm="1">
        <f t="array" ref="N4">PointMin4(B4+C4,D4+E4,F4+G4,H4+I4,H4+I4)</f>
        <v>3</v>
      </c>
      <c r="O4" s="31"/>
    </row>
    <row r="5" spans="1:19" x14ac:dyDescent="0.3">
      <c r="A5" s="99">
        <f t="shared" ref="A5:A68" si="0">A4+1</f>
        <v>3</v>
      </c>
      <c r="B5" s="70">
        <v>-1</v>
      </c>
      <c r="C5" s="21">
        <v>-1</v>
      </c>
      <c r="D5" s="22">
        <f>[2]Время!G5</f>
        <v>0</v>
      </c>
      <c r="E5" s="22">
        <f>[2]Время!S5</f>
        <v>0</v>
      </c>
      <c r="F5" s="23">
        <f>[3]Время!G5</f>
        <v>0</v>
      </c>
      <c r="G5" s="23">
        <f>[3]Время!S5</f>
        <v>0</v>
      </c>
      <c r="H5" s="19">
        <v>-1</v>
      </c>
      <c r="I5" s="19">
        <v>-1</v>
      </c>
      <c r="J5" s="95"/>
      <c r="K5" s="35" cm="1">
        <f t="array" ref="K5">PointMin4(B5+C5,D5+E5,F5+G5,H5+I5,B5+C5)</f>
        <v>3</v>
      </c>
      <c r="L5" s="35" cm="1">
        <f t="array" ref="L5">PointMin4(B5+C5,D5+E5,F5+G5,H5+I5,D5+E5)</f>
        <v>1</v>
      </c>
      <c r="M5" s="35" cm="1">
        <f t="array" ref="M5">PointMin4(B5+C5,D5+E5,F5+G5,H5+I5,F5+G5)</f>
        <v>1</v>
      </c>
      <c r="N5" s="35" cm="1">
        <f t="array" ref="N5">PointMin4(B5+C5,D5+E5,F5+G5,H5+I5,H5+I5)</f>
        <v>3</v>
      </c>
      <c r="O5" s="31"/>
    </row>
    <row r="6" spans="1:19" x14ac:dyDescent="0.3">
      <c r="A6" s="99">
        <f t="shared" si="0"/>
        <v>4</v>
      </c>
      <c r="B6" s="70">
        <v>-1</v>
      </c>
      <c r="C6" s="21">
        <v>-1</v>
      </c>
      <c r="D6" s="22">
        <f>[2]Время!G6</f>
        <v>0</v>
      </c>
      <c r="E6" s="22">
        <f>[2]Время!S6</f>
        <v>0</v>
      </c>
      <c r="F6" s="23">
        <f>[3]Время!G6</f>
        <v>0</v>
      </c>
      <c r="G6" s="23">
        <f>[3]Время!S6</f>
        <v>0</v>
      </c>
      <c r="H6" s="19">
        <v>-1</v>
      </c>
      <c r="I6" s="19">
        <v>-1</v>
      </c>
      <c r="J6" s="95"/>
      <c r="K6" s="35" cm="1">
        <f t="array" ref="K6">PointMin4(B6+C6,D6+E6,F6+G6,H6+I6,B6+C6)</f>
        <v>3</v>
      </c>
      <c r="L6" s="35" cm="1">
        <f t="array" ref="L6">PointMin4(B6+C6,D6+E6,F6+G6,H6+I6,D6+E6)</f>
        <v>1</v>
      </c>
      <c r="M6" s="35" cm="1">
        <f t="array" ref="M6">PointMin4(B6+C6,D6+E6,F6+G6,H6+I6,F6+G6)</f>
        <v>1</v>
      </c>
      <c r="N6" s="35" cm="1">
        <f t="array" ref="N6">PointMin4(B6+C6,D6+E6,F6+G6,H6+I6,H6+I6)</f>
        <v>3</v>
      </c>
      <c r="O6" s="31"/>
    </row>
    <row r="7" spans="1:19" x14ac:dyDescent="0.3">
      <c r="A7" s="99">
        <f t="shared" si="0"/>
        <v>5</v>
      </c>
      <c r="B7" s="70">
        <v>-1</v>
      </c>
      <c r="C7" s="21">
        <v>-1</v>
      </c>
      <c r="D7" s="22">
        <f>[2]Время!G7</f>
        <v>0</v>
      </c>
      <c r="E7" s="22">
        <f>[2]Время!S7</f>
        <v>0</v>
      </c>
      <c r="F7" s="23">
        <f>[3]Время!G7</f>
        <v>0</v>
      </c>
      <c r="G7" s="23">
        <f>[3]Время!S7</f>
        <v>0</v>
      </c>
      <c r="H7" s="19">
        <v>-1</v>
      </c>
      <c r="I7" s="19">
        <v>-1</v>
      </c>
      <c r="J7" s="95"/>
      <c r="K7" s="35" cm="1">
        <f t="array" ref="K7">PointMin4(B7+C7,D7+E7,F7+G7,H7+I7,B7+C7)</f>
        <v>3</v>
      </c>
      <c r="L7" s="35" cm="1">
        <f t="array" ref="L7">PointMin4(B7+C7,D7+E7,F7+G7,H7+I7,D7+E7)</f>
        <v>1</v>
      </c>
      <c r="M7" s="35" cm="1">
        <f t="array" ref="M7">PointMin4(B7+C7,D7+E7,F7+G7,H7+I7,F7+G7)</f>
        <v>1</v>
      </c>
      <c r="N7" s="35" cm="1">
        <f t="array" ref="N7">PointMin4(B7+C7,D7+E7,F7+G7,H7+I7,H7+I7)</f>
        <v>3</v>
      </c>
      <c r="O7" s="31"/>
    </row>
    <row r="8" spans="1:19" x14ac:dyDescent="0.3">
      <c r="A8" s="100">
        <f t="shared" si="0"/>
        <v>6</v>
      </c>
      <c r="B8" s="70">
        <f>[1]Время!G8</f>
        <v>146.49466666666669</v>
      </c>
      <c r="C8" s="21">
        <f>[1]Время!S8</f>
        <v>7.0440424038883762</v>
      </c>
      <c r="D8" s="22">
        <f>[2]Время!G8</f>
        <v>1.2</v>
      </c>
      <c r="E8" s="22">
        <f>[2]Время!S8</f>
        <v>0</v>
      </c>
      <c r="F8" s="23">
        <f>[3]Время!G8</f>
        <v>1</v>
      </c>
      <c r="G8" s="23">
        <f>[3]Время!S8</f>
        <v>0</v>
      </c>
      <c r="J8" s="95"/>
      <c r="K8" s="35" cm="1">
        <f t="array" ref="K8">PointMin4(B8+C8,D8+E8,F8+G8,H8+I8,B8+C8)</f>
        <v>1</v>
      </c>
      <c r="L8" s="35" cm="1">
        <f t="array" ref="L8">PointMin4(B8+C8,D8+E8,F8+G8,H8+I8,D8+E8)</f>
        <v>2</v>
      </c>
      <c r="M8" s="35" cm="1">
        <f t="array" ref="M8">PointMin4(B8+C8,D8+E8,F8+G8,H8+I8,F8+G8)</f>
        <v>3</v>
      </c>
      <c r="N8" s="35" cm="1">
        <f t="array" ref="N8">PointMin4(B8+C8,D8+E8,F8+G8,H8+I8,H8+I8)</f>
        <v>4</v>
      </c>
      <c r="O8" s="31"/>
    </row>
    <row r="9" spans="1:19" x14ac:dyDescent="0.3">
      <c r="A9" s="99">
        <f t="shared" si="0"/>
        <v>7</v>
      </c>
      <c r="B9" s="70">
        <f>[1]Время!G9</f>
        <v>0</v>
      </c>
      <c r="C9" s="21">
        <f>[1]Время!S9</f>
        <v>0</v>
      </c>
      <c r="D9" s="22">
        <f>[2]Время!G9</f>
        <v>0</v>
      </c>
      <c r="E9" s="22">
        <f>[2]Время!S9</f>
        <v>0</v>
      </c>
      <c r="F9" s="23">
        <f>[3]Время!G9</f>
        <v>0</v>
      </c>
      <c r="G9" s="23">
        <f>[3]Время!S9</f>
        <v>0</v>
      </c>
    </row>
    <row r="10" spans="1:19" x14ac:dyDescent="0.3">
      <c r="A10" s="99">
        <f t="shared" si="0"/>
        <v>8</v>
      </c>
      <c r="B10" s="70">
        <f>[1]Время!G10</f>
        <v>0</v>
      </c>
      <c r="C10" s="21">
        <f>[1]Время!S10</f>
        <v>0</v>
      </c>
      <c r="D10" s="22">
        <f>[2]Время!G10</f>
        <v>0</v>
      </c>
      <c r="E10" s="22">
        <f>[2]Время!S10</f>
        <v>0</v>
      </c>
      <c r="F10" s="23">
        <f>[3]Время!G10</f>
        <v>0</v>
      </c>
      <c r="G10" s="23">
        <f>[3]Время!S10</f>
        <v>0</v>
      </c>
    </row>
    <row r="11" spans="1:19" x14ac:dyDescent="0.3">
      <c r="A11" s="99">
        <f t="shared" si="0"/>
        <v>9</v>
      </c>
      <c r="B11" s="70">
        <f>[1]Время!G11</f>
        <v>0</v>
      </c>
      <c r="C11" s="21">
        <f>[1]Время!S11</f>
        <v>0</v>
      </c>
      <c r="D11" s="22">
        <f>[2]Время!G11</f>
        <v>0</v>
      </c>
      <c r="E11" s="22">
        <f>[2]Время!S11</f>
        <v>0</v>
      </c>
      <c r="F11" s="23">
        <f>[3]Время!G11</f>
        <v>0</v>
      </c>
      <c r="G11" s="23">
        <f>[3]Время!S11</f>
        <v>0</v>
      </c>
    </row>
    <row r="12" spans="1:19" x14ac:dyDescent="0.3">
      <c r="A12" s="99">
        <f t="shared" si="0"/>
        <v>10</v>
      </c>
      <c r="B12" s="70">
        <f>[1]Время!G12</f>
        <v>0</v>
      </c>
      <c r="C12" s="21">
        <f>[1]Время!S12</f>
        <v>0</v>
      </c>
      <c r="D12" s="22">
        <f>[2]Время!G12</f>
        <v>0</v>
      </c>
      <c r="E12" s="22">
        <f>[2]Время!S12</f>
        <v>0</v>
      </c>
      <c r="F12" s="23">
        <f>[3]Время!G12</f>
        <v>0</v>
      </c>
      <c r="G12" s="23">
        <f>[3]Время!S12</f>
        <v>0</v>
      </c>
    </row>
    <row r="13" spans="1:19" x14ac:dyDescent="0.3">
      <c r="A13" s="100">
        <f t="shared" si="0"/>
        <v>11</v>
      </c>
      <c r="B13" s="70">
        <f>[1]Время!G13</f>
        <v>146.71599999999998</v>
      </c>
      <c r="C13" s="21">
        <f>[1]Время!S13</f>
        <v>3.8526568239766168</v>
      </c>
      <c r="D13" s="22">
        <f>[2]Время!G13</f>
        <v>11.333333333333334</v>
      </c>
      <c r="E13" s="22">
        <f>[2]Время!S13</f>
        <v>0.62477551524082975</v>
      </c>
      <c r="F13" s="23">
        <f>[3]Время!G13</f>
        <v>1</v>
      </c>
      <c r="G13" s="23">
        <f>[3]Время!S13</f>
        <v>0</v>
      </c>
    </row>
    <row r="14" spans="1:19" x14ac:dyDescent="0.3">
      <c r="A14" s="99">
        <f t="shared" si="0"/>
        <v>12</v>
      </c>
      <c r="B14" s="70">
        <f>[1]Время!G14</f>
        <v>0</v>
      </c>
      <c r="C14" s="21">
        <f>[1]Время!S14</f>
        <v>0</v>
      </c>
      <c r="D14" s="22">
        <f>[2]Время!G14</f>
        <v>0</v>
      </c>
      <c r="E14" s="22">
        <f>[2]Время!S14</f>
        <v>0</v>
      </c>
      <c r="F14" s="23">
        <f>[3]Время!G14</f>
        <v>0</v>
      </c>
      <c r="G14" s="23">
        <f>[3]Время!S14</f>
        <v>0</v>
      </c>
    </row>
    <row r="15" spans="1:19" x14ac:dyDescent="0.3">
      <c r="A15" s="99">
        <f t="shared" si="0"/>
        <v>13</v>
      </c>
      <c r="B15" s="70">
        <f>[1]Время!G15</f>
        <v>0</v>
      </c>
      <c r="C15" s="21">
        <f>[1]Время!S15</f>
        <v>0</v>
      </c>
      <c r="D15" s="22">
        <f>[2]Время!G15</f>
        <v>0</v>
      </c>
      <c r="E15" s="22">
        <f>[2]Время!S15</f>
        <v>0</v>
      </c>
      <c r="F15" s="23">
        <f>[3]Время!G15</f>
        <v>0</v>
      </c>
      <c r="G15" s="23">
        <f>[3]Время!S15</f>
        <v>0</v>
      </c>
    </row>
    <row r="16" spans="1:19" x14ac:dyDescent="0.3">
      <c r="A16" s="99">
        <f t="shared" si="0"/>
        <v>14</v>
      </c>
      <c r="B16" s="70">
        <f>[1]Время!G16</f>
        <v>0</v>
      </c>
      <c r="C16" s="21">
        <f>[1]Время!S16</f>
        <v>0</v>
      </c>
      <c r="D16" s="22">
        <f>[2]Время!G16</f>
        <v>0</v>
      </c>
      <c r="E16" s="22">
        <f>[2]Время!S16</f>
        <v>0</v>
      </c>
      <c r="F16" s="23">
        <f>[3]Время!G16</f>
        <v>0</v>
      </c>
      <c r="G16" s="23">
        <f>[3]Время!S16</f>
        <v>0</v>
      </c>
    </row>
    <row r="17" spans="1:7" x14ac:dyDescent="0.3">
      <c r="A17" s="99">
        <f t="shared" si="0"/>
        <v>15</v>
      </c>
      <c r="B17" s="70">
        <f>[1]Время!G17</f>
        <v>0</v>
      </c>
      <c r="C17" s="21">
        <f>[1]Время!S17</f>
        <v>0</v>
      </c>
      <c r="D17" s="22">
        <f>[2]Время!G17</f>
        <v>0</v>
      </c>
      <c r="E17" s="22">
        <f>[2]Время!S17</f>
        <v>0</v>
      </c>
      <c r="F17" s="23">
        <f>[3]Время!G17</f>
        <v>0</v>
      </c>
      <c r="G17" s="23">
        <f>[3]Время!S17</f>
        <v>0</v>
      </c>
    </row>
    <row r="18" spans="1:7" x14ac:dyDescent="0.3">
      <c r="A18" s="100">
        <f t="shared" si="0"/>
        <v>16</v>
      </c>
      <c r="B18" s="70">
        <f>[1]Время!G18</f>
        <v>161.822</v>
      </c>
      <c r="C18" s="21">
        <f>[1]Время!S18</f>
        <v>5.3511514661176696</v>
      </c>
      <c r="D18" s="22">
        <f>[2]Время!G18</f>
        <v>2.9</v>
      </c>
      <c r="E18" s="22">
        <f>[2]Время!S18</f>
        <v>0.43000000000000038</v>
      </c>
      <c r="F18" s="23">
        <f>[3]Время!G18</f>
        <v>0.5</v>
      </c>
      <c r="G18" s="23">
        <f>[3]Время!S18</f>
        <v>0</v>
      </c>
    </row>
    <row r="19" spans="1:7" x14ac:dyDescent="0.3">
      <c r="A19" s="99">
        <f t="shared" si="0"/>
        <v>17</v>
      </c>
      <c r="B19" s="70">
        <f>[1]Время!G19</f>
        <v>0</v>
      </c>
      <c r="C19" s="21">
        <f>[1]Время!S19</f>
        <v>0</v>
      </c>
      <c r="D19" s="22">
        <f>[2]Время!G19</f>
        <v>0</v>
      </c>
      <c r="E19" s="22">
        <f>[2]Время!S19</f>
        <v>0</v>
      </c>
      <c r="F19" s="23">
        <f>[3]Время!G19</f>
        <v>0</v>
      </c>
      <c r="G19" s="23">
        <f>[3]Время!S19</f>
        <v>0</v>
      </c>
    </row>
    <row r="20" spans="1:7" x14ac:dyDescent="0.3">
      <c r="A20" s="99">
        <f t="shared" si="0"/>
        <v>18</v>
      </c>
      <c r="B20" s="70">
        <f>[1]Время!G20</f>
        <v>0</v>
      </c>
      <c r="C20" s="21">
        <f>[1]Время!S20</f>
        <v>0</v>
      </c>
      <c r="D20" s="22">
        <f>[2]Время!G20</f>
        <v>0</v>
      </c>
      <c r="E20" s="22">
        <f>[2]Время!S20</f>
        <v>0</v>
      </c>
      <c r="F20" s="23">
        <f>[3]Время!G20</f>
        <v>0</v>
      </c>
      <c r="G20" s="23">
        <f>[3]Время!S20</f>
        <v>0</v>
      </c>
    </row>
    <row r="21" spans="1:7" x14ac:dyDescent="0.3">
      <c r="A21" s="99">
        <f t="shared" si="0"/>
        <v>19</v>
      </c>
      <c r="B21" s="70">
        <f>[1]Время!G21</f>
        <v>0</v>
      </c>
      <c r="C21" s="21">
        <f>[1]Время!S21</f>
        <v>0</v>
      </c>
      <c r="D21" s="22">
        <f>[2]Время!G21</f>
        <v>0</v>
      </c>
      <c r="E21" s="22">
        <f>[2]Время!S21</f>
        <v>0</v>
      </c>
      <c r="F21" s="23">
        <f>[3]Время!G21</f>
        <v>0</v>
      </c>
      <c r="G21" s="23">
        <f>[3]Время!S21</f>
        <v>0</v>
      </c>
    </row>
    <row r="22" spans="1:7" x14ac:dyDescent="0.3">
      <c r="A22" s="99">
        <f t="shared" si="0"/>
        <v>20</v>
      </c>
      <c r="B22" s="70">
        <f>[1]Время!G22</f>
        <v>0</v>
      </c>
      <c r="C22" s="21">
        <f>[1]Время!S22</f>
        <v>0</v>
      </c>
      <c r="D22" s="22">
        <f>[2]Время!G22</f>
        <v>0</v>
      </c>
      <c r="E22" s="22">
        <f>[2]Время!S22</f>
        <v>0</v>
      </c>
      <c r="F22" s="23">
        <f>[3]Время!G22</f>
        <v>0</v>
      </c>
      <c r="G22" s="23">
        <f>[3]Время!S22</f>
        <v>0</v>
      </c>
    </row>
    <row r="23" spans="1:7" x14ac:dyDescent="0.3">
      <c r="A23" s="100">
        <f t="shared" si="0"/>
        <v>21</v>
      </c>
      <c r="B23" s="70">
        <f>[1]Время!G23</f>
        <v>158.21199999999999</v>
      </c>
      <c r="C23" s="21">
        <f>[1]Время!S23</f>
        <v>5.164280904766243</v>
      </c>
      <c r="D23" s="22">
        <f>[2]Время!G23</f>
        <v>2.8333333333333335</v>
      </c>
      <c r="E23" s="22">
        <f>[2]Время!S23</f>
        <v>0.28666666666666629</v>
      </c>
      <c r="F23" s="23">
        <f>[3]Время!G23</f>
        <v>0.5</v>
      </c>
      <c r="G23" s="23">
        <f>[3]Время!S23</f>
        <v>0</v>
      </c>
    </row>
    <row r="24" spans="1:7" x14ac:dyDescent="0.3">
      <c r="A24" s="67">
        <f t="shared" si="0"/>
        <v>22</v>
      </c>
      <c r="B24" s="70">
        <f>[1]Время!G24</f>
        <v>0</v>
      </c>
      <c r="C24" s="21">
        <f>[1]Время!S24</f>
        <v>0</v>
      </c>
      <c r="D24" s="22">
        <f>[2]Время!G24</f>
        <v>0</v>
      </c>
      <c r="E24" s="22">
        <f>[2]Время!S24</f>
        <v>0</v>
      </c>
      <c r="F24" s="23">
        <f>[3]Время!G24</f>
        <v>0</v>
      </c>
      <c r="G24" s="23">
        <f>[3]Время!S24</f>
        <v>0</v>
      </c>
    </row>
    <row r="25" spans="1:7" x14ac:dyDescent="0.3">
      <c r="A25" s="67">
        <f t="shared" si="0"/>
        <v>23</v>
      </c>
      <c r="B25" s="70">
        <f>[1]Время!G25</f>
        <v>0</v>
      </c>
      <c r="C25" s="21">
        <f>[1]Время!S25</f>
        <v>0</v>
      </c>
      <c r="D25" s="22">
        <f>[2]Время!G25</f>
        <v>0</v>
      </c>
      <c r="E25" s="22">
        <f>[2]Время!S25</f>
        <v>0</v>
      </c>
      <c r="F25" s="23">
        <f>[3]Время!G25</f>
        <v>0</v>
      </c>
      <c r="G25" s="23">
        <f>[3]Время!S25</f>
        <v>0</v>
      </c>
    </row>
    <row r="26" spans="1:7" x14ac:dyDescent="0.3">
      <c r="A26" s="67">
        <f t="shared" si="0"/>
        <v>24</v>
      </c>
      <c r="B26" s="70">
        <f>[1]Время!G26</f>
        <v>0</v>
      </c>
      <c r="C26" s="21">
        <f>[1]Время!S26</f>
        <v>0</v>
      </c>
      <c r="D26" s="22">
        <f>[2]Время!G26</f>
        <v>0</v>
      </c>
      <c r="E26" s="22">
        <f>[2]Время!S26</f>
        <v>0</v>
      </c>
      <c r="F26" s="23">
        <f>[3]Время!G26</f>
        <v>0</v>
      </c>
      <c r="G26" s="23">
        <f>[3]Время!S26</f>
        <v>0</v>
      </c>
    </row>
    <row r="27" spans="1:7" x14ac:dyDescent="0.3">
      <c r="A27" s="67">
        <f t="shared" si="0"/>
        <v>25</v>
      </c>
      <c r="B27" s="70">
        <f>[1]Время!G27</f>
        <v>0</v>
      </c>
      <c r="C27" s="21">
        <f>[1]Время!S27</f>
        <v>0</v>
      </c>
      <c r="D27" s="22">
        <f>[2]Время!G27</f>
        <v>0</v>
      </c>
      <c r="E27" s="22">
        <f>[2]Время!S27</f>
        <v>0</v>
      </c>
      <c r="F27" s="23">
        <f>[3]Время!G27</f>
        <v>0</v>
      </c>
      <c r="G27" s="23">
        <f>[3]Время!S27</f>
        <v>0</v>
      </c>
    </row>
    <row r="28" spans="1:7" x14ac:dyDescent="0.3">
      <c r="A28" s="100">
        <f t="shared" si="0"/>
        <v>26</v>
      </c>
      <c r="B28" s="70">
        <f>[1]Время!G28</f>
        <v>146.71599999999998</v>
      </c>
      <c r="C28" s="21">
        <f>[1]Время!S28</f>
        <v>3.8526568239766168</v>
      </c>
      <c r="D28" s="22">
        <f>[2]Время!G28</f>
        <v>2.8333333333333335</v>
      </c>
      <c r="E28" s="22">
        <f>[2]Время!S28</f>
        <v>0.14333333333333348</v>
      </c>
      <c r="F28" s="23">
        <f>[3]Время!G28</f>
        <v>0.5</v>
      </c>
      <c r="G28" s="23">
        <f>[3]Время!S28</f>
        <v>0</v>
      </c>
    </row>
    <row r="29" spans="1:7" x14ac:dyDescent="0.3">
      <c r="A29" s="67">
        <f t="shared" si="0"/>
        <v>27</v>
      </c>
      <c r="B29" s="70">
        <f>[1]Время!G29</f>
        <v>0</v>
      </c>
      <c r="C29" s="21">
        <f>[1]Время!S29</f>
        <v>0</v>
      </c>
      <c r="D29" s="22">
        <f>[2]Время!G29</f>
        <v>0</v>
      </c>
      <c r="E29" s="22">
        <f>[2]Время!S29</f>
        <v>0</v>
      </c>
      <c r="F29" s="23">
        <f>[3]Время!G29</f>
        <v>0</v>
      </c>
      <c r="G29" s="23">
        <f>[3]Время!S29</f>
        <v>0</v>
      </c>
    </row>
    <row r="30" spans="1:7" x14ac:dyDescent="0.3">
      <c r="A30" s="67">
        <f t="shared" si="0"/>
        <v>28</v>
      </c>
      <c r="B30" s="70">
        <f>[1]Время!G30</f>
        <v>0</v>
      </c>
      <c r="C30" s="21">
        <f>[1]Время!S30</f>
        <v>0</v>
      </c>
      <c r="D30" s="22">
        <f>[2]Время!G30</f>
        <v>0</v>
      </c>
      <c r="E30" s="22">
        <f>[2]Время!S30</f>
        <v>0</v>
      </c>
      <c r="F30" s="23">
        <f>[3]Время!G30</f>
        <v>0</v>
      </c>
      <c r="G30" s="23">
        <f>[3]Время!S30</f>
        <v>0</v>
      </c>
    </row>
    <row r="31" spans="1:7" x14ac:dyDescent="0.3">
      <c r="A31" s="67">
        <f t="shared" si="0"/>
        <v>29</v>
      </c>
      <c r="B31" s="70">
        <f>[1]Время!G31</f>
        <v>0</v>
      </c>
      <c r="C31" s="21">
        <f>[1]Время!S31</f>
        <v>0</v>
      </c>
      <c r="D31" s="22">
        <f>[2]Время!G31</f>
        <v>0</v>
      </c>
      <c r="E31" s="22">
        <f>[2]Время!S31</f>
        <v>0</v>
      </c>
      <c r="F31" s="23">
        <f>[3]Время!G31</f>
        <v>0</v>
      </c>
      <c r="G31" s="23">
        <f>[3]Время!S31</f>
        <v>0</v>
      </c>
    </row>
    <row r="32" spans="1:7" x14ac:dyDescent="0.3">
      <c r="A32" s="67">
        <f t="shared" si="0"/>
        <v>30</v>
      </c>
      <c r="B32" s="70">
        <f>[1]Время!G32</f>
        <v>0</v>
      </c>
      <c r="C32" s="21">
        <f>[1]Время!S32</f>
        <v>0</v>
      </c>
      <c r="D32" s="22">
        <f>[2]Время!G32</f>
        <v>0</v>
      </c>
      <c r="E32" s="22">
        <f>[2]Время!S32</f>
        <v>0</v>
      </c>
      <c r="F32" s="23">
        <f>[3]Время!G32</f>
        <v>0</v>
      </c>
      <c r="G32" s="23">
        <f>[3]Время!S32</f>
        <v>0</v>
      </c>
    </row>
    <row r="33" spans="1:7" x14ac:dyDescent="0.3">
      <c r="A33" s="100">
        <f t="shared" si="0"/>
        <v>31</v>
      </c>
      <c r="B33" s="70">
        <f>[1]Время!G33</f>
        <v>161.822</v>
      </c>
      <c r="C33" s="21">
        <f>[1]Время!S33</f>
        <v>5.3511514661176696</v>
      </c>
      <c r="D33" s="22">
        <f>[2]Время!G33</f>
        <v>2.8333333333333335</v>
      </c>
      <c r="E33" s="22">
        <f>[2]Время!S33</f>
        <v>0.14333333333333348</v>
      </c>
      <c r="F33" s="23">
        <f>[3]Время!G33</f>
        <v>0.5</v>
      </c>
      <c r="G33" s="23">
        <f>[3]Время!S33</f>
        <v>0</v>
      </c>
    </row>
    <row r="34" spans="1:7" x14ac:dyDescent="0.3">
      <c r="A34" s="67">
        <f t="shared" si="0"/>
        <v>32</v>
      </c>
      <c r="B34" s="70">
        <f>[1]Время!G34</f>
        <v>0</v>
      </c>
      <c r="C34" s="21">
        <f>[1]Время!S34</f>
        <v>0</v>
      </c>
      <c r="D34" s="22">
        <f>[2]Время!G34</f>
        <v>0</v>
      </c>
      <c r="E34" s="22">
        <f>[2]Время!S34</f>
        <v>0</v>
      </c>
      <c r="F34" s="23">
        <f>[3]Время!G34</f>
        <v>0</v>
      </c>
      <c r="G34" s="23">
        <f>[3]Время!S34</f>
        <v>0</v>
      </c>
    </row>
    <row r="35" spans="1:7" x14ac:dyDescent="0.3">
      <c r="A35" s="67">
        <f t="shared" si="0"/>
        <v>33</v>
      </c>
      <c r="B35" s="70">
        <f>[1]Время!G35</f>
        <v>0</v>
      </c>
      <c r="C35" s="21">
        <f>[1]Время!S35</f>
        <v>0</v>
      </c>
      <c r="D35" s="22">
        <f>[2]Время!G35</f>
        <v>0</v>
      </c>
      <c r="E35" s="22">
        <f>[2]Время!S35</f>
        <v>0</v>
      </c>
      <c r="F35" s="23">
        <f>[3]Время!G35</f>
        <v>0</v>
      </c>
      <c r="G35" s="23">
        <f>[3]Время!S35</f>
        <v>0</v>
      </c>
    </row>
    <row r="36" spans="1:7" x14ac:dyDescent="0.3">
      <c r="A36" s="67">
        <f t="shared" si="0"/>
        <v>34</v>
      </c>
      <c r="B36" s="70">
        <f>[1]Время!G36</f>
        <v>0</v>
      </c>
      <c r="C36" s="21">
        <f>[1]Время!S36</f>
        <v>0</v>
      </c>
      <c r="D36" s="22">
        <f>[2]Время!G36</f>
        <v>0</v>
      </c>
      <c r="E36" s="22">
        <f>[2]Время!S36</f>
        <v>0</v>
      </c>
      <c r="F36" s="23">
        <f>[3]Время!G36</f>
        <v>0</v>
      </c>
      <c r="G36" s="23">
        <f>[3]Время!S36</f>
        <v>0</v>
      </c>
    </row>
    <row r="37" spans="1:7" x14ac:dyDescent="0.3">
      <c r="A37" s="67">
        <f t="shared" si="0"/>
        <v>35</v>
      </c>
      <c r="B37" s="70">
        <f>[1]Время!G37</f>
        <v>0</v>
      </c>
      <c r="C37" s="21">
        <f>[1]Время!S37</f>
        <v>0</v>
      </c>
      <c r="D37" s="22">
        <f>[2]Время!G37</f>
        <v>0</v>
      </c>
      <c r="E37" s="22">
        <f>[2]Время!S37</f>
        <v>0</v>
      </c>
      <c r="F37" s="23">
        <f>[3]Время!G37</f>
        <v>0</v>
      </c>
      <c r="G37" s="23">
        <f>[3]Время!S37</f>
        <v>0</v>
      </c>
    </row>
    <row r="38" spans="1:7" x14ac:dyDescent="0.3">
      <c r="A38" s="100">
        <f t="shared" si="0"/>
        <v>36</v>
      </c>
      <c r="B38" s="70">
        <f>[1]Время!G38</f>
        <v>146.49466666666669</v>
      </c>
      <c r="C38" s="21">
        <f>[1]Время!S38</f>
        <v>7.0440424038883762</v>
      </c>
      <c r="D38" s="22">
        <f>[2]Время!G38</f>
        <v>4</v>
      </c>
      <c r="E38" s="22">
        <f>[2]Время!S38</f>
        <v>0.24826061575153877</v>
      </c>
      <c r="F38" s="23">
        <f>[3]Время!G38</f>
        <v>0.5</v>
      </c>
      <c r="G38" s="23">
        <f>[3]Время!S38</f>
        <v>0</v>
      </c>
    </row>
    <row r="39" spans="1:7" x14ac:dyDescent="0.3">
      <c r="A39" s="67">
        <f t="shared" si="0"/>
        <v>37</v>
      </c>
      <c r="B39" s="70">
        <f>[1]Время!G39</f>
        <v>0</v>
      </c>
      <c r="C39" s="21">
        <f>[1]Время!S39</f>
        <v>0</v>
      </c>
      <c r="D39" s="22">
        <f>[2]Время!G39</f>
        <v>0</v>
      </c>
      <c r="E39" s="22">
        <f>[2]Время!S39</f>
        <v>0</v>
      </c>
      <c r="F39" s="23">
        <f>[3]Время!G39</f>
        <v>0</v>
      </c>
      <c r="G39" s="23">
        <f>[3]Время!S39</f>
        <v>0</v>
      </c>
    </row>
    <row r="40" spans="1:7" x14ac:dyDescent="0.3">
      <c r="A40" s="67">
        <f t="shared" si="0"/>
        <v>38</v>
      </c>
      <c r="B40" s="70">
        <f>[1]Время!G40</f>
        <v>0</v>
      </c>
      <c r="C40" s="21">
        <f>[1]Время!S40</f>
        <v>0</v>
      </c>
      <c r="D40" s="22">
        <f>[2]Время!G40</f>
        <v>0</v>
      </c>
      <c r="E40" s="22">
        <f>[2]Время!S40</f>
        <v>0</v>
      </c>
      <c r="F40" s="23">
        <f>[3]Время!G40</f>
        <v>0</v>
      </c>
      <c r="G40" s="23">
        <f>[3]Время!S40</f>
        <v>0</v>
      </c>
    </row>
    <row r="41" spans="1:7" x14ac:dyDescent="0.3">
      <c r="A41" s="67">
        <f t="shared" si="0"/>
        <v>39</v>
      </c>
      <c r="B41" s="70">
        <f>[1]Время!G41</f>
        <v>0</v>
      </c>
      <c r="C41" s="21">
        <f>[1]Время!S41</f>
        <v>0</v>
      </c>
      <c r="D41" s="22">
        <f>[2]Время!G41</f>
        <v>0</v>
      </c>
      <c r="E41" s="22">
        <f>[2]Время!S41</f>
        <v>0</v>
      </c>
      <c r="F41" s="23">
        <f>[3]Время!G41</f>
        <v>0</v>
      </c>
      <c r="G41" s="23">
        <f>[3]Время!S41</f>
        <v>0</v>
      </c>
    </row>
    <row r="42" spans="1:7" x14ac:dyDescent="0.3">
      <c r="A42" s="67">
        <f t="shared" si="0"/>
        <v>40</v>
      </c>
      <c r="B42" s="70">
        <f>[1]Время!G42</f>
        <v>0</v>
      </c>
      <c r="C42" s="21">
        <f>[1]Время!S42</f>
        <v>0</v>
      </c>
      <c r="D42" s="22">
        <f>[2]Время!G42</f>
        <v>0</v>
      </c>
      <c r="E42" s="22">
        <f>[2]Время!S42</f>
        <v>0</v>
      </c>
      <c r="F42" s="23">
        <f>[3]Время!G42</f>
        <v>0</v>
      </c>
      <c r="G42" s="23">
        <f>[3]Время!S42</f>
        <v>0</v>
      </c>
    </row>
    <row r="43" spans="1:7" x14ac:dyDescent="0.3">
      <c r="A43" s="100">
        <f t="shared" si="0"/>
        <v>41</v>
      </c>
      <c r="B43" s="70">
        <f>[1]Время!G43</f>
        <v>172.7353333333333</v>
      </c>
      <c r="C43" s="21">
        <f>[1]Время!S43</f>
        <v>13.526013075100064</v>
      </c>
      <c r="D43" s="22">
        <f>[2]Время!G43</f>
        <v>1.2</v>
      </c>
      <c r="E43" s="22">
        <f>[2]Время!S43</f>
        <v>0</v>
      </c>
      <c r="F43" s="23">
        <f>[3]Время!G43</f>
        <v>1</v>
      </c>
      <c r="G43" s="23">
        <f>[3]Время!S43</f>
        <v>0</v>
      </c>
    </row>
    <row r="44" spans="1:7" x14ac:dyDescent="0.3">
      <c r="A44" s="99">
        <f t="shared" si="0"/>
        <v>42</v>
      </c>
      <c r="B44" s="70">
        <f>[1]Время!G44</f>
        <v>0</v>
      </c>
      <c r="C44" s="21">
        <f>[1]Время!S44</f>
        <v>0</v>
      </c>
      <c r="D44" s="22">
        <f>[2]Время!G44</f>
        <v>0</v>
      </c>
      <c r="E44" s="22">
        <f>[2]Время!S44</f>
        <v>0</v>
      </c>
      <c r="F44" s="23">
        <f>[3]Время!G44</f>
        <v>0</v>
      </c>
      <c r="G44" s="23">
        <f>[3]Время!S44</f>
        <v>0</v>
      </c>
    </row>
    <row r="45" spans="1:7" x14ac:dyDescent="0.3">
      <c r="A45" s="99">
        <f t="shared" si="0"/>
        <v>43</v>
      </c>
      <c r="B45" s="70">
        <f>[1]Время!G45</f>
        <v>0</v>
      </c>
      <c r="C45" s="21">
        <f>[1]Время!S45</f>
        <v>0</v>
      </c>
      <c r="D45" s="22">
        <f>[2]Время!G45</f>
        <v>0</v>
      </c>
      <c r="E45" s="22">
        <f>[2]Время!S45</f>
        <v>0</v>
      </c>
      <c r="F45" s="23">
        <f>[3]Время!G45</f>
        <v>0</v>
      </c>
      <c r="G45" s="23">
        <f>[3]Время!S45</f>
        <v>0</v>
      </c>
    </row>
    <row r="46" spans="1:7" x14ac:dyDescent="0.3">
      <c r="A46" s="99">
        <f t="shared" si="0"/>
        <v>44</v>
      </c>
      <c r="B46" s="70">
        <f>[1]Время!G46</f>
        <v>0</v>
      </c>
      <c r="C46" s="21">
        <f>[1]Время!S46</f>
        <v>0</v>
      </c>
      <c r="D46" s="22">
        <f>[2]Время!G46</f>
        <v>0</v>
      </c>
      <c r="E46" s="22">
        <f>[2]Время!S46</f>
        <v>0</v>
      </c>
      <c r="F46" s="23">
        <f>[3]Время!G46</f>
        <v>0</v>
      </c>
      <c r="G46" s="23">
        <f>[3]Время!S46</f>
        <v>0</v>
      </c>
    </row>
    <row r="47" spans="1:7" x14ac:dyDescent="0.3">
      <c r="A47" s="99">
        <f t="shared" si="0"/>
        <v>45</v>
      </c>
      <c r="B47" s="70">
        <f>[1]Время!G47</f>
        <v>0</v>
      </c>
      <c r="C47" s="21">
        <f>[1]Время!S47</f>
        <v>0</v>
      </c>
      <c r="D47" s="22">
        <f>[2]Время!G47</f>
        <v>0</v>
      </c>
      <c r="E47" s="22">
        <f>[2]Время!S47</f>
        <v>0</v>
      </c>
      <c r="F47" s="23">
        <f>[3]Время!G47</f>
        <v>0</v>
      </c>
      <c r="G47" s="23">
        <f>[3]Время!S47</f>
        <v>0</v>
      </c>
    </row>
    <row r="48" spans="1:7" x14ac:dyDescent="0.3">
      <c r="A48" s="100">
        <f t="shared" si="0"/>
        <v>46</v>
      </c>
      <c r="B48" s="70">
        <f>[1]Время!G48</f>
        <v>174.37733333333335</v>
      </c>
      <c r="C48" s="21">
        <f>[1]Время!S48</f>
        <v>4.7270733572099823</v>
      </c>
      <c r="D48" s="22">
        <f>[2]Время!G48</f>
        <v>1.2</v>
      </c>
      <c r="E48" s="22">
        <f>[2]Время!S48</f>
        <v>0</v>
      </c>
      <c r="F48" s="23">
        <f>[3]Время!G48</f>
        <v>1</v>
      </c>
      <c r="G48" s="23">
        <f>[3]Время!S48</f>
        <v>0</v>
      </c>
    </row>
    <row r="49" spans="1:7" x14ac:dyDescent="0.3">
      <c r="A49" s="99">
        <f t="shared" si="0"/>
        <v>47</v>
      </c>
      <c r="B49" s="70">
        <f>[1]Время!G49</f>
        <v>0</v>
      </c>
      <c r="C49" s="21">
        <f>[1]Время!S49</f>
        <v>0</v>
      </c>
      <c r="D49" s="22">
        <f>[2]Время!G49</f>
        <v>0</v>
      </c>
      <c r="E49" s="22">
        <f>[2]Время!S49</f>
        <v>0</v>
      </c>
      <c r="F49" s="23">
        <f>[3]Время!G49</f>
        <v>0</v>
      </c>
      <c r="G49" s="23">
        <f>[3]Время!S49</f>
        <v>0</v>
      </c>
    </row>
    <row r="50" spans="1:7" x14ac:dyDescent="0.3">
      <c r="A50" s="67">
        <f t="shared" si="0"/>
        <v>48</v>
      </c>
      <c r="B50" s="70">
        <f>[1]Время!G50</f>
        <v>0</v>
      </c>
      <c r="C50" s="21">
        <f>[1]Время!S50</f>
        <v>0</v>
      </c>
      <c r="D50" s="22">
        <f>[2]Время!G50</f>
        <v>0</v>
      </c>
      <c r="E50" s="22">
        <f>[2]Время!S50</f>
        <v>0</v>
      </c>
      <c r="F50" s="23">
        <f>[3]Время!G50</f>
        <v>0</v>
      </c>
      <c r="G50" s="23">
        <f>[3]Время!S50</f>
        <v>0</v>
      </c>
    </row>
    <row r="51" spans="1:7" x14ac:dyDescent="0.3">
      <c r="A51" s="67">
        <f t="shared" si="0"/>
        <v>49</v>
      </c>
      <c r="B51" s="70">
        <f>[1]Время!G51</f>
        <v>0</v>
      </c>
      <c r="C51" s="21">
        <f>[1]Время!S51</f>
        <v>0</v>
      </c>
      <c r="D51" s="22">
        <f>[2]Время!G51</f>
        <v>0</v>
      </c>
      <c r="E51" s="22">
        <f>[2]Время!S51</f>
        <v>0</v>
      </c>
      <c r="F51" s="23">
        <f>[3]Время!G51</f>
        <v>0</v>
      </c>
      <c r="G51" s="23">
        <f>[3]Время!S51</f>
        <v>0</v>
      </c>
    </row>
    <row r="52" spans="1:7" x14ac:dyDescent="0.3">
      <c r="A52" s="67">
        <f t="shared" si="0"/>
        <v>50</v>
      </c>
      <c r="B52" s="70">
        <f>[1]Время!G52</f>
        <v>0</v>
      </c>
      <c r="C52" s="21">
        <f>[1]Время!S52</f>
        <v>0</v>
      </c>
      <c r="D52" s="22">
        <f>[2]Время!G52</f>
        <v>0</v>
      </c>
      <c r="E52" s="22">
        <f>[2]Время!S52</f>
        <v>0</v>
      </c>
      <c r="F52" s="23">
        <f>[3]Время!G52</f>
        <v>0</v>
      </c>
      <c r="G52" s="23">
        <f>[3]Время!S52</f>
        <v>0</v>
      </c>
    </row>
    <row r="53" spans="1:7" x14ac:dyDescent="0.3">
      <c r="A53" s="100">
        <f t="shared" si="0"/>
        <v>51</v>
      </c>
      <c r="B53" s="70">
        <f>[1]Время!G53</f>
        <v>172.47366666666667</v>
      </c>
      <c r="C53" s="21">
        <f>[1]Время!S53</f>
        <v>6.8177004369345529</v>
      </c>
      <c r="D53" s="22">
        <f>[2]Время!G53</f>
        <v>1.2</v>
      </c>
      <c r="E53" s="22">
        <f>[2]Время!S53</f>
        <v>0</v>
      </c>
      <c r="F53" s="23">
        <f>[3]Время!G53</f>
        <v>1</v>
      </c>
      <c r="G53" s="23">
        <f>[3]Время!S53</f>
        <v>0</v>
      </c>
    </row>
    <row r="54" spans="1:7" x14ac:dyDescent="0.3">
      <c r="A54" s="100">
        <f t="shared" si="0"/>
        <v>52</v>
      </c>
      <c r="B54" s="70">
        <f>[1]Время!G54</f>
        <v>1401.6890000000001</v>
      </c>
      <c r="C54" s="21">
        <f>[1]Время!S54</f>
        <v>24.902444709773736</v>
      </c>
      <c r="D54" s="22">
        <f>[2]Время!G54</f>
        <v>1.2</v>
      </c>
      <c r="E54" s="22">
        <f>[2]Время!S54</f>
        <v>0</v>
      </c>
      <c r="F54" s="23">
        <f>[3]Время!G54</f>
        <v>1</v>
      </c>
      <c r="G54" s="23">
        <f>[3]Время!S54</f>
        <v>0</v>
      </c>
    </row>
    <row r="55" spans="1:7" x14ac:dyDescent="0.3">
      <c r="A55" s="67">
        <f t="shared" si="0"/>
        <v>53</v>
      </c>
      <c r="B55" s="70">
        <f>[1]Время!G55</f>
        <v>0</v>
      </c>
      <c r="C55" s="21">
        <f>[1]Время!S55</f>
        <v>0</v>
      </c>
      <c r="D55" s="22">
        <f>[2]Время!G55</f>
        <v>0</v>
      </c>
      <c r="E55" s="22">
        <f>[2]Время!S55</f>
        <v>0</v>
      </c>
      <c r="F55" s="23">
        <f>[3]Время!G55</f>
        <v>0</v>
      </c>
      <c r="G55" s="23">
        <f>[3]Время!S55</f>
        <v>0</v>
      </c>
    </row>
    <row r="56" spans="1:7" x14ac:dyDescent="0.3">
      <c r="A56" s="67">
        <f t="shared" si="0"/>
        <v>54</v>
      </c>
      <c r="B56" s="70">
        <f>[1]Время!G56</f>
        <v>0</v>
      </c>
      <c r="C56" s="21">
        <f>[1]Время!S56</f>
        <v>0</v>
      </c>
      <c r="D56" s="22">
        <f>[2]Время!G56</f>
        <v>0</v>
      </c>
      <c r="E56" s="22">
        <f>[2]Время!S56</f>
        <v>0</v>
      </c>
      <c r="F56" s="23">
        <f>[3]Время!G56</f>
        <v>0</v>
      </c>
      <c r="G56" s="23">
        <f>[3]Время!S56</f>
        <v>0</v>
      </c>
    </row>
    <row r="57" spans="1:7" x14ac:dyDescent="0.3">
      <c r="A57" s="67">
        <f t="shared" si="0"/>
        <v>55</v>
      </c>
      <c r="B57" s="70">
        <f>[1]Время!G57</f>
        <v>0</v>
      </c>
      <c r="C57" s="21">
        <f>[1]Время!S57</f>
        <v>0</v>
      </c>
      <c r="D57" s="22">
        <f>[2]Время!G57</f>
        <v>0</v>
      </c>
      <c r="E57" s="22">
        <f>[2]Время!S57</f>
        <v>0</v>
      </c>
      <c r="F57" s="23">
        <f>[3]Время!G57</f>
        <v>0</v>
      </c>
      <c r="G57" s="23">
        <f>[3]Время!S57</f>
        <v>0</v>
      </c>
    </row>
    <row r="58" spans="1:7" x14ac:dyDescent="0.3">
      <c r="A58" s="100">
        <f t="shared" si="0"/>
        <v>56</v>
      </c>
      <c r="B58" s="70">
        <f>[1]Время!G58</f>
        <v>179.76966666666667</v>
      </c>
      <c r="C58" s="21">
        <f>[1]Время!S58</f>
        <v>7.971469126272245</v>
      </c>
      <c r="D58" s="22">
        <f>[2]Время!G58</f>
        <v>1.2</v>
      </c>
      <c r="E58" s="22">
        <f>[2]Время!S58</f>
        <v>0</v>
      </c>
      <c r="F58" s="23">
        <f>[3]Время!G58</f>
        <v>1</v>
      </c>
      <c r="G58" s="23">
        <f>[3]Время!S58</f>
        <v>0</v>
      </c>
    </row>
    <row r="59" spans="1:7" x14ac:dyDescent="0.3">
      <c r="A59" s="100">
        <f t="shared" si="0"/>
        <v>57</v>
      </c>
      <c r="B59" s="70">
        <f>[1]Время!G59</f>
        <v>1404.7733333333333</v>
      </c>
      <c r="C59" s="21">
        <f>[1]Время!S59</f>
        <v>25.648288586462044</v>
      </c>
      <c r="D59" s="22">
        <f>[2]Время!G59</f>
        <v>1.2</v>
      </c>
      <c r="E59" s="22">
        <f>[2]Время!S59</f>
        <v>0</v>
      </c>
      <c r="F59" s="23">
        <f>[3]Время!G59</f>
        <v>1</v>
      </c>
      <c r="G59" s="23">
        <f>[3]Время!S59</f>
        <v>0</v>
      </c>
    </row>
    <row r="60" spans="1:7" x14ac:dyDescent="0.3">
      <c r="A60" s="67">
        <f t="shared" si="0"/>
        <v>58</v>
      </c>
      <c r="B60" s="70">
        <f>[1]Время!G60</f>
        <v>0</v>
      </c>
      <c r="C60" s="21">
        <f>[1]Время!S60</f>
        <v>0</v>
      </c>
      <c r="D60" s="22">
        <f>[2]Время!G60</f>
        <v>0</v>
      </c>
      <c r="E60" s="22">
        <f>[2]Время!S60</f>
        <v>0</v>
      </c>
      <c r="F60" s="23">
        <f>[3]Время!G60</f>
        <v>0</v>
      </c>
      <c r="G60" s="23">
        <f>[3]Время!S60</f>
        <v>0</v>
      </c>
    </row>
    <row r="61" spans="1:7" x14ac:dyDescent="0.3">
      <c r="A61" s="67">
        <f t="shared" si="0"/>
        <v>59</v>
      </c>
      <c r="B61" s="70">
        <f>[1]Время!G61</f>
        <v>0</v>
      </c>
      <c r="C61" s="21">
        <f>[1]Время!S61</f>
        <v>0</v>
      </c>
      <c r="D61" s="22">
        <f>[2]Время!G61</f>
        <v>0</v>
      </c>
      <c r="E61" s="22">
        <f>[2]Время!S61</f>
        <v>0</v>
      </c>
      <c r="F61" s="23">
        <f>[3]Время!G61</f>
        <v>0</v>
      </c>
      <c r="G61" s="23">
        <f>[3]Время!S61</f>
        <v>0</v>
      </c>
    </row>
    <row r="62" spans="1:7" x14ac:dyDescent="0.3">
      <c r="A62" s="67">
        <f t="shared" si="0"/>
        <v>60</v>
      </c>
      <c r="B62" s="70">
        <f>[1]Время!G62</f>
        <v>0</v>
      </c>
      <c r="C62" s="21">
        <f>[1]Время!S62</f>
        <v>0</v>
      </c>
      <c r="D62" s="22">
        <f>[2]Время!G62</f>
        <v>0</v>
      </c>
      <c r="E62" s="22">
        <f>[2]Время!S62</f>
        <v>0</v>
      </c>
      <c r="F62" s="23">
        <f>[3]Время!G62</f>
        <v>0</v>
      </c>
      <c r="G62" s="23">
        <f>[3]Время!S62</f>
        <v>0</v>
      </c>
    </row>
    <row r="63" spans="1:7" x14ac:dyDescent="0.3">
      <c r="A63" s="101">
        <f t="shared" si="0"/>
        <v>61</v>
      </c>
      <c r="B63" s="70">
        <f>[1]Время!G63</f>
        <v>172.07966666666667</v>
      </c>
      <c r="C63" s="21">
        <f>[1]Время!S63</f>
        <v>5.8863410449767075</v>
      </c>
      <c r="D63" s="22">
        <f>[2]Время!G63</f>
        <v>2.8333333333333335</v>
      </c>
      <c r="E63" s="22">
        <f>[2]Время!S63</f>
        <v>0.14333333333333348</v>
      </c>
      <c r="F63" s="23">
        <f>[3]Время!G63</f>
        <v>0.5</v>
      </c>
      <c r="G63" s="23">
        <f>[3]Время!S63</f>
        <v>0</v>
      </c>
    </row>
    <row r="64" spans="1:7" x14ac:dyDescent="0.3">
      <c r="A64" s="99">
        <f t="shared" si="0"/>
        <v>62</v>
      </c>
      <c r="B64" s="70">
        <f>[1]Время!G64</f>
        <v>0</v>
      </c>
      <c r="C64" s="21">
        <f>[1]Время!S64</f>
        <v>0</v>
      </c>
      <c r="D64" s="22">
        <f>[2]Время!G64</f>
        <v>0</v>
      </c>
      <c r="E64" s="22">
        <f>[2]Время!S64</f>
        <v>0</v>
      </c>
      <c r="F64" s="23">
        <f>[3]Время!G64</f>
        <v>0</v>
      </c>
      <c r="G64" s="23">
        <f>[3]Время!S64</f>
        <v>0</v>
      </c>
    </row>
    <row r="65" spans="1:7" x14ac:dyDescent="0.3">
      <c r="A65" s="99">
        <f t="shared" si="0"/>
        <v>63</v>
      </c>
      <c r="B65" s="70">
        <f>[1]Время!G65</f>
        <v>0</v>
      </c>
      <c r="C65" s="21">
        <f>[1]Время!S65</f>
        <v>0</v>
      </c>
      <c r="D65" s="22">
        <f>[2]Время!G65</f>
        <v>0</v>
      </c>
      <c r="E65" s="22">
        <f>[2]Время!S65</f>
        <v>0</v>
      </c>
      <c r="F65" s="23">
        <f>[3]Время!G65</f>
        <v>0</v>
      </c>
      <c r="G65" s="23">
        <f>[3]Время!S65</f>
        <v>0</v>
      </c>
    </row>
    <row r="66" spans="1:7" x14ac:dyDescent="0.3">
      <c r="A66" s="99">
        <f t="shared" si="0"/>
        <v>64</v>
      </c>
      <c r="B66" s="70">
        <f>[1]Время!G66</f>
        <v>0</v>
      </c>
      <c r="C66" s="21">
        <f>[1]Время!S66</f>
        <v>0</v>
      </c>
      <c r="D66" s="22">
        <f>[2]Время!G66</f>
        <v>0</v>
      </c>
      <c r="E66" s="22">
        <f>[2]Время!S66</f>
        <v>0</v>
      </c>
      <c r="F66" s="23">
        <f>[3]Время!G66</f>
        <v>0</v>
      </c>
      <c r="G66" s="23">
        <f>[3]Время!S66</f>
        <v>0</v>
      </c>
    </row>
    <row r="67" spans="1:7" x14ac:dyDescent="0.3">
      <c r="A67" s="99">
        <f t="shared" si="0"/>
        <v>65</v>
      </c>
      <c r="B67" s="70">
        <f>[1]Время!G67</f>
        <v>0</v>
      </c>
      <c r="C67" s="21">
        <f>[1]Время!S67</f>
        <v>0</v>
      </c>
      <c r="D67" s="22">
        <f>[2]Время!G67</f>
        <v>0</v>
      </c>
      <c r="E67" s="22">
        <f>[2]Время!S67</f>
        <v>0</v>
      </c>
      <c r="F67" s="23">
        <f>[3]Время!G67</f>
        <v>0</v>
      </c>
      <c r="G67" s="23">
        <f>[3]Время!S67</f>
        <v>0</v>
      </c>
    </row>
    <row r="68" spans="1:7" x14ac:dyDescent="0.3">
      <c r="A68" s="100">
        <f t="shared" si="0"/>
        <v>66</v>
      </c>
      <c r="B68" s="70">
        <f>[1]Время!G68</f>
        <v>177.13766666666666</v>
      </c>
      <c r="C68" s="21">
        <f>[1]Время!S68</f>
        <v>6.9879768794535737</v>
      </c>
      <c r="D68" s="22">
        <f>[2]Время!G68</f>
        <v>1.6000000000000003</v>
      </c>
      <c r="E68" s="22">
        <f>[2]Время!S68</f>
        <v>0.24826061575153904</v>
      </c>
      <c r="F68" s="23">
        <f>[3]Время!G68</f>
        <v>0.5</v>
      </c>
      <c r="G68" s="23">
        <f>[3]Время!S68</f>
        <v>0</v>
      </c>
    </row>
    <row r="69" spans="1:7" x14ac:dyDescent="0.3">
      <c r="A69" s="99">
        <f t="shared" ref="A69:A78" si="1">A68+1</f>
        <v>67</v>
      </c>
      <c r="B69" s="70">
        <f>[1]Время!G69</f>
        <v>0</v>
      </c>
      <c r="C69" s="21">
        <f>[1]Время!S69</f>
        <v>0</v>
      </c>
      <c r="D69" s="22">
        <f>[2]Время!G69</f>
        <v>0</v>
      </c>
      <c r="E69" s="22">
        <f>[2]Время!S69</f>
        <v>0</v>
      </c>
      <c r="F69" s="23">
        <f>[3]Время!G69</f>
        <v>0</v>
      </c>
      <c r="G69" s="23">
        <f>[3]Время!S69</f>
        <v>0</v>
      </c>
    </row>
    <row r="70" spans="1:7" x14ac:dyDescent="0.3">
      <c r="A70" s="99">
        <f t="shared" si="1"/>
        <v>68</v>
      </c>
      <c r="B70" s="70">
        <f>[1]Время!G70</f>
        <v>0</v>
      </c>
      <c r="C70" s="21">
        <f>[1]Время!S70</f>
        <v>0</v>
      </c>
      <c r="D70" s="22">
        <f>[2]Время!G70</f>
        <v>0</v>
      </c>
      <c r="E70" s="22">
        <f>[2]Время!S70</f>
        <v>0</v>
      </c>
      <c r="F70" s="23">
        <f>[3]Время!G70</f>
        <v>0</v>
      </c>
      <c r="G70" s="23">
        <f>[3]Время!S70</f>
        <v>0</v>
      </c>
    </row>
    <row r="71" spans="1:7" x14ac:dyDescent="0.3">
      <c r="A71" s="99">
        <f t="shared" si="1"/>
        <v>69</v>
      </c>
      <c r="B71" s="70">
        <f>[1]Время!G71</f>
        <v>0</v>
      </c>
      <c r="C71" s="21">
        <f>[1]Время!S71</f>
        <v>0</v>
      </c>
      <c r="D71" s="22">
        <f>[2]Время!G71</f>
        <v>0</v>
      </c>
      <c r="E71" s="22">
        <f>[2]Время!S71</f>
        <v>0</v>
      </c>
      <c r="F71" s="23">
        <f>[3]Время!G71</f>
        <v>0</v>
      </c>
      <c r="G71" s="23">
        <f>[3]Время!S71</f>
        <v>0</v>
      </c>
    </row>
    <row r="72" spans="1:7" x14ac:dyDescent="0.3">
      <c r="A72" s="99">
        <f t="shared" si="1"/>
        <v>70</v>
      </c>
      <c r="B72" s="70">
        <f>[1]Время!G72</f>
        <v>0</v>
      </c>
      <c r="C72" s="21">
        <f>[1]Время!S72</f>
        <v>0</v>
      </c>
      <c r="D72" s="22">
        <f>[2]Время!G72</f>
        <v>0</v>
      </c>
      <c r="E72" s="22">
        <f>[2]Время!S72</f>
        <v>0</v>
      </c>
      <c r="F72" s="23">
        <f>[3]Время!G72</f>
        <v>0</v>
      </c>
      <c r="G72" s="23">
        <f>[3]Время!S72</f>
        <v>0</v>
      </c>
    </row>
    <row r="73" spans="1:7" x14ac:dyDescent="0.3">
      <c r="A73" s="100">
        <f t="shared" si="1"/>
        <v>71</v>
      </c>
      <c r="B73" s="70">
        <f>[1]Время!G73</f>
        <v>147.50200000000001</v>
      </c>
      <c r="C73" s="21">
        <f>[1]Время!S73</f>
        <v>7.1147919198900782</v>
      </c>
      <c r="D73" s="22">
        <f>[2]Время!G73</f>
        <v>1.6000000000000003</v>
      </c>
      <c r="E73" s="22">
        <f>[2]Время!S73</f>
        <v>6.7513975723402323E-16</v>
      </c>
      <c r="F73" s="23">
        <f>[3]Время!G73</f>
        <v>0.5</v>
      </c>
      <c r="G73" s="23">
        <f>[3]Время!S73</f>
        <v>0</v>
      </c>
    </row>
    <row r="74" spans="1:7" x14ac:dyDescent="0.3">
      <c r="A74" s="99">
        <f t="shared" si="1"/>
        <v>72</v>
      </c>
      <c r="B74" s="70">
        <f>[1]Время!G74</f>
        <v>0</v>
      </c>
      <c r="C74" s="21">
        <f>[1]Время!S74</f>
        <v>0</v>
      </c>
      <c r="D74" s="22">
        <f>[2]Время!G74</f>
        <v>0</v>
      </c>
      <c r="E74" s="22">
        <f>[2]Время!S74</f>
        <v>0</v>
      </c>
      <c r="F74" s="23">
        <f>[3]Время!G74</f>
        <v>0</v>
      </c>
      <c r="G74" s="23">
        <f>[3]Время!S74</f>
        <v>0</v>
      </c>
    </row>
    <row r="75" spans="1:7" x14ac:dyDescent="0.3">
      <c r="A75" s="99">
        <f t="shared" si="1"/>
        <v>73</v>
      </c>
      <c r="B75" s="70">
        <f>[1]Время!G75</f>
        <v>0</v>
      </c>
      <c r="C75" s="21">
        <f>[1]Время!S75</f>
        <v>0</v>
      </c>
      <c r="D75" s="22">
        <f>[2]Время!G75</f>
        <v>0</v>
      </c>
      <c r="E75" s="22">
        <f>[2]Время!S75</f>
        <v>0</v>
      </c>
      <c r="F75" s="23">
        <f>[3]Время!G75</f>
        <v>0</v>
      </c>
      <c r="G75" s="23">
        <f>[3]Время!S75</f>
        <v>0</v>
      </c>
    </row>
    <row r="76" spans="1:7" x14ac:dyDescent="0.3">
      <c r="A76" s="99">
        <f t="shared" si="1"/>
        <v>74</v>
      </c>
      <c r="B76" s="70">
        <f>[1]Время!G76</f>
        <v>0</v>
      </c>
      <c r="C76" s="21">
        <f>[1]Время!S76</f>
        <v>0</v>
      </c>
      <c r="D76" s="22">
        <f>[2]Время!G76</f>
        <v>0</v>
      </c>
      <c r="E76" s="22">
        <f>[2]Время!S76</f>
        <v>0</v>
      </c>
      <c r="F76" s="23">
        <f>[3]Время!G76</f>
        <v>0</v>
      </c>
      <c r="G76" s="23">
        <f>[3]Время!S76</f>
        <v>0</v>
      </c>
    </row>
    <row r="77" spans="1:7" x14ac:dyDescent="0.3">
      <c r="A77" s="99">
        <f t="shared" si="1"/>
        <v>75</v>
      </c>
      <c r="B77" s="70">
        <f>[1]Время!G77</f>
        <v>0</v>
      </c>
      <c r="C77" s="21">
        <f>[1]Время!S77</f>
        <v>0</v>
      </c>
      <c r="D77" s="22">
        <f>[2]Время!G77</f>
        <v>0</v>
      </c>
      <c r="E77" s="22">
        <f>[2]Время!S77</f>
        <v>0</v>
      </c>
      <c r="F77" s="23">
        <f>[3]Время!G77</f>
        <v>0</v>
      </c>
      <c r="G77" s="23">
        <f>[3]Время!S77</f>
        <v>0</v>
      </c>
    </row>
    <row r="78" spans="1:7" x14ac:dyDescent="0.3">
      <c r="A78" s="100">
        <f t="shared" si="1"/>
        <v>76</v>
      </c>
      <c r="B78" s="70">
        <f>[1]Время!G78</f>
        <v>161.822</v>
      </c>
      <c r="C78" s="21">
        <f>[1]Время!S78</f>
        <v>5.3511514661176696</v>
      </c>
      <c r="D78" s="22">
        <f>[2]Время!G78</f>
        <v>7.2</v>
      </c>
      <c r="E78" s="22">
        <f>[2]Время!S78</f>
        <v>0</v>
      </c>
      <c r="F78" s="23">
        <f>[3]Время!G78</f>
        <v>0.5</v>
      </c>
      <c r="G78" s="23">
        <f>[3]Время!S78</f>
        <v>0</v>
      </c>
    </row>
    <row r="79" spans="1:7" x14ac:dyDescent="0.3">
      <c r="B79" s="70">
        <f>[1]Время!G79</f>
        <v>0</v>
      </c>
      <c r="C79" s="21">
        <f>[1]Время!S79</f>
        <v>0</v>
      </c>
      <c r="D79" s="22">
        <f>[2]Время!G79</f>
        <v>0</v>
      </c>
      <c r="E79" s="22">
        <f>[2]Время!S79</f>
        <v>0</v>
      </c>
      <c r="F79" s="23">
        <f>[3]Время!G79</f>
        <v>0</v>
      </c>
      <c r="G79" s="23">
        <f>[3]Время!S79</f>
        <v>0</v>
      </c>
    </row>
    <row r="80" spans="1:7" x14ac:dyDescent="0.3">
      <c r="B80" s="70">
        <f>[1]Время!G80</f>
        <v>0</v>
      </c>
      <c r="C80" s="21">
        <f>[1]Время!S80</f>
        <v>0</v>
      </c>
      <c r="D80" s="22">
        <f>[2]Время!G80</f>
        <v>0</v>
      </c>
      <c r="E80" s="22">
        <f>[2]Время!S80</f>
        <v>0</v>
      </c>
      <c r="F80" s="23">
        <f>[3]Время!G80</f>
        <v>0</v>
      </c>
      <c r="G80" s="23">
        <f>[3]Время!S80</f>
        <v>0</v>
      </c>
    </row>
    <row r="81" spans="1:7" x14ac:dyDescent="0.3">
      <c r="A81" s="100" t="s">
        <v>51</v>
      </c>
      <c r="B81" s="70">
        <f>[1]Время!G81</f>
        <v>154.274</v>
      </c>
      <c r="C81" s="21">
        <f>[1]Время!S81</f>
        <v>18.293777306231743</v>
      </c>
      <c r="D81" s="22">
        <f>[2]Время!G81</f>
        <v>1.2</v>
      </c>
      <c r="E81" s="22">
        <f>[2]Время!S81</f>
        <v>0</v>
      </c>
      <c r="F81" s="23">
        <f>[3]Время!G81</f>
        <v>1</v>
      </c>
      <c r="G81" s="23">
        <f>[3]Время!S81</f>
        <v>0</v>
      </c>
    </row>
    <row r="82" spans="1:7" x14ac:dyDescent="0.3">
      <c r="A82" s="100" t="s">
        <v>52</v>
      </c>
      <c r="B82" s="70">
        <f>[1]Время!G82</f>
        <v>154.524</v>
      </c>
      <c r="C82" s="21">
        <f>[1]Время!S82</f>
        <v>1.9658055626129478</v>
      </c>
      <c r="D82" s="22">
        <f>[2]Время!G82</f>
        <v>1.2</v>
      </c>
      <c r="E82" s="22">
        <f>[2]Время!S82</f>
        <v>0</v>
      </c>
      <c r="F82" s="23">
        <f>[3]Время!G82</f>
        <v>1</v>
      </c>
      <c r="G82" s="23">
        <f>[3]Время!S82</f>
        <v>0</v>
      </c>
    </row>
    <row r="83" spans="1:7" x14ac:dyDescent="0.3">
      <c r="A83" s="100" t="s">
        <v>53</v>
      </c>
      <c r="B83" s="70">
        <f>[1]Время!G83</f>
        <v>128.62899999999999</v>
      </c>
      <c r="C83" s="21">
        <f>[1]Время!S83</f>
        <v>22.698930238890107</v>
      </c>
      <c r="D83" s="22">
        <f>[2]Время!G83</f>
        <v>2.7999999999999994</v>
      </c>
      <c r="E83" s="22">
        <f>[2]Время!S83</f>
        <v>1.3502795144680465E-15</v>
      </c>
      <c r="F83" s="23">
        <f>[3]Время!G83</f>
        <v>0.5</v>
      </c>
      <c r="G83" s="23">
        <f>[3]Время!S83</f>
        <v>0</v>
      </c>
    </row>
    <row r="84" spans="1:7" x14ac:dyDescent="0.3">
      <c r="A84" s="100" t="s">
        <v>54</v>
      </c>
      <c r="B84" s="70">
        <f>[1]Время!G84</f>
        <v>125.17333333333333</v>
      </c>
      <c r="C84" s="21">
        <f>[1]Время!S84</f>
        <v>5.9078225295883042</v>
      </c>
      <c r="D84" s="22">
        <f>[2]Время!G84</f>
        <v>2.7999999999999994</v>
      </c>
      <c r="E84" s="22">
        <f>[2]Время!S84</f>
        <v>1.3502795144680465E-15</v>
      </c>
      <c r="F84" s="23">
        <f>[3]Время!G84</f>
        <v>0.5</v>
      </c>
      <c r="G84" s="23">
        <f>[3]Время!S84</f>
        <v>0</v>
      </c>
    </row>
    <row r="85" spans="1:7" x14ac:dyDescent="0.3">
      <c r="A85" s="100" t="s">
        <v>55</v>
      </c>
      <c r="B85" s="70">
        <f>[1]Время!G85</f>
        <v>142.01533333333333</v>
      </c>
      <c r="C85" s="21">
        <f>[1]Время!S85</f>
        <v>4.5706905460529281</v>
      </c>
      <c r="D85" s="22">
        <f>[2]Время!G85</f>
        <v>3.9</v>
      </c>
      <c r="E85" s="22">
        <f>[2]Время!S85</f>
        <v>0</v>
      </c>
      <c r="F85" s="23">
        <f>[3]Время!G85</f>
        <v>0.5</v>
      </c>
      <c r="G85" s="23">
        <f>[3]Время!S85</f>
        <v>0</v>
      </c>
    </row>
    <row r="86" spans="1:7" x14ac:dyDescent="0.3">
      <c r="A86" s="100" t="s">
        <v>56</v>
      </c>
      <c r="B86" s="70">
        <f>[1]Время!G86</f>
        <v>163.53299999999999</v>
      </c>
      <c r="C86" s="21">
        <f>[1]Время!S86</f>
        <v>8.3408986987813893</v>
      </c>
      <c r="D86" s="22">
        <f>[2]Время!G86</f>
        <v>3.9</v>
      </c>
      <c r="E86" s="22">
        <f>[2]Время!S86</f>
        <v>0</v>
      </c>
      <c r="F86" s="23">
        <f>[3]Время!G86</f>
        <v>0.5</v>
      </c>
      <c r="G86" s="23">
        <f>[3]Время!S86</f>
        <v>0</v>
      </c>
    </row>
    <row r="87" spans="1:7" x14ac:dyDescent="0.3">
      <c r="A87" s="100" t="s">
        <v>57</v>
      </c>
      <c r="B87" s="70">
        <f>[1]Время!G87</f>
        <v>125.05399999999999</v>
      </c>
      <c r="C87" s="21">
        <f>[1]Время!S87</f>
        <v>5.8390754328061236</v>
      </c>
      <c r="D87" s="22">
        <f>[2]Время!G87</f>
        <v>2.7999999999999994</v>
      </c>
      <c r="E87" s="22">
        <f>[2]Время!S87</f>
        <v>1.3502795144680465E-15</v>
      </c>
      <c r="F87" s="23">
        <f>[3]Время!G87</f>
        <v>0.80000000000000016</v>
      </c>
      <c r="G87" s="23">
        <f>[3]Время!S87</f>
        <v>3.3756987861701161E-16</v>
      </c>
    </row>
    <row r="88" spans="1:7" x14ac:dyDescent="0.3">
      <c r="A88" s="100" t="s">
        <v>58</v>
      </c>
      <c r="B88" s="70">
        <f>[1]Время!G88</f>
        <v>99.165000000000006</v>
      </c>
      <c r="C88" s="21">
        <f>[1]Время!S88</f>
        <v>22.358295370920676</v>
      </c>
      <c r="D88" s="22">
        <f>[2]Время!G88</f>
        <v>3.7999999999999994</v>
      </c>
      <c r="E88" s="22">
        <f>[2]Время!S88</f>
        <v>1.3502795144680465E-15</v>
      </c>
      <c r="F88" s="23">
        <f>[3]Время!G88</f>
        <v>0.80000000000000016</v>
      </c>
      <c r="G88" s="23">
        <f>[3]Время!S88</f>
        <v>3.3756987861701161E-16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4F2D-F915-440E-AA25-6DFC666AE1CE}">
  <sheetPr codeName="Лист13"/>
  <dimension ref="A1:S89"/>
  <sheetViews>
    <sheetView tabSelected="1" workbookViewId="0">
      <selection activeCell="J14" sqref="J14"/>
    </sheetView>
  </sheetViews>
  <sheetFormatPr defaultRowHeight="14.4" x14ac:dyDescent="0.3"/>
  <cols>
    <col min="1" max="1" width="33.21875" style="99" customWidth="1"/>
    <col min="2" max="2" width="10.6640625" style="71" customWidth="1"/>
    <col min="3" max="3" width="10.109375" style="5" customWidth="1"/>
    <col min="4" max="4" width="10.44140625" style="1" customWidth="1"/>
    <col min="5" max="5" width="10.33203125" style="1" customWidth="1"/>
    <col min="6" max="6" width="12.5546875" style="14" customWidth="1"/>
    <col min="7" max="7" width="11.33203125" style="14" customWidth="1"/>
    <col min="8" max="8" width="13.5546875" style="19" customWidth="1"/>
    <col min="9" max="9" width="11.44140625" style="19" customWidth="1"/>
    <col min="10" max="10" width="18" style="6" customWidth="1"/>
    <col min="11" max="11" width="18" style="30" customWidth="1"/>
    <col min="12" max="12" width="15" style="30" customWidth="1"/>
    <col min="13" max="13" width="14.88671875" style="30" customWidth="1"/>
    <col min="14" max="14" width="18.44140625" style="30" customWidth="1"/>
    <col min="15" max="15" width="17.44140625" style="6" customWidth="1"/>
    <col min="16" max="16" width="10" style="4" customWidth="1"/>
    <col min="17" max="17" width="13.33203125" style="4" customWidth="1"/>
    <col min="18" max="18" width="15.44140625" style="4" customWidth="1"/>
    <col min="19" max="19" width="16.33203125" style="4" customWidth="1"/>
    <col min="20" max="16384" width="8.88671875" style="4"/>
  </cols>
  <sheetData>
    <row r="1" spans="1:19" s="2" customFormat="1" x14ac:dyDescent="0.3">
      <c r="A1" s="102" t="s">
        <v>47</v>
      </c>
      <c r="B1" s="68" t="s">
        <v>2</v>
      </c>
      <c r="C1" s="7"/>
      <c r="D1" s="9" t="s">
        <v>4</v>
      </c>
      <c r="E1" s="8"/>
      <c r="F1" s="11" t="s">
        <v>3</v>
      </c>
      <c r="G1" s="13"/>
      <c r="H1" s="16" t="s">
        <v>5</v>
      </c>
      <c r="I1" s="18"/>
      <c r="J1" s="3"/>
      <c r="K1" s="34" t="s">
        <v>2</v>
      </c>
      <c r="L1" s="34" t="s">
        <v>4</v>
      </c>
      <c r="M1" s="34" t="s">
        <v>3</v>
      </c>
      <c r="N1" s="34" t="s">
        <v>5</v>
      </c>
      <c r="O1" s="3"/>
      <c r="P1" s="2" t="s">
        <v>14</v>
      </c>
      <c r="Q1" s="2" t="s">
        <v>11</v>
      </c>
      <c r="R1" s="2" t="s">
        <v>12</v>
      </c>
      <c r="S1" s="2" t="s">
        <v>13</v>
      </c>
    </row>
    <row r="2" spans="1:19" s="25" customFormat="1" ht="15" thickBot="1" x14ac:dyDescent="0.35">
      <c r="A2" s="103"/>
      <c r="B2" s="69" t="s">
        <v>45</v>
      </c>
      <c r="C2" s="26" t="s">
        <v>46</v>
      </c>
      <c r="D2" s="27" t="s">
        <v>45</v>
      </c>
      <c r="E2" s="27" t="s">
        <v>46</v>
      </c>
      <c r="F2" s="28" t="s">
        <v>45</v>
      </c>
      <c r="G2" s="28" t="s">
        <v>46</v>
      </c>
      <c r="H2" s="29" t="s">
        <v>45</v>
      </c>
      <c r="I2" s="29" t="s">
        <v>46</v>
      </c>
      <c r="J2" s="33"/>
      <c r="K2" s="32"/>
      <c r="L2" s="32"/>
      <c r="M2" s="32"/>
      <c r="N2" s="32"/>
      <c r="O2" s="33"/>
    </row>
    <row r="3" spans="1:19" s="20" customFormat="1" x14ac:dyDescent="0.3">
      <c r="A3" s="98">
        <v>1</v>
      </c>
      <c r="B3" s="70">
        <f>[1]Память!G3</f>
        <v>1244</v>
      </c>
      <c r="C3" s="21">
        <f>[1]Память!S3</f>
        <v>24.826061575153908</v>
      </c>
      <c r="D3" s="22">
        <f>[2]Память!G3</f>
        <v>50</v>
      </c>
      <c r="E3" s="22">
        <f>[2]Память!S3</f>
        <v>12.900000000000002</v>
      </c>
      <c r="F3" s="23">
        <f>[3]Память!G3</f>
        <v>540</v>
      </c>
      <c r="G3" s="23">
        <f>[3]Память!S3</f>
        <v>24.826061575153908</v>
      </c>
      <c r="H3" s="24">
        <v>60</v>
      </c>
      <c r="I3" s="24">
        <v>2E-3</v>
      </c>
      <c r="J3" s="31"/>
      <c r="K3" s="35" cm="1">
        <f t="array" ref="K3">PointMin4(B3+C3,D3+E3,F3+G3,H3+I3,B3+C3)</f>
        <v>1</v>
      </c>
      <c r="L3" s="35" cm="1">
        <f t="array" ref="L3">PointMin4(B3+C3,D3+E3,F3+G3,H3+I3,D3+E3)</f>
        <v>3</v>
      </c>
      <c r="M3" s="35" cm="1">
        <f t="array" ref="M3">PointMin4(B3+C3,D3+E3,F3+G3,H3+I3,F3+G3)</f>
        <v>2</v>
      </c>
      <c r="N3" s="35" cm="1">
        <f t="array" ref="N3">PointMin4(B3+C3,D3+E3,F3+G3,H3+I3,H3+I3)</f>
        <v>4</v>
      </c>
      <c r="O3" s="31"/>
      <c r="P3" s="35">
        <f>SUM(K:K)</f>
        <v>6</v>
      </c>
      <c r="Q3" s="35">
        <f>SUM(L:L)</f>
        <v>10</v>
      </c>
      <c r="R3" s="35">
        <f>SUM(M:M)</f>
        <v>8</v>
      </c>
      <c r="S3" s="35">
        <f>SUM(N:N)</f>
        <v>24</v>
      </c>
    </row>
    <row r="4" spans="1:19" x14ac:dyDescent="0.3">
      <c r="A4" s="99">
        <f>A3+1</f>
        <v>2</v>
      </c>
      <c r="B4" s="70">
        <f>[1]Память!G4</f>
        <v>0</v>
      </c>
      <c r="C4" s="21">
        <f>[1]Память!S4</f>
        <v>0</v>
      </c>
      <c r="D4" s="22">
        <f>[2]Память!G4</f>
        <v>0</v>
      </c>
      <c r="E4" s="22">
        <f>[2]Память!S4</f>
        <v>0</v>
      </c>
      <c r="F4" s="23">
        <f>[3]Память!G4</f>
        <v>0</v>
      </c>
      <c r="G4" s="23">
        <f>[3]Память!S4</f>
        <v>0</v>
      </c>
      <c r="H4" s="19">
        <v>-1</v>
      </c>
      <c r="I4" s="19">
        <v>-1</v>
      </c>
      <c r="J4" s="31"/>
      <c r="K4" s="35" cm="1">
        <f t="array" ref="K4">PointMin4(B4+C4,D4+E4,F4+G4,H4+I4,B4+C4)</f>
        <v>1</v>
      </c>
      <c r="L4" s="35" cm="1">
        <f t="array" ref="L4">PointMin4(B4+C4,D4+E4,F4+G4,H4+I4,D4+E4)</f>
        <v>1</v>
      </c>
      <c r="M4" s="35" cm="1">
        <f t="array" ref="M4">PointMin4(B4+C4,D4+E4,F4+G4,H4+I4,F4+G4)</f>
        <v>1</v>
      </c>
      <c r="N4" s="35" cm="1">
        <f t="array" ref="N4">PointMin4(B4+C4,D4+E4,F4+G4,H4+I4,H4+I4)</f>
        <v>4</v>
      </c>
      <c r="O4" s="31"/>
    </row>
    <row r="5" spans="1:19" x14ac:dyDescent="0.3">
      <c r="A5" s="99">
        <f t="shared" ref="A5:A68" si="0">A4+1</f>
        <v>3</v>
      </c>
      <c r="B5" s="70">
        <f>[1]Память!G5</f>
        <v>0</v>
      </c>
      <c r="C5" s="21">
        <f>[1]Память!S5</f>
        <v>0</v>
      </c>
      <c r="D5" s="22">
        <f>[2]Память!G5</f>
        <v>0</v>
      </c>
      <c r="E5" s="22">
        <f>[2]Память!S5</f>
        <v>0</v>
      </c>
      <c r="F5" s="23">
        <f>[3]Память!G5</f>
        <v>0</v>
      </c>
      <c r="G5" s="23">
        <f>[3]Память!S5</f>
        <v>0</v>
      </c>
      <c r="H5" s="19">
        <v>-1</v>
      </c>
      <c r="I5" s="19">
        <v>-1</v>
      </c>
      <c r="J5" s="31"/>
      <c r="K5" s="35" cm="1">
        <f t="array" ref="K5">PointMin4(B5+C5,D5+E5,F5+G5,H5+I5,B5+C5)</f>
        <v>1</v>
      </c>
      <c r="L5" s="35" cm="1">
        <f t="array" ref="L5">PointMin4(B5+C5,D5+E5,F5+G5,H5+I5,D5+E5)</f>
        <v>1</v>
      </c>
      <c r="M5" s="35" cm="1">
        <f t="array" ref="M5">PointMin4(B5+C5,D5+E5,F5+G5,H5+I5,F5+G5)</f>
        <v>1</v>
      </c>
      <c r="N5" s="35" cm="1">
        <f t="array" ref="N5">PointMin4(B5+C5,D5+E5,F5+G5,H5+I5,H5+I5)</f>
        <v>4</v>
      </c>
      <c r="O5" s="31"/>
    </row>
    <row r="6" spans="1:19" x14ac:dyDescent="0.3">
      <c r="A6" s="99">
        <f t="shared" si="0"/>
        <v>4</v>
      </c>
      <c r="B6" s="70">
        <f>[1]Память!G6</f>
        <v>0</v>
      </c>
      <c r="C6" s="21">
        <f>[1]Память!S6</f>
        <v>0</v>
      </c>
      <c r="D6" s="22">
        <f>[2]Память!G6</f>
        <v>0</v>
      </c>
      <c r="E6" s="22">
        <f>[2]Память!S6</f>
        <v>0</v>
      </c>
      <c r="F6" s="23">
        <f>[3]Память!G6</f>
        <v>0</v>
      </c>
      <c r="G6" s="23">
        <f>[3]Память!S6</f>
        <v>0</v>
      </c>
      <c r="H6" s="19">
        <v>-1</v>
      </c>
      <c r="I6" s="19">
        <v>-1</v>
      </c>
      <c r="J6" s="31"/>
      <c r="K6" s="35" cm="1">
        <f t="array" ref="K6">PointMin4(B6+C6,D6+E6,F6+G6,H6+I6,B6+C6)</f>
        <v>1</v>
      </c>
      <c r="L6" s="35" cm="1">
        <f t="array" ref="L6">PointMin4(B6+C6,D6+E6,F6+G6,H6+I6,D6+E6)</f>
        <v>1</v>
      </c>
      <c r="M6" s="35" cm="1">
        <f t="array" ref="M6">PointMin4(B6+C6,D6+E6,F6+G6,H6+I6,F6+G6)</f>
        <v>1</v>
      </c>
      <c r="N6" s="35" cm="1">
        <f t="array" ref="N6">PointMin4(B6+C6,D6+E6,F6+G6,H6+I6,H6+I6)</f>
        <v>4</v>
      </c>
      <c r="O6" s="31"/>
    </row>
    <row r="7" spans="1:19" x14ac:dyDescent="0.3">
      <c r="A7" s="99">
        <f t="shared" si="0"/>
        <v>5</v>
      </c>
      <c r="B7" s="70">
        <f>[1]Память!G7</f>
        <v>0</v>
      </c>
      <c r="C7" s="21">
        <f>[1]Память!S7</f>
        <v>0</v>
      </c>
      <c r="D7" s="22">
        <f>[2]Память!G7</f>
        <v>0</v>
      </c>
      <c r="E7" s="22">
        <f>[2]Память!S7</f>
        <v>0</v>
      </c>
      <c r="F7" s="23">
        <f>[3]Память!G7</f>
        <v>0</v>
      </c>
      <c r="G7" s="23">
        <f>[3]Память!S7</f>
        <v>0</v>
      </c>
      <c r="H7" s="19">
        <v>-1</v>
      </c>
      <c r="I7" s="19">
        <v>-1</v>
      </c>
      <c r="J7" s="31"/>
      <c r="K7" s="35" cm="1">
        <f t="array" ref="K7">PointMin4(B7+C7,D7+E7,F7+G7,H7+I7,B7+C7)</f>
        <v>1</v>
      </c>
      <c r="L7" s="35" cm="1">
        <f t="array" ref="L7">PointMin4(B7+C7,D7+E7,F7+G7,H7+I7,D7+E7)</f>
        <v>1</v>
      </c>
      <c r="M7" s="35" cm="1">
        <f t="array" ref="M7">PointMin4(B7+C7,D7+E7,F7+G7,H7+I7,F7+G7)</f>
        <v>1</v>
      </c>
      <c r="N7" s="35" cm="1">
        <f t="array" ref="N7">PointMin4(B7+C7,D7+E7,F7+G7,H7+I7,H7+I7)</f>
        <v>4</v>
      </c>
      <c r="O7" s="31"/>
    </row>
    <row r="8" spans="1:19" x14ac:dyDescent="0.3">
      <c r="A8" s="100">
        <f t="shared" si="0"/>
        <v>6</v>
      </c>
      <c r="B8" s="70">
        <f>[1]Память!G8</f>
        <v>1246</v>
      </c>
      <c r="C8" s="21">
        <f>[1]Память!S8</f>
        <v>31.106965993702012</v>
      </c>
      <c r="D8" s="22">
        <f>[2]Память!G8</f>
        <v>50</v>
      </c>
      <c r="E8" s="22">
        <f>[2]Память!S8</f>
        <v>12.900000000000002</v>
      </c>
      <c r="F8" s="23">
        <f>[3]Память!G8</f>
        <v>540</v>
      </c>
      <c r="G8" s="23">
        <f>[3]Память!S8</f>
        <v>24.826061575153908</v>
      </c>
      <c r="J8" s="31"/>
      <c r="K8" s="35" cm="1">
        <f t="array" ref="K8">PointMin4(B8+C8,D8+E8,F8+G8,H8+I8,B8+C8)</f>
        <v>1</v>
      </c>
      <c r="L8" s="35" cm="1">
        <f t="array" ref="L8">PointMin4(B8+C8,D8+E8,F8+G8,H8+I8,D8+E8)</f>
        <v>3</v>
      </c>
      <c r="M8" s="35" cm="1">
        <f t="array" ref="M8">PointMin4(B8+C8,D8+E8,F8+G8,H8+I8,F8+G8)</f>
        <v>2</v>
      </c>
      <c r="N8" s="35" cm="1">
        <f t="array" ref="N8">PointMin4(B8+C8,D8+E8,F8+G8,H8+I8,H8+I8)</f>
        <v>4</v>
      </c>
      <c r="O8" s="31"/>
    </row>
    <row r="9" spans="1:19" x14ac:dyDescent="0.3">
      <c r="A9" s="99">
        <f t="shared" si="0"/>
        <v>7</v>
      </c>
      <c r="B9" s="70">
        <f>[1]Память!G9</f>
        <v>0</v>
      </c>
      <c r="C9" s="21">
        <f>[1]Память!S9</f>
        <v>0</v>
      </c>
      <c r="D9" s="22">
        <f>[2]Память!G9</f>
        <v>0</v>
      </c>
      <c r="E9" s="22">
        <f>[2]Память!S9</f>
        <v>0</v>
      </c>
      <c r="F9" s="23">
        <f>[3]Память!G9</f>
        <v>0</v>
      </c>
      <c r="G9" s="23">
        <f>[3]Память!S9</f>
        <v>0</v>
      </c>
    </row>
    <row r="10" spans="1:19" x14ac:dyDescent="0.3">
      <c r="A10" s="99">
        <f t="shared" si="0"/>
        <v>8</v>
      </c>
      <c r="B10" s="70">
        <f>[1]Память!G10</f>
        <v>0</v>
      </c>
      <c r="C10" s="21">
        <f>[1]Память!S10</f>
        <v>0</v>
      </c>
      <c r="D10" s="22">
        <f>[2]Память!G10</f>
        <v>0</v>
      </c>
      <c r="E10" s="22">
        <f>[2]Память!S10</f>
        <v>0</v>
      </c>
      <c r="F10" s="23">
        <f>[3]Память!G10</f>
        <v>0</v>
      </c>
      <c r="G10" s="23">
        <f>[3]Память!S10</f>
        <v>0</v>
      </c>
    </row>
    <row r="11" spans="1:19" x14ac:dyDescent="0.3">
      <c r="A11" s="99">
        <f t="shared" si="0"/>
        <v>9</v>
      </c>
      <c r="B11" s="70">
        <f>[1]Память!G11</f>
        <v>0</v>
      </c>
      <c r="C11" s="21">
        <f>[1]Память!S11</f>
        <v>0</v>
      </c>
      <c r="D11" s="22">
        <f>[2]Память!G11</f>
        <v>0</v>
      </c>
      <c r="E11" s="22">
        <f>[2]Память!S11</f>
        <v>0</v>
      </c>
      <c r="F11" s="23">
        <f>[3]Память!G11</f>
        <v>0</v>
      </c>
      <c r="G11" s="23">
        <f>[3]Память!S11</f>
        <v>0</v>
      </c>
    </row>
    <row r="12" spans="1:19" x14ac:dyDescent="0.3">
      <c r="A12" s="99">
        <f t="shared" si="0"/>
        <v>10</v>
      </c>
      <c r="B12" s="70">
        <f>[1]Память!G12</f>
        <v>0</v>
      </c>
      <c r="C12" s="21">
        <f>[1]Память!S12</f>
        <v>0</v>
      </c>
      <c r="D12" s="22">
        <f>[2]Память!G12</f>
        <v>0</v>
      </c>
      <c r="E12" s="22">
        <f>[2]Память!S12</f>
        <v>0</v>
      </c>
      <c r="F12" s="23">
        <f>[3]Память!G12</f>
        <v>0</v>
      </c>
      <c r="G12" s="23">
        <f>[3]Память!S12</f>
        <v>0</v>
      </c>
    </row>
    <row r="13" spans="1:19" x14ac:dyDescent="0.3">
      <c r="A13" s="100">
        <f t="shared" si="0"/>
        <v>11</v>
      </c>
      <c r="B13" s="70">
        <f>[1]Память!G13</f>
        <v>1244.3333333333333</v>
      </c>
      <c r="C13" s="21">
        <f>[1]Память!S13</f>
        <v>27.346257107285776</v>
      </c>
      <c r="D13" s="22">
        <f>[2]Память!G13</f>
        <v>53</v>
      </c>
      <c r="E13" s="22">
        <f>[2]Память!S13</f>
        <v>17.378243102607737</v>
      </c>
      <c r="F13" s="23">
        <f>[3]Память!G13</f>
        <v>540</v>
      </c>
      <c r="G13" s="23">
        <f>[3]Память!S13</f>
        <v>24.826061575153908</v>
      </c>
    </row>
    <row r="14" spans="1:19" x14ac:dyDescent="0.3">
      <c r="A14" s="99">
        <f t="shared" si="0"/>
        <v>12</v>
      </c>
      <c r="B14" s="70">
        <f>[1]Память!G14</f>
        <v>0</v>
      </c>
      <c r="C14" s="21">
        <f>[1]Память!S14</f>
        <v>0</v>
      </c>
      <c r="D14" s="22">
        <f>[2]Память!G14</f>
        <v>0</v>
      </c>
      <c r="E14" s="22">
        <f>[2]Память!S14</f>
        <v>0</v>
      </c>
      <c r="F14" s="23">
        <f>[3]Память!G14</f>
        <v>0</v>
      </c>
      <c r="G14" s="23">
        <f>[3]Память!S14</f>
        <v>0</v>
      </c>
      <c r="K14" s="6"/>
    </row>
    <row r="15" spans="1:19" x14ac:dyDescent="0.3">
      <c r="A15" s="99">
        <f t="shared" si="0"/>
        <v>13</v>
      </c>
      <c r="B15" s="70">
        <f>[1]Память!G15</f>
        <v>0</v>
      </c>
      <c r="C15" s="21">
        <f>[1]Память!S15</f>
        <v>0</v>
      </c>
      <c r="D15" s="22">
        <f>[2]Память!G15</f>
        <v>0</v>
      </c>
      <c r="E15" s="22">
        <f>[2]Память!S15</f>
        <v>0</v>
      </c>
      <c r="F15" s="23">
        <f>[3]Память!G15</f>
        <v>0</v>
      </c>
      <c r="G15" s="23">
        <f>[3]Память!S15</f>
        <v>0</v>
      </c>
    </row>
    <row r="16" spans="1:19" x14ac:dyDescent="0.3">
      <c r="A16" s="99">
        <f t="shared" si="0"/>
        <v>14</v>
      </c>
      <c r="B16" s="70">
        <f>[1]Память!G16</f>
        <v>0</v>
      </c>
      <c r="C16" s="21">
        <f>[1]Память!S16</f>
        <v>0</v>
      </c>
      <c r="D16" s="22">
        <f>[2]Память!G16</f>
        <v>0</v>
      </c>
      <c r="E16" s="22">
        <f>[2]Память!S16</f>
        <v>0</v>
      </c>
      <c r="F16" s="23">
        <f>[3]Память!G16</f>
        <v>0</v>
      </c>
      <c r="G16" s="23">
        <f>[3]Память!S16</f>
        <v>0</v>
      </c>
    </row>
    <row r="17" spans="1:7" x14ac:dyDescent="0.3">
      <c r="A17" s="99">
        <f t="shared" si="0"/>
        <v>15</v>
      </c>
      <c r="B17" s="70">
        <f>[1]Память!G17</f>
        <v>0</v>
      </c>
      <c r="C17" s="21">
        <f>[1]Память!S17</f>
        <v>0</v>
      </c>
      <c r="D17" s="22">
        <f>[2]Память!G17</f>
        <v>0</v>
      </c>
      <c r="E17" s="22">
        <f>[2]Память!S17</f>
        <v>0</v>
      </c>
      <c r="F17" s="23">
        <f>[3]Память!G17</f>
        <v>0</v>
      </c>
      <c r="G17" s="23">
        <f>[3]Память!S17</f>
        <v>0</v>
      </c>
    </row>
    <row r="18" spans="1:7" x14ac:dyDescent="0.3">
      <c r="A18" s="100">
        <f t="shared" si="0"/>
        <v>16</v>
      </c>
      <c r="B18" s="70">
        <f>[1]Память!G18</f>
        <v>1250</v>
      </c>
      <c r="C18" s="21">
        <f>[1]Память!S18</f>
        <v>29.791273890184691</v>
      </c>
      <c r="D18" s="22">
        <f>[2]Память!G18</f>
        <v>48.333333333333336</v>
      </c>
      <c r="E18" s="22">
        <f>[2]Память!S18</f>
        <v>21.114318469807273</v>
      </c>
      <c r="F18" s="23">
        <f>[3]Память!G18</f>
        <v>540</v>
      </c>
      <c r="G18" s="23">
        <f>[3]Память!S18</f>
        <v>24.826061575153908</v>
      </c>
    </row>
    <row r="19" spans="1:7" x14ac:dyDescent="0.3">
      <c r="A19" s="99">
        <f t="shared" si="0"/>
        <v>17</v>
      </c>
      <c r="B19" s="70">
        <f>[1]Память!G19</f>
        <v>0</v>
      </c>
      <c r="C19" s="21">
        <f>[1]Память!S19</f>
        <v>0</v>
      </c>
      <c r="D19" s="22">
        <f>[2]Память!G19</f>
        <v>0</v>
      </c>
      <c r="E19" s="22">
        <f>[2]Память!S19</f>
        <v>0</v>
      </c>
      <c r="F19" s="23">
        <f>[3]Память!G19</f>
        <v>0</v>
      </c>
      <c r="G19" s="23">
        <f>[3]Память!S19</f>
        <v>0</v>
      </c>
    </row>
    <row r="20" spans="1:7" x14ac:dyDescent="0.3">
      <c r="A20" s="99">
        <f t="shared" si="0"/>
        <v>18</v>
      </c>
      <c r="B20" s="70">
        <f>[1]Память!G20</f>
        <v>0</v>
      </c>
      <c r="C20" s="21">
        <f>[1]Память!S20</f>
        <v>0</v>
      </c>
      <c r="D20" s="22">
        <f>[2]Память!G20</f>
        <v>0</v>
      </c>
      <c r="E20" s="22">
        <f>[2]Память!S20</f>
        <v>0</v>
      </c>
      <c r="F20" s="23">
        <f>[3]Память!G20</f>
        <v>0</v>
      </c>
      <c r="G20" s="23">
        <f>[3]Память!S20</f>
        <v>0</v>
      </c>
    </row>
    <row r="21" spans="1:7" x14ac:dyDescent="0.3">
      <c r="A21" s="99">
        <f t="shared" si="0"/>
        <v>19</v>
      </c>
      <c r="B21" s="70">
        <f>[1]Память!G21</f>
        <v>0</v>
      </c>
      <c r="C21" s="21">
        <f>[1]Память!S21</f>
        <v>0</v>
      </c>
      <c r="D21" s="22">
        <f>[2]Память!G21</f>
        <v>0</v>
      </c>
      <c r="E21" s="22">
        <f>[2]Память!S21</f>
        <v>0</v>
      </c>
      <c r="F21" s="23">
        <f>[3]Память!G21</f>
        <v>0</v>
      </c>
      <c r="G21" s="23">
        <f>[3]Память!S21</f>
        <v>0</v>
      </c>
    </row>
    <row r="22" spans="1:7" x14ac:dyDescent="0.3">
      <c r="A22" s="99">
        <f t="shared" si="0"/>
        <v>20</v>
      </c>
      <c r="B22" s="70">
        <f>[1]Память!G22</f>
        <v>0</v>
      </c>
      <c r="C22" s="21">
        <f>[1]Память!S22</f>
        <v>0</v>
      </c>
      <c r="D22" s="22">
        <f>[2]Память!G22</f>
        <v>0</v>
      </c>
      <c r="E22" s="22">
        <f>[2]Память!S22</f>
        <v>0</v>
      </c>
      <c r="F22" s="23">
        <f>[3]Память!G22</f>
        <v>0</v>
      </c>
      <c r="G22" s="23">
        <f>[3]Память!S22</f>
        <v>0</v>
      </c>
    </row>
    <row r="23" spans="1:7" x14ac:dyDescent="0.3">
      <c r="A23" s="100">
        <f t="shared" si="0"/>
        <v>21</v>
      </c>
      <c r="B23" s="70">
        <f>[1]Память!G23</f>
        <v>1247</v>
      </c>
      <c r="C23" s="21">
        <f>[1]Память!S23</f>
        <v>28.630810909461392</v>
      </c>
      <c r="D23" s="22">
        <f>[2]Память!G23</f>
        <v>56</v>
      </c>
      <c r="E23" s="22">
        <f>[2]Память!S23</f>
        <v>17.902327595408739</v>
      </c>
      <c r="F23" s="23">
        <f>[3]Память!G23</f>
        <v>540</v>
      </c>
      <c r="G23" s="23">
        <f>[3]Память!S23</f>
        <v>24.826061575153908</v>
      </c>
    </row>
    <row r="24" spans="1:7" x14ac:dyDescent="0.3">
      <c r="A24" s="67">
        <f t="shared" si="0"/>
        <v>22</v>
      </c>
      <c r="B24" s="70">
        <f>[1]Память!G24</f>
        <v>0</v>
      </c>
      <c r="C24" s="21">
        <f>[1]Память!S24</f>
        <v>0</v>
      </c>
      <c r="D24" s="22">
        <f>[2]Память!G24</f>
        <v>0</v>
      </c>
      <c r="E24" s="22">
        <f>[2]Память!S24</f>
        <v>0</v>
      </c>
      <c r="F24" s="23">
        <f>[3]Память!G24</f>
        <v>0</v>
      </c>
      <c r="G24" s="23">
        <f>[3]Память!S24</f>
        <v>0</v>
      </c>
    </row>
    <row r="25" spans="1:7" x14ac:dyDescent="0.3">
      <c r="A25" s="67">
        <f t="shared" si="0"/>
        <v>23</v>
      </c>
      <c r="B25" s="70">
        <f>[1]Память!G25</f>
        <v>0</v>
      </c>
      <c r="C25" s="21">
        <f>[1]Память!S25</f>
        <v>0</v>
      </c>
      <c r="D25" s="22">
        <f>[2]Память!G25</f>
        <v>0</v>
      </c>
      <c r="E25" s="22">
        <f>[2]Память!S25</f>
        <v>0</v>
      </c>
      <c r="F25" s="23">
        <f>[3]Память!G25</f>
        <v>0</v>
      </c>
      <c r="G25" s="23">
        <f>[3]Память!S25</f>
        <v>0</v>
      </c>
    </row>
    <row r="26" spans="1:7" x14ac:dyDescent="0.3">
      <c r="A26" s="67">
        <f t="shared" si="0"/>
        <v>24</v>
      </c>
      <c r="B26" s="70">
        <f>[1]Память!G26</f>
        <v>0</v>
      </c>
      <c r="C26" s="21">
        <f>[1]Память!S26</f>
        <v>0</v>
      </c>
      <c r="D26" s="22">
        <f>[2]Память!G26</f>
        <v>0</v>
      </c>
      <c r="E26" s="22">
        <f>[2]Память!S26</f>
        <v>0</v>
      </c>
      <c r="F26" s="23">
        <f>[3]Память!G26</f>
        <v>0</v>
      </c>
      <c r="G26" s="23">
        <f>[3]Память!S26</f>
        <v>0</v>
      </c>
    </row>
    <row r="27" spans="1:7" x14ac:dyDescent="0.3">
      <c r="A27" s="67">
        <f t="shared" si="0"/>
        <v>25</v>
      </c>
      <c r="B27" s="70">
        <f>[1]Память!G27</f>
        <v>0</v>
      </c>
      <c r="C27" s="21">
        <f>[1]Память!S27</f>
        <v>0</v>
      </c>
      <c r="D27" s="22">
        <f>[2]Память!G27</f>
        <v>0</v>
      </c>
      <c r="E27" s="22">
        <f>[2]Память!S27</f>
        <v>0</v>
      </c>
      <c r="F27" s="23">
        <f>[3]Память!G27</f>
        <v>0</v>
      </c>
      <c r="G27" s="23">
        <f>[3]Память!S27</f>
        <v>0</v>
      </c>
    </row>
    <row r="28" spans="1:7" x14ac:dyDescent="0.3">
      <c r="A28" s="100">
        <f t="shared" si="0"/>
        <v>26</v>
      </c>
      <c r="B28" s="70">
        <f>[1]Память!G28</f>
        <v>1246</v>
      </c>
      <c r="C28" s="21">
        <f>[1]Память!S28</f>
        <v>31.106965993702012</v>
      </c>
      <c r="D28" s="22">
        <f>[2]Память!G28</f>
        <v>56.666666666666664</v>
      </c>
      <c r="E28" s="22">
        <f>[2]Память!S28</f>
        <v>15.960924506779397</v>
      </c>
      <c r="F28" s="23">
        <f>[3]Память!G28</f>
        <v>540</v>
      </c>
      <c r="G28" s="23">
        <f>[3]Память!S28</f>
        <v>24.826061575153908</v>
      </c>
    </row>
    <row r="29" spans="1:7" x14ac:dyDescent="0.3">
      <c r="A29" s="67">
        <f t="shared" si="0"/>
        <v>27</v>
      </c>
      <c r="B29" s="70">
        <f>[1]Память!G29</f>
        <v>0</v>
      </c>
      <c r="C29" s="21">
        <f>[1]Память!S29</f>
        <v>0</v>
      </c>
      <c r="D29" s="22">
        <f>[2]Память!G29</f>
        <v>0</v>
      </c>
      <c r="E29" s="22">
        <f>[2]Память!S29</f>
        <v>0</v>
      </c>
      <c r="F29" s="23">
        <f>[3]Память!G29</f>
        <v>0</v>
      </c>
      <c r="G29" s="23">
        <f>[3]Память!S29</f>
        <v>0</v>
      </c>
    </row>
    <row r="30" spans="1:7" x14ac:dyDescent="0.3">
      <c r="A30" s="67">
        <f t="shared" si="0"/>
        <v>28</v>
      </c>
      <c r="B30" s="70">
        <f>[1]Память!G30</f>
        <v>0</v>
      </c>
      <c r="C30" s="21">
        <f>[1]Память!S30</f>
        <v>0</v>
      </c>
      <c r="D30" s="22">
        <f>[2]Память!G30</f>
        <v>0</v>
      </c>
      <c r="E30" s="22">
        <f>[2]Память!S30</f>
        <v>0</v>
      </c>
      <c r="F30" s="23">
        <f>[3]Память!G30</f>
        <v>0</v>
      </c>
      <c r="G30" s="23">
        <f>[3]Память!S30</f>
        <v>0</v>
      </c>
    </row>
    <row r="31" spans="1:7" x14ac:dyDescent="0.3">
      <c r="A31" s="67">
        <f t="shared" si="0"/>
        <v>29</v>
      </c>
      <c r="B31" s="70">
        <f>[1]Память!G31</f>
        <v>0</v>
      </c>
      <c r="C31" s="21">
        <f>[1]Память!S31</f>
        <v>0</v>
      </c>
      <c r="D31" s="22">
        <f>[2]Память!G31</f>
        <v>0</v>
      </c>
      <c r="E31" s="22">
        <f>[2]Память!S31</f>
        <v>0</v>
      </c>
      <c r="F31" s="23">
        <f>[3]Память!G31</f>
        <v>0</v>
      </c>
      <c r="G31" s="23">
        <f>[3]Память!S31</f>
        <v>0</v>
      </c>
    </row>
    <row r="32" spans="1:7" x14ac:dyDescent="0.3">
      <c r="A32" s="67">
        <f t="shared" si="0"/>
        <v>30</v>
      </c>
      <c r="B32" s="70">
        <f>[1]Память!G32</f>
        <v>0</v>
      </c>
      <c r="C32" s="21">
        <f>[1]Память!S32</f>
        <v>0</v>
      </c>
      <c r="D32" s="22">
        <f>[2]Память!G32</f>
        <v>0</v>
      </c>
      <c r="E32" s="22">
        <f>[2]Память!S32</f>
        <v>0</v>
      </c>
      <c r="F32" s="23">
        <f>[3]Память!G32</f>
        <v>0</v>
      </c>
      <c r="G32" s="23">
        <f>[3]Память!S32</f>
        <v>0</v>
      </c>
    </row>
    <row r="33" spans="1:7" x14ac:dyDescent="0.3">
      <c r="A33" s="100">
        <f t="shared" si="0"/>
        <v>31</v>
      </c>
      <c r="B33" s="70">
        <f>[1]Память!G33</f>
        <v>1244.3333333333333</v>
      </c>
      <c r="C33" s="21">
        <f>[1]Память!S33</f>
        <v>27.346257107285776</v>
      </c>
      <c r="D33" s="22">
        <f>[2]Память!G33</f>
        <v>56.666666666666664</v>
      </c>
      <c r="E33" s="22">
        <f>[2]Память!S33</f>
        <v>15.960924506779397</v>
      </c>
      <c r="F33" s="23">
        <f>[3]Память!G33</f>
        <v>540</v>
      </c>
      <c r="G33" s="23">
        <f>[3]Память!S33</f>
        <v>24.826061575153908</v>
      </c>
    </row>
    <row r="34" spans="1:7" x14ac:dyDescent="0.3">
      <c r="A34" s="67">
        <f t="shared" si="0"/>
        <v>32</v>
      </c>
      <c r="B34" s="70">
        <f>[1]Память!G34</f>
        <v>0</v>
      </c>
      <c r="C34" s="21">
        <f>[1]Память!S34</f>
        <v>0</v>
      </c>
      <c r="D34" s="22">
        <f>[2]Память!G34</f>
        <v>0</v>
      </c>
      <c r="E34" s="22">
        <f>[2]Память!S34</f>
        <v>0</v>
      </c>
      <c r="F34" s="23">
        <f>[3]Память!G34</f>
        <v>0</v>
      </c>
      <c r="G34" s="23">
        <f>[3]Память!S34</f>
        <v>0</v>
      </c>
    </row>
    <row r="35" spans="1:7" x14ac:dyDescent="0.3">
      <c r="A35" s="67">
        <f t="shared" si="0"/>
        <v>33</v>
      </c>
      <c r="B35" s="70">
        <f>[1]Память!G35</f>
        <v>0</v>
      </c>
      <c r="C35" s="21">
        <f>[1]Память!S35</f>
        <v>0</v>
      </c>
      <c r="D35" s="22">
        <f>[2]Память!G35</f>
        <v>0</v>
      </c>
      <c r="E35" s="22">
        <f>[2]Память!S35</f>
        <v>0</v>
      </c>
      <c r="F35" s="23">
        <f>[3]Память!G35</f>
        <v>0</v>
      </c>
      <c r="G35" s="23">
        <f>[3]Память!S35</f>
        <v>0</v>
      </c>
    </row>
    <row r="36" spans="1:7" x14ac:dyDescent="0.3">
      <c r="A36" s="67">
        <f t="shared" si="0"/>
        <v>34</v>
      </c>
      <c r="B36" s="70">
        <f>[1]Память!G36</f>
        <v>0</v>
      </c>
      <c r="C36" s="21">
        <f>[1]Память!S36</f>
        <v>0</v>
      </c>
      <c r="D36" s="22">
        <f>[2]Память!G36</f>
        <v>0</v>
      </c>
      <c r="E36" s="22">
        <f>[2]Память!S36</f>
        <v>0</v>
      </c>
      <c r="F36" s="23">
        <f>[3]Память!G36</f>
        <v>0</v>
      </c>
      <c r="G36" s="23">
        <f>[3]Память!S36</f>
        <v>0</v>
      </c>
    </row>
    <row r="37" spans="1:7" x14ac:dyDescent="0.3">
      <c r="A37" s="67">
        <f t="shared" si="0"/>
        <v>35</v>
      </c>
      <c r="B37" s="70">
        <f>[1]Память!G37</f>
        <v>0</v>
      </c>
      <c r="C37" s="21">
        <f>[1]Память!S37</f>
        <v>0</v>
      </c>
      <c r="D37" s="22">
        <f>[2]Память!G37</f>
        <v>0</v>
      </c>
      <c r="E37" s="22">
        <f>[2]Память!S37</f>
        <v>0</v>
      </c>
      <c r="F37" s="23">
        <f>[3]Память!G37</f>
        <v>0</v>
      </c>
      <c r="G37" s="23">
        <f>[3]Память!S37</f>
        <v>0</v>
      </c>
    </row>
    <row r="38" spans="1:7" x14ac:dyDescent="0.3">
      <c r="A38" s="100">
        <f t="shared" si="0"/>
        <v>36</v>
      </c>
      <c r="B38" s="70">
        <f>[1]Память!G38</f>
        <v>1249.3333333333333</v>
      </c>
      <c r="C38" s="21">
        <f>[1]Память!S38</f>
        <v>40.363033142275675</v>
      </c>
      <c r="D38" s="22">
        <f>[2]Память!G38</f>
        <v>58.333333333333336</v>
      </c>
      <c r="E38" s="22">
        <f>[2]Память!S38</f>
        <v>16.152846326404656</v>
      </c>
      <c r="F38" s="23">
        <f>[3]Память!G38</f>
        <v>540</v>
      </c>
      <c r="G38" s="23">
        <f>[3]Память!S38</f>
        <v>24.826061575153908</v>
      </c>
    </row>
    <row r="39" spans="1:7" x14ac:dyDescent="0.3">
      <c r="A39" s="67">
        <f t="shared" si="0"/>
        <v>37</v>
      </c>
      <c r="B39" s="70">
        <f>[1]Память!G39</f>
        <v>0</v>
      </c>
      <c r="C39" s="21">
        <f>[1]Память!S39</f>
        <v>0</v>
      </c>
      <c r="D39" s="22">
        <f>[2]Память!G39</f>
        <v>0</v>
      </c>
      <c r="E39" s="22">
        <f>[2]Память!S39</f>
        <v>0</v>
      </c>
      <c r="F39" s="23">
        <f>[3]Память!G39</f>
        <v>0</v>
      </c>
      <c r="G39" s="23">
        <f>[3]Память!S39</f>
        <v>0</v>
      </c>
    </row>
    <row r="40" spans="1:7" x14ac:dyDescent="0.3">
      <c r="A40" s="67">
        <f t="shared" si="0"/>
        <v>38</v>
      </c>
      <c r="B40" s="70">
        <f>[1]Память!G40</f>
        <v>0</v>
      </c>
      <c r="C40" s="21">
        <f>[1]Память!S40</f>
        <v>0</v>
      </c>
      <c r="D40" s="22">
        <f>[2]Память!G40</f>
        <v>0</v>
      </c>
      <c r="E40" s="22">
        <f>[2]Память!S40</f>
        <v>0</v>
      </c>
      <c r="F40" s="23">
        <f>[3]Память!G40</f>
        <v>0</v>
      </c>
      <c r="G40" s="23">
        <f>[3]Память!S40</f>
        <v>0</v>
      </c>
    </row>
    <row r="41" spans="1:7" x14ac:dyDescent="0.3">
      <c r="A41" s="67">
        <f t="shared" si="0"/>
        <v>39</v>
      </c>
      <c r="B41" s="70">
        <f>[1]Память!G41</f>
        <v>0</v>
      </c>
      <c r="C41" s="21">
        <f>[1]Память!S41</f>
        <v>0</v>
      </c>
      <c r="D41" s="22">
        <f>[2]Память!G41</f>
        <v>0</v>
      </c>
      <c r="E41" s="22">
        <f>[2]Память!S41</f>
        <v>0</v>
      </c>
      <c r="F41" s="23">
        <f>[3]Память!G41</f>
        <v>0</v>
      </c>
      <c r="G41" s="23">
        <f>[3]Память!S41</f>
        <v>0</v>
      </c>
    </row>
    <row r="42" spans="1:7" x14ac:dyDescent="0.3">
      <c r="A42" s="67">
        <f t="shared" si="0"/>
        <v>40</v>
      </c>
      <c r="B42" s="70">
        <f>[1]Память!G42</f>
        <v>0</v>
      </c>
      <c r="C42" s="21">
        <f>[1]Память!S42</f>
        <v>0</v>
      </c>
      <c r="D42" s="22">
        <f>[2]Память!G42</f>
        <v>0</v>
      </c>
      <c r="E42" s="22">
        <f>[2]Память!S42</f>
        <v>0</v>
      </c>
      <c r="F42" s="23">
        <f>[3]Память!G42</f>
        <v>0</v>
      </c>
      <c r="G42" s="23">
        <f>[3]Память!S42</f>
        <v>0</v>
      </c>
    </row>
    <row r="43" spans="1:7" x14ac:dyDescent="0.3">
      <c r="A43" s="100">
        <f t="shared" si="0"/>
        <v>41</v>
      </c>
      <c r="B43" s="70">
        <f>[1]Память!G43</f>
        <v>1246.6666666666667</v>
      </c>
      <c r="C43" s="21">
        <f>[1]Память!S43</f>
        <v>23.595644607521201</v>
      </c>
      <c r="D43" s="22">
        <f>[2]Память!G43</f>
        <v>50</v>
      </c>
      <c r="E43" s="22">
        <f>[2]Память!S43</f>
        <v>12.900000000000002</v>
      </c>
      <c r="F43" s="23">
        <f>[3]Память!G43</f>
        <v>540</v>
      </c>
      <c r="G43" s="23">
        <f>[3]Память!S43</f>
        <v>24.826061575153908</v>
      </c>
    </row>
    <row r="44" spans="1:7" x14ac:dyDescent="0.3">
      <c r="A44" s="99">
        <f t="shared" si="0"/>
        <v>42</v>
      </c>
      <c r="B44" s="70">
        <f>[1]Память!G44</f>
        <v>0</v>
      </c>
      <c r="C44" s="21">
        <f>[1]Память!S44</f>
        <v>0</v>
      </c>
      <c r="D44" s="22">
        <f>[2]Память!G44</f>
        <v>0</v>
      </c>
      <c r="E44" s="22">
        <f>[2]Память!S44</f>
        <v>0</v>
      </c>
      <c r="F44" s="23">
        <f>[3]Память!G44</f>
        <v>0</v>
      </c>
      <c r="G44" s="23">
        <f>[3]Память!S44</f>
        <v>0</v>
      </c>
    </row>
    <row r="45" spans="1:7" x14ac:dyDescent="0.3">
      <c r="A45" s="99">
        <f t="shared" si="0"/>
        <v>43</v>
      </c>
      <c r="B45" s="70">
        <f>[1]Память!G45</f>
        <v>0</v>
      </c>
      <c r="C45" s="21">
        <f>[1]Память!S45</f>
        <v>0</v>
      </c>
      <c r="D45" s="22">
        <f>[2]Память!G45</f>
        <v>0</v>
      </c>
      <c r="E45" s="22">
        <f>[2]Память!S45</f>
        <v>0</v>
      </c>
      <c r="F45" s="23">
        <f>[3]Память!G45</f>
        <v>0</v>
      </c>
      <c r="G45" s="23">
        <f>[3]Память!S45</f>
        <v>0</v>
      </c>
    </row>
    <row r="46" spans="1:7" x14ac:dyDescent="0.3">
      <c r="A46" s="99">
        <f t="shared" si="0"/>
        <v>44</v>
      </c>
      <c r="B46" s="70">
        <f>[1]Память!G46</f>
        <v>0</v>
      </c>
      <c r="C46" s="21">
        <f>[1]Память!S46</f>
        <v>0</v>
      </c>
      <c r="D46" s="22">
        <f>[2]Память!G46</f>
        <v>0</v>
      </c>
      <c r="E46" s="22">
        <f>[2]Память!S46</f>
        <v>0</v>
      </c>
      <c r="F46" s="23">
        <f>[3]Память!G46</f>
        <v>0</v>
      </c>
      <c r="G46" s="23">
        <f>[3]Память!S46</f>
        <v>0</v>
      </c>
    </row>
    <row r="47" spans="1:7" x14ac:dyDescent="0.3">
      <c r="A47" s="99">
        <f t="shared" si="0"/>
        <v>45</v>
      </c>
      <c r="B47" s="70">
        <f>[1]Память!G47</f>
        <v>0</v>
      </c>
      <c r="C47" s="21">
        <f>[1]Память!S47</f>
        <v>0</v>
      </c>
      <c r="D47" s="22">
        <f>[2]Память!G47</f>
        <v>0</v>
      </c>
      <c r="E47" s="22">
        <f>[2]Память!S47</f>
        <v>0</v>
      </c>
      <c r="F47" s="23">
        <f>[3]Память!G47</f>
        <v>0</v>
      </c>
      <c r="G47" s="23">
        <f>[3]Память!S47</f>
        <v>0</v>
      </c>
    </row>
    <row r="48" spans="1:7" x14ac:dyDescent="0.3">
      <c r="A48" s="100">
        <f t="shared" si="0"/>
        <v>46</v>
      </c>
      <c r="B48" s="70">
        <f>[1]Память!G48</f>
        <v>1243</v>
      </c>
      <c r="C48" s="21">
        <f>[1]Память!S48</f>
        <v>27.308667732669299</v>
      </c>
      <c r="D48" s="22">
        <f>[2]Память!G48</f>
        <v>50</v>
      </c>
      <c r="E48" s="22">
        <f>[2]Память!S48</f>
        <v>12.900000000000002</v>
      </c>
      <c r="F48" s="23">
        <f>[3]Память!G48</f>
        <v>540</v>
      </c>
      <c r="G48" s="23">
        <f>[3]Память!S48</f>
        <v>24.826061575153908</v>
      </c>
    </row>
    <row r="49" spans="1:7" x14ac:dyDescent="0.3">
      <c r="A49" s="99">
        <f t="shared" si="0"/>
        <v>47</v>
      </c>
      <c r="B49" s="70">
        <f>[1]Память!G49</f>
        <v>0</v>
      </c>
      <c r="C49" s="21">
        <f>[1]Память!S49</f>
        <v>0</v>
      </c>
      <c r="D49" s="22">
        <f>[2]Память!G49</f>
        <v>0</v>
      </c>
      <c r="E49" s="22">
        <f>[2]Память!S49</f>
        <v>0</v>
      </c>
      <c r="F49" s="23">
        <f>[3]Память!G49</f>
        <v>0</v>
      </c>
      <c r="G49" s="23">
        <f>[3]Память!S49</f>
        <v>0</v>
      </c>
    </row>
    <row r="50" spans="1:7" x14ac:dyDescent="0.3">
      <c r="A50" s="67">
        <f t="shared" si="0"/>
        <v>48</v>
      </c>
      <c r="B50" s="70">
        <f>[1]Память!G50</f>
        <v>0</v>
      </c>
      <c r="C50" s="21">
        <f>[1]Память!S50</f>
        <v>0</v>
      </c>
      <c r="D50" s="22">
        <f>[2]Память!G50</f>
        <v>0</v>
      </c>
      <c r="E50" s="22">
        <f>[2]Память!S50</f>
        <v>0</v>
      </c>
      <c r="F50" s="23">
        <f>[3]Память!G50</f>
        <v>0</v>
      </c>
      <c r="G50" s="23">
        <f>[3]Память!S50</f>
        <v>0</v>
      </c>
    </row>
    <row r="51" spans="1:7" x14ac:dyDescent="0.3">
      <c r="A51" s="67">
        <f t="shared" si="0"/>
        <v>49</v>
      </c>
      <c r="B51" s="70">
        <f>[1]Память!G51</f>
        <v>0</v>
      </c>
      <c r="C51" s="21">
        <f>[1]Память!S51</f>
        <v>0</v>
      </c>
      <c r="D51" s="22">
        <f>[2]Память!G51</f>
        <v>0</v>
      </c>
      <c r="E51" s="22">
        <f>[2]Память!S51</f>
        <v>0</v>
      </c>
      <c r="F51" s="23">
        <f>[3]Память!G51</f>
        <v>0</v>
      </c>
      <c r="G51" s="23">
        <f>[3]Память!S51</f>
        <v>0</v>
      </c>
    </row>
    <row r="52" spans="1:7" x14ac:dyDescent="0.3">
      <c r="A52" s="67">
        <f t="shared" si="0"/>
        <v>50</v>
      </c>
      <c r="B52" s="70">
        <f>[1]Память!G52</f>
        <v>0</v>
      </c>
      <c r="C52" s="21">
        <f>[1]Память!S52</f>
        <v>0</v>
      </c>
      <c r="D52" s="22">
        <f>[2]Память!G52</f>
        <v>0</v>
      </c>
      <c r="E52" s="22">
        <f>[2]Память!S52</f>
        <v>0</v>
      </c>
      <c r="F52" s="23">
        <f>[3]Память!G52</f>
        <v>0</v>
      </c>
      <c r="G52" s="23">
        <f>[3]Память!S52</f>
        <v>0</v>
      </c>
    </row>
    <row r="53" spans="1:7" x14ac:dyDescent="0.3">
      <c r="A53" s="100">
        <f t="shared" si="0"/>
        <v>51</v>
      </c>
      <c r="B53" s="70">
        <f>[1]Память!G53</f>
        <v>1241.6666666666667</v>
      </c>
      <c r="C53" s="21">
        <f>[1]Память!S53</f>
        <v>23.595644607521201</v>
      </c>
      <c r="D53" s="22">
        <f>[2]Память!G53</f>
        <v>50</v>
      </c>
      <c r="E53" s="22">
        <f>[2]Память!S53</f>
        <v>12.900000000000002</v>
      </c>
      <c r="F53" s="23">
        <f>[3]Память!G53</f>
        <v>540</v>
      </c>
      <c r="G53" s="23">
        <f>[3]Память!S53</f>
        <v>24.826061575153908</v>
      </c>
    </row>
    <row r="54" spans="1:7" x14ac:dyDescent="0.3">
      <c r="A54" s="100">
        <f t="shared" si="0"/>
        <v>52</v>
      </c>
      <c r="B54" s="70">
        <f>[1]Память!G54</f>
        <v>1758.6666666666667</v>
      </c>
      <c r="C54" s="21">
        <f>[1]Память!S54</f>
        <v>70.233333333333334</v>
      </c>
      <c r="D54" s="22">
        <f>[2]Память!G54</f>
        <v>50</v>
      </c>
      <c r="E54" s="22">
        <f>[2]Память!S54</f>
        <v>12.900000000000002</v>
      </c>
      <c r="F54" s="23">
        <f>[3]Память!G54</f>
        <v>540</v>
      </c>
      <c r="G54" s="23">
        <f>[3]Память!S54</f>
        <v>24.826061575153908</v>
      </c>
    </row>
    <row r="55" spans="1:7" x14ac:dyDescent="0.3">
      <c r="A55" s="67">
        <f t="shared" si="0"/>
        <v>53</v>
      </c>
      <c r="B55" s="70">
        <f>[1]Память!G55</f>
        <v>0</v>
      </c>
      <c r="C55" s="21">
        <f>[1]Память!S55</f>
        <v>0</v>
      </c>
      <c r="D55" s="22">
        <f>[2]Память!G55</f>
        <v>0</v>
      </c>
      <c r="E55" s="22">
        <f>[2]Память!S55</f>
        <v>0</v>
      </c>
      <c r="F55" s="23">
        <f>[3]Память!G55</f>
        <v>0</v>
      </c>
      <c r="G55" s="23">
        <f>[3]Память!S55</f>
        <v>0</v>
      </c>
    </row>
    <row r="56" spans="1:7" x14ac:dyDescent="0.3">
      <c r="A56" s="67">
        <f t="shared" si="0"/>
        <v>54</v>
      </c>
      <c r="B56" s="70">
        <f>[1]Память!G56</f>
        <v>0</v>
      </c>
      <c r="C56" s="21">
        <f>[1]Память!S56</f>
        <v>0</v>
      </c>
      <c r="D56" s="22">
        <f>[2]Память!G56</f>
        <v>0</v>
      </c>
      <c r="E56" s="22">
        <f>[2]Память!S56</f>
        <v>0</v>
      </c>
      <c r="F56" s="23">
        <f>[3]Память!G56</f>
        <v>0</v>
      </c>
      <c r="G56" s="23">
        <f>[3]Память!S56</f>
        <v>0</v>
      </c>
    </row>
    <row r="57" spans="1:7" x14ac:dyDescent="0.3">
      <c r="A57" s="67">
        <f t="shared" si="0"/>
        <v>55</v>
      </c>
      <c r="B57" s="70">
        <f>[1]Память!G57</f>
        <v>0</v>
      </c>
      <c r="C57" s="21">
        <f>[1]Память!S57</f>
        <v>0</v>
      </c>
      <c r="D57" s="22">
        <f>[2]Память!G57</f>
        <v>0</v>
      </c>
      <c r="E57" s="22">
        <f>[2]Память!S57</f>
        <v>0</v>
      </c>
      <c r="F57" s="23">
        <f>[3]Память!G57</f>
        <v>0</v>
      </c>
      <c r="G57" s="23">
        <f>[3]Память!S57</f>
        <v>0</v>
      </c>
    </row>
    <row r="58" spans="1:7" x14ac:dyDescent="0.3">
      <c r="A58" s="100">
        <f t="shared" si="0"/>
        <v>56</v>
      </c>
      <c r="B58" s="70">
        <f>[1]Память!G58</f>
        <v>1249.6666666666667</v>
      </c>
      <c r="C58" s="21">
        <f>[1]Память!S58</f>
        <v>21.114318469807269</v>
      </c>
      <c r="D58" s="22">
        <f>[2]Память!G58</f>
        <v>50</v>
      </c>
      <c r="E58" s="22">
        <f>[2]Память!S58</f>
        <v>12.900000000000002</v>
      </c>
      <c r="F58" s="23">
        <f>[3]Память!G58</f>
        <v>540</v>
      </c>
      <c r="G58" s="23">
        <f>[3]Память!S58</f>
        <v>24.826061575153908</v>
      </c>
    </row>
    <row r="59" spans="1:7" x14ac:dyDescent="0.3">
      <c r="A59" s="100">
        <f t="shared" si="0"/>
        <v>57</v>
      </c>
      <c r="B59" s="70">
        <f>[1]Память!G59</f>
        <v>1766</v>
      </c>
      <c r="C59" s="21">
        <f>[1]Память!S59</f>
        <v>63.342955409421812</v>
      </c>
      <c r="D59" s="22">
        <f>[2]Память!G59</f>
        <v>50</v>
      </c>
      <c r="E59" s="22">
        <f>[2]Память!S59</f>
        <v>12.900000000000002</v>
      </c>
      <c r="F59" s="23">
        <f>[3]Память!G59</f>
        <v>540</v>
      </c>
      <c r="G59" s="23">
        <f>[3]Память!S59</f>
        <v>24.826061575153908</v>
      </c>
    </row>
    <row r="60" spans="1:7" x14ac:dyDescent="0.3">
      <c r="A60" s="67">
        <f t="shared" si="0"/>
        <v>58</v>
      </c>
      <c r="B60" s="70">
        <f>[1]Память!G60</f>
        <v>0</v>
      </c>
      <c r="C60" s="21">
        <f>[1]Память!S60</f>
        <v>0</v>
      </c>
      <c r="D60" s="22">
        <f>[2]Память!G60</f>
        <v>0</v>
      </c>
      <c r="E60" s="22">
        <f>[2]Память!S60</f>
        <v>0</v>
      </c>
      <c r="F60" s="23">
        <f>[3]Память!G60</f>
        <v>0</v>
      </c>
      <c r="G60" s="23">
        <f>[3]Память!S60</f>
        <v>0</v>
      </c>
    </row>
    <row r="61" spans="1:7" x14ac:dyDescent="0.3">
      <c r="A61" s="67">
        <f t="shared" si="0"/>
        <v>59</v>
      </c>
      <c r="B61" s="70">
        <f>[1]Память!G61</f>
        <v>0</v>
      </c>
      <c r="C61" s="21">
        <f>[1]Память!S61</f>
        <v>0</v>
      </c>
      <c r="D61" s="22">
        <f>[2]Память!G61</f>
        <v>0</v>
      </c>
      <c r="E61" s="22">
        <f>[2]Память!S61</f>
        <v>0</v>
      </c>
      <c r="F61" s="23">
        <f>[3]Память!G61</f>
        <v>0</v>
      </c>
      <c r="G61" s="23">
        <f>[3]Память!S61</f>
        <v>0</v>
      </c>
    </row>
    <row r="62" spans="1:7" x14ac:dyDescent="0.3">
      <c r="A62" s="67">
        <f t="shared" si="0"/>
        <v>60</v>
      </c>
      <c r="B62" s="70">
        <f>[1]Память!G62</f>
        <v>0</v>
      </c>
      <c r="C62" s="21">
        <f>[1]Память!S62</f>
        <v>0</v>
      </c>
      <c r="D62" s="22">
        <f>[2]Память!G62</f>
        <v>0</v>
      </c>
      <c r="E62" s="22">
        <f>[2]Память!S62</f>
        <v>0</v>
      </c>
      <c r="F62" s="23">
        <f>[3]Память!G62</f>
        <v>0</v>
      </c>
      <c r="G62" s="23">
        <f>[3]Память!S62</f>
        <v>0</v>
      </c>
    </row>
    <row r="63" spans="1:7" x14ac:dyDescent="0.3">
      <c r="A63" s="101">
        <f t="shared" si="0"/>
        <v>61</v>
      </c>
      <c r="B63" s="70">
        <f>[1]Память!G63</f>
        <v>1245</v>
      </c>
      <c r="C63" s="21">
        <f>[1]Память!S63</f>
        <v>22.343455417638516</v>
      </c>
      <c r="D63" s="22">
        <f>[2]Память!G63</f>
        <v>55.333333333333336</v>
      </c>
      <c r="E63" s="22">
        <f>[2]Память!S63</f>
        <v>18.797990436332402</v>
      </c>
      <c r="F63" s="23">
        <f>[3]Память!G63</f>
        <v>540</v>
      </c>
      <c r="G63" s="23">
        <f>[3]Память!S63</f>
        <v>24.826061575153908</v>
      </c>
    </row>
    <row r="64" spans="1:7" x14ac:dyDescent="0.3">
      <c r="A64" s="99">
        <f t="shared" si="0"/>
        <v>62</v>
      </c>
      <c r="B64" s="70">
        <f>[1]Память!G64</f>
        <v>0</v>
      </c>
      <c r="C64" s="21">
        <f>[1]Память!S64</f>
        <v>0</v>
      </c>
      <c r="D64" s="22">
        <f>[2]Память!G64</f>
        <v>0</v>
      </c>
      <c r="E64" s="22">
        <f>[2]Память!S64</f>
        <v>0</v>
      </c>
      <c r="F64" s="23">
        <f>[3]Память!G64</f>
        <v>0</v>
      </c>
      <c r="G64" s="23">
        <f>[3]Память!S64</f>
        <v>0</v>
      </c>
    </row>
    <row r="65" spans="1:7" x14ac:dyDescent="0.3">
      <c r="A65" s="99">
        <f t="shared" si="0"/>
        <v>63</v>
      </c>
      <c r="B65" s="70">
        <f>[1]Память!G65</f>
        <v>0</v>
      </c>
      <c r="C65" s="21">
        <f>[1]Память!S65</f>
        <v>0</v>
      </c>
      <c r="D65" s="22">
        <f>[2]Память!G65</f>
        <v>0</v>
      </c>
      <c r="E65" s="22">
        <f>[2]Память!S65</f>
        <v>0</v>
      </c>
      <c r="F65" s="23">
        <f>[3]Память!G65</f>
        <v>0</v>
      </c>
      <c r="G65" s="23">
        <f>[3]Память!S65</f>
        <v>0</v>
      </c>
    </row>
    <row r="66" spans="1:7" x14ac:dyDescent="0.3">
      <c r="A66" s="99">
        <f t="shared" si="0"/>
        <v>64</v>
      </c>
      <c r="B66" s="70">
        <f>[1]Память!G66</f>
        <v>0</v>
      </c>
      <c r="C66" s="21">
        <f>[1]Память!S66</f>
        <v>0</v>
      </c>
      <c r="D66" s="22">
        <f>[2]Память!G66</f>
        <v>0</v>
      </c>
      <c r="E66" s="22">
        <f>[2]Память!S66</f>
        <v>0</v>
      </c>
      <c r="F66" s="23">
        <f>[3]Память!G66</f>
        <v>0</v>
      </c>
      <c r="G66" s="23">
        <f>[3]Память!S66</f>
        <v>0</v>
      </c>
    </row>
    <row r="67" spans="1:7" x14ac:dyDescent="0.3">
      <c r="A67" s="99">
        <f t="shared" si="0"/>
        <v>65</v>
      </c>
      <c r="B67" s="70">
        <f>[1]Память!G67</f>
        <v>0</v>
      </c>
      <c r="C67" s="21">
        <f>[1]Память!S67</f>
        <v>0</v>
      </c>
      <c r="D67" s="22">
        <f>[2]Память!G67</f>
        <v>0</v>
      </c>
      <c r="E67" s="22">
        <f>[2]Память!S67</f>
        <v>0</v>
      </c>
      <c r="F67" s="23">
        <f>[3]Память!G67</f>
        <v>0</v>
      </c>
      <c r="G67" s="23">
        <f>[3]Память!S67</f>
        <v>0</v>
      </c>
    </row>
    <row r="68" spans="1:7" x14ac:dyDescent="0.3">
      <c r="A68" s="100">
        <f t="shared" si="0"/>
        <v>66</v>
      </c>
      <c r="B68" s="70">
        <f>[1]Память!G68</f>
        <v>1267.3333333333333</v>
      </c>
      <c r="C68" s="21">
        <f>[1]Память!S68</f>
        <v>65.792966527163415</v>
      </c>
      <c r="D68" s="22">
        <f>[2]Память!G68</f>
        <v>60.666666666666664</v>
      </c>
      <c r="E68" s="22">
        <f>[2]Память!S68</f>
        <v>21.690269195604234</v>
      </c>
      <c r="F68" s="23">
        <f>[3]Память!G68</f>
        <v>540</v>
      </c>
      <c r="G68" s="23">
        <f>[3]Память!S68</f>
        <v>24.826061575153908</v>
      </c>
    </row>
    <row r="69" spans="1:7" x14ac:dyDescent="0.3">
      <c r="A69" s="99">
        <f t="shared" ref="A69:A78" si="1">A68+1</f>
        <v>67</v>
      </c>
      <c r="B69" s="70">
        <f>[1]Память!G69</f>
        <v>0</v>
      </c>
      <c r="C69" s="21">
        <f>[1]Память!S69</f>
        <v>0</v>
      </c>
      <c r="D69" s="22">
        <f>[2]Память!G69</f>
        <v>0</v>
      </c>
      <c r="E69" s="22">
        <f>[2]Память!S69</f>
        <v>0</v>
      </c>
      <c r="F69" s="23">
        <f>[3]Память!G69</f>
        <v>0</v>
      </c>
      <c r="G69" s="23">
        <f>[3]Память!S69</f>
        <v>0</v>
      </c>
    </row>
    <row r="70" spans="1:7" x14ac:dyDescent="0.3">
      <c r="A70" s="99">
        <f t="shared" si="1"/>
        <v>68</v>
      </c>
      <c r="B70" s="70">
        <f>[1]Память!G70</f>
        <v>0</v>
      </c>
      <c r="C70" s="21">
        <f>[1]Память!S70</f>
        <v>0</v>
      </c>
      <c r="D70" s="22">
        <f>[2]Память!G70</f>
        <v>0</v>
      </c>
      <c r="E70" s="22">
        <f>[2]Память!S70</f>
        <v>0</v>
      </c>
      <c r="F70" s="23">
        <f>[3]Память!G70</f>
        <v>0</v>
      </c>
      <c r="G70" s="23">
        <f>[3]Память!S70</f>
        <v>0</v>
      </c>
    </row>
    <row r="71" spans="1:7" x14ac:dyDescent="0.3">
      <c r="A71" s="99">
        <f t="shared" si="1"/>
        <v>69</v>
      </c>
      <c r="B71" s="70">
        <f>[1]Память!G71</f>
        <v>0</v>
      </c>
      <c r="C71" s="21">
        <f>[1]Память!S71</f>
        <v>0</v>
      </c>
      <c r="D71" s="22">
        <f>[2]Память!G71</f>
        <v>0</v>
      </c>
      <c r="E71" s="22">
        <f>[2]Память!S71</f>
        <v>0</v>
      </c>
      <c r="F71" s="23">
        <f>[3]Память!G71</f>
        <v>0</v>
      </c>
      <c r="G71" s="23">
        <f>[3]Память!S71</f>
        <v>0</v>
      </c>
    </row>
    <row r="72" spans="1:7" x14ac:dyDescent="0.3">
      <c r="A72" s="99">
        <f t="shared" si="1"/>
        <v>70</v>
      </c>
      <c r="B72" s="70">
        <f>[1]Память!G72</f>
        <v>0</v>
      </c>
      <c r="C72" s="21">
        <f>[1]Память!S72</f>
        <v>0</v>
      </c>
      <c r="D72" s="22">
        <f>[2]Память!G72</f>
        <v>0</v>
      </c>
      <c r="E72" s="22">
        <f>[2]Память!S72</f>
        <v>0</v>
      </c>
      <c r="F72" s="23">
        <f>[3]Память!G72</f>
        <v>0</v>
      </c>
      <c r="G72" s="23">
        <f>[3]Память!S72</f>
        <v>0</v>
      </c>
    </row>
    <row r="73" spans="1:7" x14ac:dyDescent="0.3">
      <c r="A73" s="100">
        <f t="shared" si="1"/>
        <v>71</v>
      </c>
      <c r="B73" s="70">
        <f>[1]Память!G73</f>
        <v>1249.3333333333333</v>
      </c>
      <c r="C73" s="21">
        <f>[1]Память!S73</f>
        <v>40.363033142275675</v>
      </c>
      <c r="D73" s="22">
        <f>[2]Память!G73</f>
        <v>55</v>
      </c>
      <c r="E73" s="22">
        <f>[2]Память!S73</f>
        <v>13.822566090756569</v>
      </c>
      <c r="F73" s="23">
        <f>[3]Память!G73</f>
        <v>540</v>
      </c>
      <c r="G73" s="23">
        <f>[3]Память!S73</f>
        <v>24.826061575153908</v>
      </c>
    </row>
    <row r="74" spans="1:7" x14ac:dyDescent="0.3">
      <c r="A74" s="99">
        <f t="shared" si="1"/>
        <v>72</v>
      </c>
      <c r="B74" s="70">
        <f>[1]Память!G74</f>
        <v>0</v>
      </c>
      <c r="C74" s="21">
        <f>[1]Память!S74</f>
        <v>0</v>
      </c>
      <c r="D74" s="22">
        <f>[2]Память!G74</f>
        <v>0</v>
      </c>
      <c r="E74" s="22">
        <f>[2]Память!S74</f>
        <v>0</v>
      </c>
      <c r="F74" s="23">
        <f>[3]Память!G74</f>
        <v>0</v>
      </c>
      <c r="G74" s="23">
        <f>[3]Память!S74</f>
        <v>0</v>
      </c>
    </row>
    <row r="75" spans="1:7" x14ac:dyDescent="0.3">
      <c r="A75" s="99">
        <f t="shared" si="1"/>
        <v>73</v>
      </c>
      <c r="B75" s="70">
        <f>[1]Память!G75</f>
        <v>0</v>
      </c>
      <c r="C75" s="21">
        <f>[1]Память!S75</f>
        <v>0</v>
      </c>
      <c r="D75" s="22">
        <f>[2]Память!G75</f>
        <v>0</v>
      </c>
      <c r="E75" s="22">
        <f>[2]Память!S75</f>
        <v>0</v>
      </c>
      <c r="F75" s="23">
        <f>[3]Память!G75</f>
        <v>0</v>
      </c>
      <c r="G75" s="23">
        <f>[3]Память!S75</f>
        <v>0</v>
      </c>
    </row>
    <row r="76" spans="1:7" x14ac:dyDescent="0.3">
      <c r="A76" s="99">
        <f t="shared" si="1"/>
        <v>74</v>
      </c>
      <c r="B76" s="70">
        <f>[1]Память!G76</f>
        <v>0</v>
      </c>
      <c r="C76" s="21">
        <f>[1]Память!S76</f>
        <v>0</v>
      </c>
      <c r="D76" s="22">
        <f>[2]Память!G76</f>
        <v>0</v>
      </c>
      <c r="E76" s="22">
        <f>[2]Память!S76</f>
        <v>0</v>
      </c>
      <c r="F76" s="23">
        <f>[3]Память!G76</f>
        <v>0</v>
      </c>
      <c r="G76" s="23">
        <f>[3]Память!S76</f>
        <v>0</v>
      </c>
    </row>
    <row r="77" spans="1:7" x14ac:dyDescent="0.3">
      <c r="A77" s="99">
        <f t="shared" si="1"/>
        <v>75</v>
      </c>
      <c r="B77" s="70">
        <f>[1]Память!G77</f>
        <v>0</v>
      </c>
      <c r="C77" s="21">
        <f>[1]Память!S77</f>
        <v>0</v>
      </c>
      <c r="D77" s="22">
        <f>[2]Память!G77</f>
        <v>0</v>
      </c>
      <c r="E77" s="22">
        <f>[2]Память!S77</f>
        <v>0</v>
      </c>
      <c r="F77" s="23">
        <f>[3]Память!G77</f>
        <v>0</v>
      </c>
      <c r="G77" s="23">
        <f>[3]Память!S77</f>
        <v>0</v>
      </c>
    </row>
    <row r="78" spans="1:7" x14ac:dyDescent="0.3">
      <c r="A78" s="100">
        <f t="shared" si="1"/>
        <v>76</v>
      </c>
      <c r="B78" s="70">
        <f>[1]Память!G78</f>
        <v>1244.3333333333333</v>
      </c>
      <c r="C78" s="21">
        <f>[1]Память!S78</f>
        <v>27.346257107285776</v>
      </c>
      <c r="D78" s="22">
        <f>[2]Память!G78</f>
        <v>70.666666666666671</v>
      </c>
      <c r="E78" s="22">
        <f>[2]Память!S78</f>
        <v>22.389382404265746</v>
      </c>
      <c r="F78" s="23">
        <f>[3]Память!G78</f>
        <v>540</v>
      </c>
      <c r="G78" s="23">
        <f>[3]Память!S78</f>
        <v>24.826061575153908</v>
      </c>
    </row>
    <row r="79" spans="1:7" x14ac:dyDescent="0.3">
      <c r="B79" s="70">
        <f>[1]Память!G79</f>
        <v>0</v>
      </c>
      <c r="C79" s="21">
        <f>[1]Память!S79</f>
        <v>0</v>
      </c>
      <c r="D79" s="22">
        <f>[2]Память!G79</f>
        <v>0</v>
      </c>
      <c r="E79" s="22">
        <f>[2]Память!S79</f>
        <v>0</v>
      </c>
      <c r="F79" s="23">
        <f>[3]Память!G79</f>
        <v>0</v>
      </c>
      <c r="G79" s="23">
        <f>[3]Память!S79</f>
        <v>0</v>
      </c>
    </row>
    <row r="80" spans="1:7" x14ac:dyDescent="0.3">
      <c r="B80" s="70">
        <f>[1]Память!G80</f>
        <v>0</v>
      </c>
      <c r="C80" s="21">
        <f>[1]Память!S80</f>
        <v>0</v>
      </c>
      <c r="D80" s="22">
        <f>[2]Память!G80</f>
        <v>0</v>
      </c>
      <c r="E80" s="22">
        <f>[2]Память!S80</f>
        <v>0</v>
      </c>
      <c r="F80" s="23">
        <f>[3]Память!G80</f>
        <v>0</v>
      </c>
      <c r="G80" s="23">
        <f>[3]Память!S80</f>
        <v>0</v>
      </c>
    </row>
    <row r="81" spans="1:7" x14ac:dyDescent="0.3">
      <c r="B81" s="70">
        <f>[1]Память!G81</f>
        <v>1250</v>
      </c>
      <c r="C81" s="21">
        <f>[1]Память!S81</f>
        <v>24.826061575153908</v>
      </c>
      <c r="D81" s="22">
        <f>[2]Память!G81</f>
        <v>50</v>
      </c>
      <c r="E81" s="22">
        <f>[2]Память!S81</f>
        <v>12.900000000000002</v>
      </c>
      <c r="F81" s="23">
        <f>[3]Память!G81</f>
        <v>540</v>
      </c>
      <c r="G81" s="23">
        <f>[3]Память!S81</f>
        <v>24.826061575153908</v>
      </c>
    </row>
    <row r="82" spans="1:7" x14ac:dyDescent="0.3">
      <c r="A82" s="100" t="s">
        <v>51</v>
      </c>
      <c r="B82" s="70">
        <f>[1]Память!G82</f>
        <v>1245</v>
      </c>
      <c r="C82" s="21">
        <f>[1]Память!S82</f>
        <v>27.308667732669299</v>
      </c>
      <c r="D82" s="22">
        <f>[2]Память!G82</f>
        <v>50</v>
      </c>
      <c r="E82" s="22">
        <f>[2]Память!S82</f>
        <v>12.900000000000002</v>
      </c>
      <c r="F82" s="23">
        <f>[3]Память!G82</f>
        <v>540</v>
      </c>
      <c r="G82" s="23">
        <f>[3]Память!S82</f>
        <v>24.826061575153908</v>
      </c>
    </row>
    <row r="83" spans="1:7" x14ac:dyDescent="0.3">
      <c r="A83" s="100" t="s">
        <v>52</v>
      </c>
      <c r="B83" s="70">
        <f>[1]Память!G83</f>
        <v>1253</v>
      </c>
      <c r="C83" s="21">
        <f>[1]Память!S83</f>
        <v>15.101103712422258</v>
      </c>
      <c r="D83" s="22">
        <f>[2]Память!G83</f>
        <v>57.333333333333336</v>
      </c>
      <c r="E83" s="22">
        <f>[2]Память!S83</f>
        <v>17.437252586854896</v>
      </c>
      <c r="F83" s="23">
        <f>[3]Память!G83</f>
        <v>540</v>
      </c>
      <c r="G83" s="23">
        <f>[3]Память!S83</f>
        <v>24.826061575153908</v>
      </c>
    </row>
    <row r="84" spans="1:7" x14ac:dyDescent="0.3">
      <c r="A84" s="100" t="s">
        <v>53</v>
      </c>
      <c r="B84" s="70">
        <f>[1]Память!G84</f>
        <v>1241.6666666666667</v>
      </c>
      <c r="C84" s="21">
        <f>[1]Память!S84</f>
        <v>12.246405368288462</v>
      </c>
      <c r="D84" s="22">
        <f>[2]Память!G84</f>
        <v>56</v>
      </c>
      <c r="E84" s="22">
        <f>[2]Память!S84</f>
        <v>16.279537257960783</v>
      </c>
      <c r="F84" s="23">
        <f>[3]Память!G84</f>
        <v>540</v>
      </c>
      <c r="G84" s="23">
        <f>[3]Память!S84</f>
        <v>24.826061575153908</v>
      </c>
    </row>
    <row r="85" spans="1:7" x14ac:dyDescent="0.3">
      <c r="A85" s="100" t="s">
        <v>54</v>
      </c>
      <c r="B85" s="70">
        <f>[1]Память!G85</f>
        <v>1258.6666666666667</v>
      </c>
      <c r="C85" s="21">
        <f>[1]Память!S85</f>
        <v>54.183033424782622</v>
      </c>
      <c r="D85" s="22">
        <f>[2]Память!G85</f>
        <v>59</v>
      </c>
      <c r="E85" s="22">
        <f>[2]Память!S85</f>
        <v>12.900000000000002</v>
      </c>
      <c r="F85" s="23">
        <f>[3]Память!G85</f>
        <v>540</v>
      </c>
      <c r="G85" s="23">
        <f>[3]Память!S85</f>
        <v>24.826061575153908</v>
      </c>
    </row>
    <row r="86" spans="1:7" x14ac:dyDescent="0.3">
      <c r="A86" s="100" t="s">
        <v>55</v>
      </c>
      <c r="B86" s="70">
        <f>[1]Память!G86</f>
        <v>1250</v>
      </c>
      <c r="C86" s="21">
        <f>[1]Память!S86</f>
        <v>28.630810909461392</v>
      </c>
      <c r="D86" s="22">
        <f>[2]Память!G86</f>
        <v>65.666666666666671</v>
      </c>
      <c r="E86" s="22">
        <f>[2]Память!S86</f>
        <v>27.458716486957492</v>
      </c>
      <c r="F86" s="23">
        <f>[3]Память!G86</f>
        <v>540</v>
      </c>
      <c r="G86" s="23">
        <f>[3]Память!S86</f>
        <v>24.826061575153908</v>
      </c>
    </row>
    <row r="87" spans="1:7" x14ac:dyDescent="0.3">
      <c r="A87" s="100" t="s">
        <v>56</v>
      </c>
      <c r="B87" s="70">
        <f>[1]Память!G87</f>
        <v>1250</v>
      </c>
      <c r="C87" s="21">
        <f>[1]Память!S87</f>
        <v>40.642014385772434</v>
      </c>
      <c r="D87" s="22">
        <f>[2]Память!G87</f>
        <v>65.666666666666671</v>
      </c>
      <c r="E87" s="22">
        <f>[2]Память!S87</f>
        <v>27.458716486957492</v>
      </c>
      <c r="F87" s="23">
        <f>[3]Память!G87</f>
        <v>540</v>
      </c>
      <c r="G87" s="23">
        <f>[3]Память!S87</f>
        <v>24.826061575153908</v>
      </c>
    </row>
    <row r="88" spans="1:7" x14ac:dyDescent="0.3">
      <c r="A88" s="100" t="s">
        <v>57</v>
      </c>
      <c r="B88" s="70">
        <f>[1]Память!G88</f>
        <v>1239.3333333333333</v>
      </c>
      <c r="C88" s="21">
        <f>[1]Память!S88</f>
        <v>15.766666666666666</v>
      </c>
      <c r="D88" s="22">
        <f>[2]Память!G88</f>
        <v>61</v>
      </c>
      <c r="E88" s="22">
        <f>[2]Память!S88</f>
        <v>22.343455417638516</v>
      </c>
      <c r="F88" s="23">
        <f>[3]Память!G88</f>
        <v>540</v>
      </c>
      <c r="G88" s="23">
        <f>[3]Память!S88</f>
        <v>24.826061575153908</v>
      </c>
    </row>
    <row r="89" spans="1:7" x14ac:dyDescent="0.3">
      <c r="A89" s="100" t="s">
        <v>58</v>
      </c>
      <c r="B89" s="70">
        <f>[1]Память!G89</f>
        <v>0</v>
      </c>
      <c r="C89" s="21">
        <f>[1]Память!S89</f>
        <v>0</v>
      </c>
      <c r="D89" s="22">
        <f>[2]Память!G89</f>
        <v>0</v>
      </c>
      <c r="E89" s="22">
        <f>[2]Память!S89</f>
        <v>0</v>
      </c>
      <c r="F89" s="23">
        <f>[3]Память!G89</f>
        <v>0</v>
      </c>
      <c r="G89" s="23">
        <f>[3]Память!S89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61685-09BC-4A4D-8DD3-00DB0B7B4F81}">
  <sheetPr codeName="Лист14"/>
  <dimension ref="A1:E13"/>
  <sheetViews>
    <sheetView workbookViewId="0">
      <selection activeCell="E17" sqref="E17"/>
    </sheetView>
  </sheetViews>
  <sheetFormatPr defaultRowHeight="14.4" x14ac:dyDescent="0.3"/>
  <cols>
    <col min="1" max="1" width="24.77734375" style="4" customWidth="1"/>
    <col min="2" max="2" width="22.33203125" style="4" customWidth="1"/>
    <col min="3" max="3" width="16" style="4" customWidth="1"/>
    <col min="4" max="4" width="23.44140625" style="4" customWidth="1"/>
    <col min="5" max="5" width="9.33203125" style="4" customWidth="1"/>
    <col min="6" max="16384" width="8.88671875" style="4"/>
  </cols>
  <sheetData>
    <row r="1" spans="1:5" s="2" customFormat="1" ht="15" thickBot="1" x14ac:dyDescent="0.35">
      <c r="A1" s="72" t="s">
        <v>48</v>
      </c>
      <c r="B1" s="73" t="s">
        <v>36</v>
      </c>
      <c r="C1" s="74"/>
      <c r="D1" s="75" t="s">
        <v>40</v>
      </c>
      <c r="E1" s="74"/>
    </row>
    <row r="2" spans="1:5" s="25" customFormat="1" ht="15" thickBot="1" x14ac:dyDescent="0.35">
      <c r="A2" s="76"/>
      <c r="B2" s="77" t="s">
        <v>37</v>
      </c>
      <c r="C2" s="78" t="s">
        <v>26</v>
      </c>
      <c r="D2" s="77" t="s">
        <v>37</v>
      </c>
      <c r="E2" s="78" t="s">
        <v>42</v>
      </c>
    </row>
    <row r="3" spans="1:5" s="20" customFormat="1" x14ac:dyDescent="0.3">
      <c r="A3" s="79" t="s">
        <v>16</v>
      </c>
      <c r="B3" s="80" t="s">
        <v>38</v>
      </c>
      <c r="C3" s="81">
        <f>4.5*499</f>
        <v>2245.5</v>
      </c>
      <c r="D3" s="80" t="s">
        <v>41</v>
      </c>
      <c r="E3" s="81">
        <v>4</v>
      </c>
    </row>
    <row r="4" spans="1:5" x14ac:dyDescent="0.3">
      <c r="A4" s="82" t="s">
        <v>17</v>
      </c>
      <c r="B4" s="83" t="s">
        <v>38</v>
      </c>
      <c r="C4" s="81">
        <f>4.5*499</f>
        <v>2245.5</v>
      </c>
      <c r="D4" s="83" t="s">
        <v>41</v>
      </c>
      <c r="E4" s="84">
        <v>4</v>
      </c>
    </row>
    <row r="5" spans="1:5" x14ac:dyDescent="0.3">
      <c r="A5" s="82" t="s">
        <v>18</v>
      </c>
      <c r="B5" s="83" t="s">
        <v>39</v>
      </c>
      <c r="C5" s="84">
        <f>4.6*2095</f>
        <v>9637</v>
      </c>
      <c r="D5" s="83" t="s">
        <v>39</v>
      </c>
      <c r="E5" s="84">
        <v>16</v>
      </c>
    </row>
    <row r="6" spans="1:5" x14ac:dyDescent="0.3">
      <c r="A6" s="82" t="s">
        <v>19</v>
      </c>
      <c r="B6" s="83" t="s">
        <v>39</v>
      </c>
      <c r="C6" s="84">
        <f>4.6*2095</f>
        <v>9637</v>
      </c>
      <c r="D6" s="83" t="s">
        <v>39</v>
      </c>
      <c r="E6" s="84">
        <v>16</v>
      </c>
    </row>
    <row r="12" spans="1:5" x14ac:dyDescent="0.3">
      <c r="C12" s="85" t="s">
        <v>15</v>
      </c>
    </row>
    <row r="13" spans="1:5" x14ac:dyDescent="0.3">
      <c r="C13" s="85" t="s">
        <v>43</v>
      </c>
    </row>
  </sheetData>
  <hyperlinks>
    <hyperlink ref="C12" r:id="rId1" xr:uid="{CE07BA51-2F6F-4B07-BAF9-2B60FC6EBBA3}"/>
    <hyperlink ref="C13" r:id="rId2" xr:uid="{39D99C51-BE07-4A87-BDD6-ADE9CC025F2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116E0-D152-4A78-9ED8-8F359E4DE0FB}">
  <sheetPr codeName="Лист15"/>
  <dimension ref="A1:BI18"/>
  <sheetViews>
    <sheetView workbookViewId="0">
      <pane xSplit="1" topLeftCell="B1" activePane="topRight" state="frozen"/>
      <selection pane="topRight" activeCell="G3" sqref="G3"/>
    </sheetView>
  </sheetViews>
  <sheetFormatPr defaultRowHeight="14.4" x14ac:dyDescent="0.3"/>
  <cols>
    <col min="1" max="1" width="24.109375" style="89" customWidth="1"/>
    <col min="2" max="2" width="16.44140625" style="71" customWidth="1"/>
    <col min="3" max="3" width="8.5546875" style="5" customWidth="1"/>
    <col min="4" max="4" width="13.109375" style="5" customWidth="1"/>
    <col min="5" max="6" width="8.88671875" style="5"/>
    <col min="7" max="7" width="9.77734375" style="1" customWidth="1"/>
    <col min="8" max="8" width="8.88671875" style="1"/>
    <col min="9" max="9" width="14" style="1" customWidth="1"/>
    <col min="10" max="10" width="8.88671875" style="1"/>
    <col min="11" max="11" width="10" style="1" customWidth="1"/>
    <col min="12" max="12" width="8.88671875" style="14"/>
    <col min="13" max="13" width="11.21875" style="14" customWidth="1"/>
    <col min="14" max="14" width="13.77734375" style="14" customWidth="1"/>
    <col min="15" max="16" width="8.88671875" style="14"/>
    <col min="17" max="18" width="8.88671875" style="5"/>
    <col min="19" max="19" width="13.6640625" style="5" customWidth="1"/>
    <col min="20" max="21" width="8.88671875" style="5"/>
    <col min="22" max="23" width="8.88671875" style="1"/>
    <col min="24" max="24" width="13.5546875" style="1" customWidth="1"/>
    <col min="25" max="26" width="8.88671875" style="1"/>
    <col min="27" max="28" width="8.88671875" style="46"/>
    <col min="29" max="29" width="14.33203125" style="14" customWidth="1"/>
    <col min="30" max="31" width="8.88671875" style="14"/>
    <col min="32" max="33" width="8.88671875" style="5"/>
    <col min="34" max="34" width="13.6640625" style="5" customWidth="1"/>
    <col min="35" max="36" width="8.88671875" style="5"/>
    <col min="37" max="38" width="8.88671875" style="50"/>
    <col min="39" max="39" width="13.6640625" style="1" customWidth="1"/>
    <col min="40" max="41" width="8.88671875" style="1"/>
    <col min="42" max="43" width="8.88671875" style="46"/>
    <col min="44" max="44" width="14.33203125" style="14" customWidth="1"/>
    <col min="45" max="46" width="8.88671875" style="14"/>
    <col min="47" max="47" width="13.21875" style="5" customWidth="1"/>
    <col min="48" max="48" width="14.109375" style="5" customWidth="1"/>
    <col min="49" max="49" width="13.6640625" style="5" customWidth="1"/>
    <col min="50" max="51" width="8.88671875" style="5"/>
    <col min="52" max="52" width="13.44140625" style="1" customWidth="1"/>
    <col min="53" max="53" width="8.88671875" style="1"/>
    <col min="54" max="54" width="13.6640625" style="1" customWidth="1"/>
    <col min="55" max="56" width="8.88671875" style="1"/>
    <col min="57" max="59" width="8.88671875" style="6"/>
    <col min="60" max="60" width="6.6640625" style="19" customWidth="1"/>
    <col min="61" max="61" width="5.77734375" style="49" customWidth="1"/>
    <col min="62" max="16384" width="8.88671875" style="6"/>
  </cols>
  <sheetData>
    <row r="1" spans="1:61" s="51" customFormat="1" x14ac:dyDescent="0.3">
      <c r="A1" s="92" t="s">
        <v>48</v>
      </c>
      <c r="B1" s="53" t="s">
        <v>22</v>
      </c>
      <c r="C1" s="53"/>
      <c r="D1" s="53"/>
      <c r="E1" s="53"/>
      <c r="F1" s="54"/>
      <c r="G1" s="55" t="s">
        <v>23</v>
      </c>
      <c r="H1" s="56"/>
      <c r="I1" s="56"/>
      <c r="J1" s="56"/>
      <c r="K1" s="57"/>
      <c r="L1" s="58" t="s">
        <v>24</v>
      </c>
      <c r="M1" s="59"/>
      <c r="N1" s="59"/>
      <c r="O1" s="59"/>
      <c r="P1" s="60"/>
      <c r="Q1" s="52" t="s">
        <v>25</v>
      </c>
      <c r="R1" s="53"/>
      <c r="S1" s="53"/>
      <c r="T1" s="53"/>
      <c r="U1" s="54"/>
      <c r="V1" s="55" t="s">
        <v>31</v>
      </c>
      <c r="W1" s="56"/>
      <c r="X1" s="56"/>
      <c r="Y1" s="56"/>
      <c r="Z1" s="57"/>
      <c r="AA1" s="61" t="s">
        <v>32</v>
      </c>
      <c r="AB1" s="62"/>
      <c r="AC1" s="59"/>
      <c r="AD1" s="59"/>
      <c r="AE1" s="60"/>
      <c r="AF1" s="52" t="s">
        <v>33</v>
      </c>
      <c r="AG1" s="53"/>
      <c r="AH1" s="53"/>
      <c r="AI1" s="53"/>
      <c r="AJ1" s="54"/>
      <c r="AK1" s="63" t="s">
        <v>35</v>
      </c>
      <c r="AL1" s="64"/>
      <c r="AM1" s="56"/>
      <c r="AN1" s="56"/>
      <c r="AO1" s="57"/>
      <c r="AP1" s="61" t="s">
        <v>44</v>
      </c>
      <c r="AQ1" s="62"/>
      <c r="AR1" s="59"/>
      <c r="AS1" s="59"/>
      <c r="AT1" s="60"/>
      <c r="AU1" s="52" t="s">
        <v>49</v>
      </c>
      <c r="AV1" s="53"/>
      <c r="AW1" s="53"/>
      <c r="AX1" s="53"/>
      <c r="AY1" s="54"/>
      <c r="AZ1" s="55" t="s">
        <v>50</v>
      </c>
      <c r="BA1" s="56"/>
      <c r="BB1" s="56"/>
      <c r="BC1" s="56"/>
      <c r="BD1" s="57"/>
      <c r="BH1" s="65" t="s">
        <v>20</v>
      </c>
      <c r="BI1" s="66" t="s">
        <v>21</v>
      </c>
    </row>
    <row r="2" spans="1:61" s="33" customFormat="1" ht="15" thickBot="1" x14ac:dyDescent="0.35">
      <c r="A2" s="87"/>
      <c r="B2" s="69" t="s">
        <v>26</v>
      </c>
      <c r="C2" s="26" t="s">
        <v>27</v>
      </c>
      <c r="D2" s="26" t="s">
        <v>28</v>
      </c>
      <c r="E2" s="26" t="s">
        <v>29</v>
      </c>
      <c r="F2" s="26" t="s">
        <v>30</v>
      </c>
      <c r="G2" s="27" t="s">
        <v>26</v>
      </c>
      <c r="H2" s="27" t="s">
        <v>27</v>
      </c>
      <c r="I2" s="27" t="s">
        <v>28</v>
      </c>
      <c r="J2" s="27" t="s">
        <v>29</v>
      </c>
      <c r="K2" s="27" t="s">
        <v>30</v>
      </c>
      <c r="L2" s="28" t="s">
        <v>26</v>
      </c>
      <c r="M2" s="28" t="s">
        <v>27</v>
      </c>
      <c r="N2" s="28" t="s">
        <v>28</v>
      </c>
      <c r="O2" s="28" t="s">
        <v>29</v>
      </c>
      <c r="P2" s="28" t="s">
        <v>30</v>
      </c>
      <c r="Q2" s="26" t="s">
        <v>26</v>
      </c>
      <c r="R2" s="26" t="s">
        <v>27</v>
      </c>
      <c r="S2" s="26" t="s">
        <v>28</v>
      </c>
      <c r="T2" s="26" t="s">
        <v>29</v>
      </c>
      <c r="U2" s="26" t="s">
        <v>30</v>
      </c>
      <c r="V2" s="27" t="s">
        <v>26</v>
      </c>
      <c r="W2" s="27" t="s">
        <v>27</v>
      </c>
      <c r="X2" s="27" t="s">
        <v>28</v>
      </c>
      <c r="Y2" s="27" t="s">
        <v>29</v>
      </c>
      <c r="Z2" s="27" t="s">
        <v>30</v>
      </c>
      <c r="AA2" s="37" t="s">
        <v>26</v>
      </c>
      <c r="AB2" s="37" t="s">
        <v>34</v>
      </c>
      <c r="AC2" s="28" t="s">
        <v>28</v>
      </c>
      <c r="AD2" s="28" t="s">
        <v>29</v>
      </c>
      <c r="AE2" s="28" t="s">
        <v>30</v>
      </c>
      <c r="AF2" s="26" t="s">
        <v>26</v>
      </c>
      <c r="AG2" s="26" t="s">
        <v>34</v>
      </c>
      <c r="AH2" s="26" t="s">
        <v>28</v>
      </c>
      <c r="AI2" s="26" t="s">
        <v>29</v>
      </c>
      <c r="AJ2" s="26" t="s">
        <v>30</v>
      </c>
      <c r="AK2" s="38" t="s">
        <v>26</v>
      </c>
      <c r="AL2" s="38" t="s">
        <v>34</v>
      </c>
      <c r="AM2" s="27" t="s">
        <v>28</v>
      </c>
      <c r="AN2" s="27" t="s">
        <v>29</v>
      </c>
      <c r="AO2" s="27" t="s">
        <v>30</v>
      </c>
      <c r="AP2" s="37" t="s">
        <v>26</v>
      </c>
      <c r="AQ2" s="37" t="s">
        <v>27</v>
      </c>
      <c r="AR2" s="28" t="s">
        <v>28</v>
      </c>
      <c r="AS2" s="28" t="s">
        <v>29</v>
      </c>
      <c r="AT2" s="28" t="s">
        <v>30</v>
      </c>
      <c r="AU2" s="26" t="s">
        <v>26</v>
      </c>
      <c r="AV2" s="26" t="s">
        <v>34</v>
      </c>
      <c r="AW2" s="26" t="s">
        <v>28</v>
      </c>
      <c r="AX2" s="26" t="s">
        <v>29</v>
      </c>
      <c r="AY2" s="26" t="s">
        <v>30</v>
      </c>
      <c r="AZ2" s="27" t="s">
        <v>26</v>
      </c>
      <c r="BA2" s="27" t="s">
        <v>34</v>
      </c>
      <c r="BB2" s="27" t="s">
        <v>28</v>
      </c>
      <c r="BC2" s="27" t="s">
        <v>29</v>
      </c>
      <c r="BD2" s="27" t="s">
        <v>30</v>
      </c>
      <c r="BH2" s="29"/>
      <c r="BI2" s="39"/>
    </row>
    <row r="3" spans="1:61" s="31" customFormat="1" x14ac:dyDescent="0.3">
      <c r="A3" s="88" t="s">
        <v>16</v>
      </c>
      <c r="B3" s="70">
        <f>'Сравн.с_физ.Кг_s1'!U3+'Сравн.с_физ.Кг_s12'!U3</f>
        <v>48</v>
      </c>
      <c r="C3" s="43">
        <f>MAX(B3:B6)</f>
        <v>48</v>
      </c>
      <c r="D3" s="21">
        <f>B3/$C$3</f>
        <v>1</v>
      </c>
      <c r="E3" s="43">
        <f>1/11</f>
        <v>9.0909090909090912E-2</v>
      </c>
      <c r="F3" s="43">
        <v>1</v>
      </c>
      <c r="G3" s="22">
        <f>Сравн.Время!P3</f>
        <v>14</v>
      </c>
      <c r="H3" s="44">
        <f>MAX(G3:G6)</f>
        <v>18</v>
      </c>
      <c r="I3" s="22">
        <f>G3/$H$3</f>
        <v>0.77777777777777779</v>
      </c>
      <c r="J3" s="44">
        <f>1/11</f>
        <v>9.0909090909090912E-2</v>
      </c>
      <c r="K3" s="44">
        <v>1</v>
      </c>
      <c r="L3" s="23">
        <f>СредаЯзык!C3</f>
        <v>2245.5</v>
      </c>
      <c r="M3" s="45">
        <f>MAX(L3:L6)</f>
        <v>9637</v>
      </c>
      <c r="N3" s="23">
        <f>L3/$M$3</f>
        <v>0.23300819757185845</v>
      </c>
      <c r="O3" s="45">
        <f>1/11</f>
        <v>9.0909090909090912E-2</v>
      </c>
      <c r="P3" s="45">
        <v>1</v>
      </c>
      <c r="Q3" s="21">
        <v>0</v>
      </c>
      <c r="R3" s="43">
        <f>MAX(Q3:Q6)</f>
        <v>1</v>
      </c>
      <c r="S3" s="21">
        <f>Q3/$R$3</f>
        <v>0</v>
      </c>
      <c r="T3" s="43">
        <f>1/11</f>
        <v>9.0909090909090912E-2</v>
      </c>
      <c r="U3" s="43">
        <v>1</v>
      </c>
      <c r="V3" s="22">
        <v>0.9</v>
      </c>
      <c r="W3" s="44">
        <f>MAX(V3:V6)</f>
        <v>0.9</v>
      </c>
      <c r="X3" s="22">
        <f>V3/$W$3</f>
        <v>1</v>
      </c>
      <c r="Y3" s="44">
        <f>1/11</f>
        <v>9.0909090909090912E-2</v>
      </c>
      <c r="Z3" s="44">
        <v>1</v>
      </c>
      <c r="AA3" s="40">
        <v>85</v>
      </c>
      <c r="AB3" s="47">
        <f>MIN(AA3:AA6)</f>
        <v>10</v>
      </c>
      <c r="AC3" s="23">
        <f>AA3/$AB$3</f>
        <v>8.5</v>
      </c>
      <c r="AD3" s="45">
        <f>1/11</f>
        <v>9.0909090909090912E-2</v>
      </c>
      <c r="AE3" s="45">
        <v>-1</v>
      </c>
      <c r="AF3" s="21">
        <v>0.01</v>
      </c>
      <c r="AG3" s="43">
        <f>MIN(AF3:AF6)</f>
        <v>0.01</v>
      </c>
      <c r="AH3" s="21">
        <f>AF3/$AG$3</f>
        <v>1</v>
      </c>
      <c r="AI3" s="43">
        <f>1/11</f>
        <v>9.0909090909090912E-2</v>
      </c>
      <c r="AJ3" s="43">
        <v>-1</v>
      </c>
      <c r="AK3" s="41">
        <f>СредаЯзык!E3</f>
        <v>4</v>
      </c>
      <c r="AL3" s="48">
        <f>MIN(AK3:AK6)</f>
        <v>4</v>
      </c>
      <c r="AM3" s="22">
        <f>AK3/$AL$3</f>
        <v>1</v>
      </c>
      <c r="AN3" s="44">
        <f>1/11</f>
        <v>9.0909090909090912E-2</v>
      </c>
      <c r="AO3" s="44">
        <v>-1</v>
      </c>
      <c r="AP3" s="40">
        <f>Сравн.Память!P3</f>
        <v>6</v>
      </c>
      <c r="AQ3" s="47">
        <f>MAX(AP3:AP6)</f>
        <v>24</v>
      </c>
      <c r="AR3" s="23">
        <f>AP3/$AQ$3</f>
        <v>0.25</v>
      </c>
      <c r="AS3" s="45">
        <f>1/11</f>
        <v>9.0909090909090912E-2</v>
      </c>
      <c r="AT3" s="45">
        <v>1</v>
      </c>
      <c r="AU3" s="21">
        <v>1</v>
      </c>
      <c r="AV3" s="43">
        <f>MIN(AU3:AU6)</f>
        <v>0.5</v>
      </c>
      <c r="AW3" s="21">
        <f>AU3/$AV$3</f>
        <v>2</v>
      </c>
      <c r="AX3" s="43">
        <f>1/11</f>
        <v>9.0909090909090912E-2</v>
      </c>
      <c r="AY3" s="43">
        <v>-1</v>
      </c>
      <c r="AZ3" s="22">
        <v>1</v>
      </c>
      <c r="BA3" s="44">
        <f>MIN(AZ3:AZ6)</f>
        <v>0.1</v>
      </c>
      <c r="BB3" s="22">
        <f>AZ3/$BA$3</f>
        <v>10</v>
      </c>
      <c r="BC3" s="44">
        <f>1/11</f>
        <v>9.0909090909090912E-2</v>
      </c>
      <c r="BD3" s="44">
        <v>-1</v>
      </c>
      <c r="BH3" s="24">
        <f>POWER(D3,$F$3)*$E$3+POWER(I3,$K$3)*$J$3+POWER(N3,$P$3)*$O$3+POWER(S3,$U$3)*$T$3+POWER(X3,$Z$3)*$Y$3+POWER(AC3,$AE$3)*$AD$3+POWER(AH3,$AJ$3)*$AI$3+POWER(AM3,$AO$3)*$AN$3+POWER(AR3,$AT$3)*$AS$3+POWER(AW3,$AY$3)*$AX$3+POWER(BB3,$BD$3)*$BC$3</f>
        <v>0.54349391219756038</v>
      </c>
      <c r="BI3" s="42" cm="1">
        <f t="array" ref="BI3">PointMin4($BH$3,$BH$4,$BH$5,$BH$6,BH3)</f>
        <v>2</v>
      </c>
    </row>
    <row r="4" spans="1:61" x14ac:dyDescent="0.3">
      <c r="A4" s="89" t="s">
        <v>17</v>
      </c>
      <c r="B4" s="70">
        <f>'Сравн.с_физ.Кг_s1'!V3+'Сравн.с_физ.Кг_s12'!V3</f>
        <v>20</v>
      </c>
      <c r="C4" s="43"/>
      <c r="D4" s="21">
        <f t="shared" ref="D4:D6" si="0">B4/$C$3</f>
        <v>0.41666666666666669</v>
      </c>
      <c r="E4" s="43"/>
      <c r="F4" s="43"/>
      <c r="G4" s="1">
        <f>Сравн.Время!Q3</f>
        <v>9</v>
      </c>
      <c r="H4" s="44"/>
      <c r="I4" s="22">
        <f t="shared" ref="I4:I6" si="1">G4/$H$3</f>
        <v>0.5</v>
      </c>
      <c r="J4" s="44"/>
      <c r="K4" s="44"/>
      <c r="L4" s="23">
        <f>СредаЯзык!C4</f>
        <v>2245.5</v>
      </c>
      <c r="M4" s="45"/>
      <c r="N4" s="23">
        <f t="shared" ref="N4:N6" si="2">L4/$M$3</f>
        <v>0.23300819757185845</v>
      </c>
      <c r="O4" s="45"/>
      <c r="P4" s="45"/>
      <c r="Q4" s="5">
        <v>1</v>
      </c>
      <c r="R4" s="43"/>
      <c r="S4" s="21">
        <f t="shared" ref="S4:S6" si="3">Q4/$R$3</f>
        <v>1</v>
      </c>
      <c r="T4" s="43"/>
      <c r="U4" s="43"/>
      <c r="V4" s="1">
        <v>0</v>
      </c>
      <c r="W4" s="44"/>
      <c r="X4" s="22">
        <f t="shared" ref="X4:X6" si="4">V4/$W$3</f>
        <v>0</v>
      </c>
      <c r="Y4" s="44"/>
      <c r="Z4" s="44"/>
      <c r="AA4" s="46">
        <v>10</v>
      </c>
      <c r="AB4" s="47"/>
      <c r="AC4" s="23">
        <f t="shared" ref="AC4:AC6" si="5">AA4/$AB$3</f>
        <v>1</v>
      </c>
      <c r="AD4" s="45"/>
      <c r="AE4" s="45"/>
      <c r="AF4" s="5">
        <v>1</v>
      </c>
      <c r="AG4" s="43"/>
      <c r="AH4" s="21">
        <f t="shared" ref="AH4:AH6" si="6">AF4/$AG$3</f>
        <v>100</v>
      </c>
      <c r="AI4" s="43"/>
      <c r="AJ4" s="43"/>
      <c r="AK4" s="41">
        <f>СредаЯзык!E4</f>
        <v>4</v>
      </c>
      <c r="AL4" s="48"/>
      <c r="AM4" s="22">
        <f>AK4/$AL$3</f>
        <v>1</v>
      </c>
      <c r="AN4" s="44"/>
      <c r="AO4" s="44"/>
      <c r="AP4" s="40">
        <f>Сравн.Память!Q3</f>
        <v>10</v>
      </c>
      <c r="AQ4" s="47"/>
      <c r="AR4" s="23">
        <f t="shared" ref="AR4:AR6" si="7">AP4/$AQ$3</f>
        <v>0.41666666666666669</v>
      </c>
      <c r="AS4" s="45"/>
      <c r="AT4" s="45"/>
      <c r="AU4" s="5">
        <v>0.5</v>
      </c>
      <c r="AV4" s="43"/>
      <c r="AW4" s="21">
        <f>AU4/$AV$3</f>
        <v>1</v>
      </c>
      <c r="AX4" s="43"/>
      <c r="AY4" s="43"/>
      <c r="AZ4" s="22">
        <v>0.1</v>
      </c>
      <c r="BA4" s="44"/>
      <c r="BB4" s="22">
        <f t="shared" ref="BB4:BB6" si="8">AZ4/$BA$3</f>
        <v>1</v>
      </c>
      <c r="BC4" s="44"/>
      <c r="BD4" s="44"/>
      <c r="BH4" s="24">
        <f t="shared" ref="BH4:BH6" si="9">POWER(D4,$F$3)*$E$3+POWER(I4,$K$3)*$J$3+POWER(N4,$P$3)*$O$3+POWER(S4,$U$3)*$T$3+POWER(X4,$Z$3)*$Y$3+POWER(AC4,$AE$3)*$AD$3+POWER(AH4,$AJ$3)*$AI$3+POWER(AM4,$AO$3)*$AN$3+POWER(AR4,$AT$3)*$AS$3+POWER(AW4,$AY$3)*$AX$3+POWER(BB4,$BD$3)*$BC$3</f>
        <v>0.59784923008229018</v>
      </c>
      <c r="BI4" s="42" cm="1">
        <f t="array" ref="BI4">PointMin4($BH$3,$BH$4,$BH$5,$BH$6,BH4)</f>
        <v>1</v>
      </c>
    </row>
    <row r="5" spans="1:61" x14ac:dyDescent="0.3">
      <c r="A5" s="89" t="s">
        <v>18</v>
      </c>
      <c r="B5" s="70">
        <f>'Сравн.с_физ.Кг_s1'!W3+'Сравн.с_физ.Кг_s12'!W3</f>
        <v>14</v>
      </c>
      <c r="C5" s="43"/>
      <c r="D5" s="21">
        <f t="shared" si="0"/>
        <v>0.29166666666666669</v>
      </c>
      <c r="E5" s="43"/>
      <c r="F5" s="43"/>
      <c r="G5" s="1">
        <f>Сравн.Время!R3</f>
        <v>11</v>
      </c>
      <c r="H5" s="44"/>
      <c r="I5" s="22">
        <f t="shared" si="1"/>
        <v>0.61111111111111116</v>
      </c>
      <c r="J5" s="44"/>
      <c r="K5" s="44"/>
      <c r="L5" s="23">
        <f>СредаЯзык!C5</f>
        <v>9637</v>
      </c>
      <c r="M5" s="45"/>
      <c r="N5" s="23">
        <f t="shared" si="2"/>
        <v>1</v>
      </c>
      <c r="O5" s="45"/>
      <c r="P5" s="45"/>
      <c r="Q5" s="5">
        <v>0</v>
      </c>
      <c r="R5" s="43"/>
      <c r="S5" s="21">
        <f t="shared" si="3"/>
        <v>0</v>
      </c>
      <c r="T5" s="43"/>
      <c r="U5" s="43"/>
      <c r="V5" s="1">
        <v>0</v>
      </c>
      <c r="W5" s="44"/>
      <c r="X5" s="22">
        <f t="shared" si="4"/>
        <v>0</v>
      </c>
      <c r="Y5" s="44"/>
      <c r="Z5" s="44"/>
      <c r="AA5" s="46">
        <v>10</v>
      </c>
      <c r="AB5" s="47"/>
      <c r="AC5" s="23">
        <f t="shared" si="5"/>
        <v>1</v>
      </c>
      <c r="AD5" s="45"/>
      <c r="AE5" s="45"/>
      <c r="AF5" s="5">
        <v>1</v>
      </c>
      <c r="AG5" s="43"/>
      <c r="AH5" s="21">
        <f t="shared" si="6"/>
        <v>100</v>
      </c>
      <c r="AI5" s="43"/>
      <c r="AJ5" s="43"/>
      <c r="AK5" s="41">
        <f>СредаЯзык!E5</f>
        <v>16</v>
      </c>
      <c r="AL5" s="48"/>
      <c r="AM5" s="22">
        <f>AK5/$AL$3</f>
        <v>4</v>
      </c>
      <c r="AN5" s="44"/>
      <c r="AO5" s="44"/>
      <c r="AP5" s="40">
        <f>Сравн.Память!R3</f>
        <v>8</v>
      </c>
      <c r="AQ5" s="47"/>
      <c r="AR5" s="23">
        <f t="shared" si="7"/>
        <v>0.33333333333333331</v>
      </c>
      <c r="AS5" s="45"/>
      <c r="AT5" s="45"/>
      <c r="AU5" s="5">
        <v>1</v>
      </c>
      <c r="AV5" s="43"/>
      <c r="AW5" s="21">
        <f t="shared" ref="AW5:AW6" si="10">AU5/$AV$3</f>
        <v>2</v>
      </c>
      <c r="AX5" s="43"/>
      <c r="AY5" s="43"/>
      <c r="AZ5" s="22">
        <v>0.1</v>
      </c>
      <c r="BA5" s="44"/>
      <c r="BB5" s="22">
        <f t="shared" si="8"/>
        <v>1</v>
      </c>
      <c r="BC5" s="44"/>
      <c r="BD5" s="44"/>
      <c r="BH5" s="24">
        <f t="shared" si="9"/>
        <v>0.45419191919191915</v>
      </c>
      <c r="BI5" s="42" cm="1">
        <f t="array" ref="BI5">PointMin4($BH$3,$BH$4,$BH$5,$BH$6,BH5)</f>
        <v>4</v>
      </c>
    </row>
    <row r="6" spans="1:61" x14ac:dyDescent="0.3">
      <c r="A6" s="89" t="s">
        <v>19</v>
      </c>
      <c r="B6" s="70">
        <f>'Сравн.с_физ.Кг_s1'!X3+'Сравн.с_физ.Кг_s12'!X3</f>
        <v>14</v>
      </c>
      <c r="C6" s="21"/>
      <c r="D6" s="21">
        <f t="shared" si="0"/>
        <v>0.29166666666666669</v>
      </c>
      <c r="E6" s="21"/>
      <c r="F6" s="21"/>
      <c r="G6" s="1">
        <f>Сравн.Время!S3</f>
        <v>18</v>
      </c>
      <c r="H6" s="22"/>
      <c r="I6" s="22">
        <f t="shared" si="1"/>
        <v>1</v>
      </c>
      <c r="J6" s="22"/>
      <c r="K6" s="22"/>
      <c r="L6" s="23">
        <f>СредаЯзык!C6</f>
        <v>9637</v>
      </c>
      <c r="M6" s="23"/>
      <c r="N6" s="23">
        <f t="shared" si="2"/>
        <v>1</v>
      </c>
      <c r="O6" s="23"/>
      <c r="P6" s="23"/>
      <c r="Q6" s="5">
        <v>0</v>
      </c>
      <c r="R6" s="21"/>
      <c r="S6" s="21">
        <f t="shared" si="3"/>
        <v>0</v>
      </c>
      <c r="T6" s="21"/>
      <c r="U6" s="21"/>
      <c r="V6" s="1">
        <v>0.5</v>
      </c>
      <c r="W6" s="22"/>
      <c r="X6" s="22">
        <f t="shared" si="4"/>
        <v>0.55555555555555558</v>
      </c>
      <c r="Y6" s="22"/>
      <c r="Z6" s="22"/>
      <c r="AA6" s="46">
        <v>85</v>
      </c>
      <c r="AB6" s="40"/>
      <c r="AC6" s="23">
        <f t="shared" si="5"/>
        <v>8.5</v>
      </c>
      <c r="AD6" s="23"/>
      <c r="AE6" s="23"/>
      <c r="AF6" s="5">
        <v>0.01</v>
      </c>
      <c r="AG6" s="21"/>
      <c r="AH6" s="21">
        <f t="shared" si="6"/>
        <v>1</v>
      </c>
      <c r="AI6" s="21"/>
      <c r="AJ6" s="21"/>
      <c r="AK6" s="41">
        <f>СредаЯзык!E6</f>
        <v>16</v>
      </c>
      <c r="AL6" s="41"/>
      <c r="AM6" s="22">
        <f t="shared" ref="AM6" si="11">AK6/$AL$3</f>
        <v>4</v>
      </c>
      <c r="AN6" s="22"/>
      <c r="AO6" s="22"/>
      <c r="AP6" s="40">
        <f>Сравн.Память!S3</f>
        <v>24</v>
      </c>
      <c r="AQ6" s="40"/>
      <c r="AR6" s="23">
        <f t="shared" si="7"/>
        <v>1</v>
      </c>
      <c r="AS6" s="23"/>
      <c r="AT6" s="23"/>
      <c r="AU6" s="5">
        <v>1</v>
      </c>
      <c r="AV6" s="21"/>
      <c r="AW6" s="21">
        <f t="shared" si="10"/>
        <v>2</v>
      </c>
      <c r="AX6" s="21"/>
      <c r="AY6" s="21"/>
      <c r="AZ6" s="22">
        <v>1</v>
      </c>
      <c r="BA6" s="22"/>
      <c r="BB6" s="22">
        <f t="shared" si="8"/>
        <v>10</v>
      </c>
      <c r="BC6" s="22"/>
      <c r="BD6" s="22"/>
      <c r="BH6" s="24">
        <f t="shared" si="9"/>
        <v>0.52862448009506824</v>
      </c>
      <c r="BI6" s="42" cm="1">
        <f t="array" ref="BI6">PointMin4($BH$3,$BH$4,$BH$5,$BH$6,BH6)</f>
        <v>3</v>
      </c>
    </row>
    <row r="12" spans="1:61" x14ac:dyDescent="0.3">
      <c r="A12" s="90"/>
    </row>
    <row r="13" spans="1:61" x14ac:dyDescent="0.3">
      <c r="A13" s="90"/>
    </row>
    <row r="14" spans="1:61" x14ac:dyDescent="0.3">
      <c r="A14" s="91"/>
    </row>
    <row r="15" spans="1:61" x14ac:dyDescent="0.3">
      <c r="A15" s="90"/>
    </row>
    <row r="16" spans="1:61" x14ac:dyDescent="0.3">
      <c r="A16" s="90"/>
    </row>
    <row r="17" spans="1:2" x14ac:dyDescent="0.3">
      <c r="A17" s="91"/>
      <c r="B17" s="86"/>
    </row>
    <row r="18" spans="1:2" x14ac:dyDescent="0.3">
      <c r="B18" s="8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Сравн.с_физ.Кг_s1</vt:lpstr>
      <vt:lpstr>Сравн.с_физ.Кг_s12</vt:lpstr>
      <vt:lpstr>Сравн.Время</vt:lpstr>
      <vt:lpstr>Сравн.Память</vt:lpstr>
      <vt:lpstr>СредаЯзык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</dc:creator>
  <cp:lastModifiedBy>Павел Волков</cp:lastModifiedBy>
  <dcterms:created xsi:type="dcterms:W3CDTF">2015-06-05T18:19:34Z</dcterms:created>
  <dcterms:modified xsi:type="dcterms:W3CDTF">2025-05-22T23:33:19Z</dcterms:modified>
</cp:coreProperties>
</file>