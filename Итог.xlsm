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Татьяна\Downloads\Excel-файлы\"/>
    </mc:Choice>
  </mc:AlternateContent>
  <xr:revisionPtr revIDLastSave="0" documentId="13_ncr:1_{6C2B10AD-3A37-4680-BE8F-681FA6F3D0B0}" xr6:coauthVersionLast="47" xr6:coauthVersionMax="47" xr10:uidLastSave="{00000000-0000-0000-0000-000000000000}"/>
  <bookViews>
    <workbookView xWindow="-108" yWindow="-108" windowWidth="23256" windowHeight="12576" tabRatio="800" activeTab="5" xr2:uid="{00000000-000D-0000-FFFF-FFFF00000000}"/>
  </bookViews>
  <sheets>
    <sheet name="Сравн.с_физ.Кг_s1" sheetId="5" r:id="rId1"/>
    <sheet name="Сравн.с_физ.Кг_s12" sheetId="14" r:id="rId2"/>
    <sheet name="Сравн.Время" sheetId="7" r:id="rId3"/>
    <sheet name="Сравн.Память" sheetId="15" r:id="rId4"/>
    <sheet name="СредаЯзык" sheetId="9" r:id="rId5"/>
    <sheet name="Итог" sheetId="8" r:id="rId6"/>
  </sheets>
  <functionGroups builtInGroupCount="19"/>
  <externalReferences>
    <externalReference r:id="rId7"/>
    <externalReference r:id="rId8"/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8" l="1"/>
  <c r="AI3" i="8"/>
  <c r="Y3" i="8"/>
  <c r="E3" i="8"/>
  <c r="J3" i="8"/>
  <c r="BC3" i="8"/>
  <c r="AX3" i="8"/>
  <c r="AS3" i="8"/>
  <c r="AN3" i="8"/>
  <c r="AD3" i="8"/>
  <c r="T3" i="8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4" i="7"/>
  <c r="H5" i="7"/>
  <c r="H6" i="7"/>
  <c r="H7" i="7"/>
  <c r="H8" i="7"/>
  <c r="H9" i="7"/>
  <c r="H10" i="7"/>
  <c r="H11" i="7"/>
  <c r="H12" i="7"/>
  <c r="H13" i="7"/>
  <c r="H3" i="7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3" i="15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3" i="7"/>
  <c r="U3" i="14"/>
  <c r="M8" i="14"/>
  <c r="M13" i="14"/>
  <c r="M18" i="14"/>
  <c r="M23" i="14"/>
  <c r="M28" i="14"/>
  <c r="M33" i="14"/>
  <c r="M38" i="14"/>
  <c r="M43" i="14"/>
  <c r="M48" i="14"/>
  <c r="M53" i="14"/>
  <c r="M54" i="14"/>
  <c r="M58" i="14"/>
  <c r="M59" i="14"/>
  <c r="M63" i="14"/>
  <c r="M68" i="14"/>
  <c r="M73" i="14"/>
  <c r="M78" i="14"/>
  <c r="M81" i="14"/>
  <c r="M82" i="14"/>
  <c r="M83" i="14"/>
  <c r="M84" i="14"/>
  <c r="M85" i="14"/>
  <c r="M86" i="14"/>
  <c r="M87" i="14"/>
  <c r="M88" i="14"/>
  <c r="M3" i="14"/>
  <c r="L8" i="14"/>
  <c r="L13" i="14"/>
  <c r="L18" i="14"/>
  <c r="L23" i="14"/>
  <c r="L28" i="14"/>
  <c r="L33" i="14"/>
  <c r="L38" i="14"/>
  <c r="L43" i="14"/>
  <c r="L48" i="14"/>
  <c r="L53" i="14"/>
  <c r="L54" i="14"/>
  <c r="L58" i="14"/>
  <c r="L59" i="14"/>
  <c r="L63" i="14"/>
  <c r="L68" i="14"/>
  <c r="L73" i="14"/>
  <c r="L78" i="14"/>
  <c r="L81" i="14"/>
  <c r="L82" i="14"/>
  <c r="L83" i="14"/>
  <c r="L84" i="14"/>
  <c r="L85" i="14"/>
  <c r="L86" i="14"/>
  <c r="L87" i="14"/>
  <c r="L88" i="14"/>
  <c r="L3" i="14"/>
  <c r="L3" i="5"/>
  <c r="U3" i="5"/>
  <c r="O60" i="5"/>
  <c r="O61" i="5"/>
  <c r="O62" i="5"/>
  <c r="N60" i="5"/>
  <c r="N61" i="5"/>
  <c r="N62" i="5"/>
  <c r="K60" i="5"/>
  <c r="K61" i="5"/>
  <c r="K62" i="5"/>
  <c r="J60" i="5"/>
  <c r="J61" i="5"/>
  <c r="J62" i="5"/>
  <c r="M23" i="5"/>
  <c r="M28" i="5"/>
  <c r="M33" i="5"/>
  <c r="M38" i="5"/>
  <c r="M43" i="5"/>
  <c r="M48" i="5"/>
  <c r="M53" i="5"/>
  <c r="M54" i="5"/>
  <c r="M58" i="5"/>
  <c r="M59" i="5"/>
  <c r="M63" i="5"/>
  <c r="M68" i="5"/>
  <c r="M73" i="5"/>
  <c r="M78" i="5"/>
  <c r="M81" i="5"/>
  <c r="M82" i="5"/>
  <c r="M83" i="5"/>
  <c r="M84" i="5"/>
  <c r="M85" i="5"/>
  <c r="M86" i="5"/>
  <c r="M87" i="5"/>
  <c r="M88" i="5"/>
  <c r="M8" i="5"/>
  <c r="M13" i="5"/>
  <c r="M18" i="5"/>
  <c r="M3" i="5"/>
  <c r="L18" i="5"/>
  <c r="L23" i="5"/>
  <c r="L28" i="5"/>
  <c r="L33" i="5"/>
  <c r="L38" i="5"/>
  <c r="L43" i="5"/>
  <c r="L48" i="5"/>
  <c r="L53" i="5"/>
  <c r="L54" i="5"/>
  <c r="L58" i="5"/>
  <c r="L59" i="5"/>
  <c r="L63" i="5"/>
  <c r="L68" i="5"/>
  <c r="L73" i="5"/>
  <c r="L78" i="5"/>
  <c r="L81" i="5"/>
  <c r="L82" i="5"/>
  <c r="L83" i="5"/>
  <c r="L84" i="5"/>
  <c r="L85" i="5"/>
  <c r="L86" i="5"/>
  <c r="L87" i="5"/>
  <c r="L88" i="5"/>
  <c r="L8" i="5"/>
  <c r="L13" i="5"/>
  <c r="N9" i="15" a="1"/>
  <c r="N15" i="15" a="1"/>
  <c r="N21" i="15" a="1"/>
  <c r="N27" i="15" a="1"/>
  <c r="N33" i="15" a="1"/>
  <c r="N39" i="15" a="1"/>
  <c r="N45" i="15" a="1"/>
  <c r="N51" i="15" a="1"/>
  <c r="N57" i="15" a="1"/>
  <c r="N63" i="15" a="1"/>
  <c r="N69" i="15" a="1"/>
  <c r="N75" i="15" a="1"/>
  <c r="N81" i="15" a="1"/>
  <c r="N87" i="15" a="1"/>
  <c r="N50" i="15" a="1"/>
  <c r="N10" i="15" a="1"/>
  <c r="N16" i="15" a="1"/>
  <c r="N22" i="15" a="1"/>
  <c r="N28" i="15" a="1"/>
  <c r="N34" i="15" a="1"/>
  <c r="N40" i="15" a="1"/>
  <c r="N46" i="15" a="1"/>
  <c r="N52" i="15" a="1"/>
  <c r="N58" i="15" a="1"/>
  <c r="N64" i="15" a="1"/>
  <c r="N70" i="15" a="1"/>
  <c r="N76" i="15" a="1"/>
  <c r="N82" i="15" a="1"/>
  <c r="N88" i="15" a="1"/>
  <c r="N38" i="15" a="1"/>
  <c r="N11" i="15" a="1"/>
  <c r="N17" i="15" a="1"/>
  <c r="N23" i="15" a="1"/>
  <c r="N29" i="15" a="1"/>
  <c r="N35" i="15" a="1"/>
  <c r="N41" i="15" a="1"/>
  <c r="N47" i="15" a="1"/>
  <c r="N53" i="15" a="1"/>
  <c r="N59" i="15" a="1"/>
  <c r="N65" i="15" a="1"/>
  <c r="N71" i="15" a="1"/>
  <c r="N77" i="15" a="1"/>
  <c r="N83" i="15" a="1"/>
  <c r="N89" i="15" a="1"/>
  <c r="N20" i="15" a="1"/>
  <c r="N62" i="15" a="1"/>
  <c r="N26" i="15" a="1"/>
  <c r="N74" i="15" a="1"/>
  <c r="N12" i="15" a="1"/>
  <c r="N18" i="15" a="1"/>
  <c r="N24" i="15" a="1"/>
  <c r="N30" i="15" a="1"/>
  <c r="N36" i="15" a="1"/>
  <c r="N42" i="15" a="1"/>
  <c r="N48" i="15" a="1"/>
  <c r="N54" i="15" a="1"/>
  <c r="N60" i="15" a="1"/>
  <c r="N66" i="15" a="1"/>
  <c r="N72" i="15" a="1"/>
  <c r="N78" i="15" a="1"/>
  <c r="N84" i="15" a="1"/>
  <c r="N44" i="15" a="1"/>
  <c r="N14" i="15" a="1"/>
  <c r="N80" i="15" a="1"/>
  <c r="N13" i="15" a="1"/>
  <c r="N19" i="15" a="1"/>
  <c r="N25" i="15" a="1"/>
  <c r="N31" i="15" a="1"/>
  <c r="N37" i="15" a="1"/>
  <c r="N43" i="15" a="1"/>
  <c r="N49" i="15" a="1"/>
  <c r="N55" i="15" a="1"/>
  <c r="N61" i="15" a="1"/>
  <c r="N67" i="15" a="1"/>
  <c r="N73" i="15" a="1"/>
  <c r="N79" i="15" a="1"/>
  <c r="N85" i="15" a="1"/>
  <c r="N32" i="15" a="1"/>
  <c r="N56" i="15" a="1"/>
  <c r="N68" i="15" a="1"/>
  <c r="N86" i="15" a="1"/>
  <c r="M9" i="15" a="1"/>
  <c r="M15" i="15" a="1"/>
  <c r="M21" i="15" a="1"/>
  <c r="M27" i="15" a="1"/>
  <c r="M33" i="15" a="1"/>
  <c r="M39" i="15" a="1"/>
  <c r="M45" i="15" a="1"/>
  <c r="M51" i="15" a="1"/>
  <c r="M57" i="15" a="1"/>
  <c r="M63" i="15" a="1"/>
  <c r="M69" i="15" a="1"/>
  <c r="M75" i="15" a="1"/>
  <c r="M81" i="15" a="1"/>
  <c r="M87" i="15" a="1"/>
  <c r="M10" i="15" a="1"/>
  <c r="M16" i="15" a="1"/>
  <c r="M22" i="15" a="1"/>
  <c r="M28" i="15" a="1"/>
  <c r="M34" i="15" a="1"/>
  <c r="M40" i="15" a="1"/>
  <c r="M46" i="15" a="1"/>
  <c r="M52" i="15" a="1"/>
  <c r="M58" i="15" a="1"/>
  <c r="M64" i="15" a="1"/>
  <c r="M70" i="15" a="1"/>
  <c r="M76" i="15" a="1"/>
  <c r="M82" i="15" a="1"/>
  <c r="M88" i="15" a="1"/>
  <c r="M11" i="15" a="1"/>
  <c r="M17" i="15" a="1"/>
  <c r="M23" i="15" a="1"/>
  <c r="M29" i="15" a="1"/>
  <c r="M35" i="15" a="1"/>
  <c r="M41" i="15" a="1"/>
  <c r="M47" i="15" a="1"/>
  <c r="M53" i="15" a="1"/>
  <c r="M59" i="15" a="1"/>
  <c r="M65" i="15" a="1"/>
  <c r="M71" i="15" a="1"/>
  <c r="M77" i="15" a="1"/>
  <c r="M83" i="15" a="1"/>
  <c r="M89" i="15" a="1"/>
  <c r="M12" i="15" a="1"/>
  <c r="M18" i="15" a="1"/>
  <c r="M24" i="15" a="1"/>
  <c r="M30" i="15" a="1"/>
  <c r="M36" i="15" a="1"/>
  <c r="M42" i="15" a="1"/>
  <c r="M48" i="15" a="1"/>
  <c r="M54" i="15" a="1"/>
  <c r="M60" i="15" a="1"/>
  <c r="M66" i="15" a="1"/>
  <c r="M72" i="15" a="1"/>
  <c r="M78" i="15" a="1"/>
  <c r="M84" i="15" a="1"/>
  <c r="M13" i="15" a="1"/>
  <c r="M19" i="15" a="1"/>
  <c r="M25" i="15" a="1"/>
  <c r="M31" i="15" a="1"/>
  <c r="M37" i="15" a="1"/>
  <c r="M43" i="15" a="1"/>
  <c r="M49" i="15" a="1"/>
  <c r="M55" i="15" a="1"/>
  <c r="M61" i="15" a="1"/>
  <c r="M67" i="15" a="1"/>
  <c r="M73" i="15" a="1"/>
  <c r="M79" i="15" a="1"/>
  <c r="M85" i="15" a="1"/>
  <c r="M14" i="15" a="1"/>
  <c r="M20" i="15" a="1"/>
  <c r="M26" i="15" a="1"/>
  <c r="M32" i="15" a="1"/>
  <c r="M38" i="15" a="1"/>
  <c r="M44" i="15" a="1"/>
  <c r="M50" i="15" a="1"/>
  <c r="M56" i="15" a="1"/>
  <c r="M62" i="15" a="1"/>
  <c r="M68" i="15" a="1"/>
  <c r="M74" i="15" a="1"/>
  <c r="M80" i="15" a="1"/>
  <c r="M86" i="15" a="1"/>
  <c r="L9" i="15" a="1"/>
  <c r="L15" i="15" a="1"/>
  <c r="L21" i="15" a="1"/>
  <c r="L27" i="15" a="1"/>
  <c r="L33" i="15" a="1"/>
  <c r="L39" i="15" a="1"/>
  <c r="L45" i="15" a="1"/>
  <c r="L51" i="15" a="1"/>
  <c r="L57" i="15" a="1"/>
  <c r="L63" i="15" a="1"/>
  <c r="L69" i="15" a="1"/>
  <c r="L75" i="15" a="1"/>
  <c r="L81" i="15" a="1"/>
  <c r="L87" i="15" a="1"/>
  <c r="L56" i="15" a="1"/>
  <c r="L86" i="15" a="1"/>
  <c r="L62" i="15" a="1"/>
  <c r="L10" i="15" a="1"/>
  <c r="L16" i="15" a="1"/>
  <c r="L22" i="15" a="1"/>
  <c r="L28" i="15" a="1"/>
  <c r="L34" i="15" a="1"/>
  <c r="L40" i="15" a="1"/>
  <c r="L46" i="15" a="1"/>
  <c r="L52" i="15" a="1"/>
  <c r="L58" i="15" a="1"/>
  <c r="L64" i="15" a="1"/>
  <c r="L70" i="15" a="1"/>
  <c r="L76" i="15" a="1"/>
  <c r="L82" i="15" a="1"/>
  <c r="L88" i="15" a="1"/>
  <c r="L68" i="15" a="1"/>
  <c r="L74" i="15" a="1"/>
  <c r="L11" i="15" a="1"/>
  <c r="L17" i="15" a="1"/>
  <c r="L23" i="15" a="1"/>
  <c r="L29" i="15" a="1"/>
  <c r="L35" i="15" a="1"/>
  <c r="L41" i="15" a="1"/>
  <c r="L47" i="15" a="1"/>
  <c r="L53" i="15" a="1"/>
  <c r="L59" i="15" a="1"/>
  <c r="L65" i="15" a="1"/>
  <c r="L71" i="15" a="1"/>
  <c r="L77" i="15" a="1"/>
  <c r="L83" i="15" a="1"/>
  <c r="L89" i="15" a="1"/>
  <c r="L50" i="15" a="1"/>
  <c r="L80" i="15" a="1"/>
  <c r="L38" i="15" a="1"/>
  <c r="L12" i="15" a="1"/>
  <c r="L18" i="15" a="1"/>
  <c r="L24" i="15" a="1"/>
  <c r="L30" i="15" a="1"/>
  <c r="L36" i="15" a="1"/>
  <c r="L42" i="15" a="1"/>
  <c r="L48" i="15" a="1"/>
  <c r="L54" i="15" a="1"/>
  <c r="L60" i="15" a="1"/>
  <c r="L66" i="15" a="1"/>
  <c r="L72" i="15" a="1"/>
  <c r="L78" i="15" a="1"/>
  <c r="L84" i="15" a="1"/>
  <c r="L32" i="15" a="1"/>
  <c r="L26" i="15" a="1"/>
  <c r="L13" i="15" a="1"/>
  <c r="L19" i="15" a="1"/>
  <c r="L25" i="15" a="1"/>
  <c r="L31" i="15" a="1"/>
  <c r="L37" i="15" a="1"/>
  <c r="L43" i="15" a="1"/>
  <c r="L49" i="15" a="1"/>
  <c r="L55" i="15" a="1"/>
  <c r="L61" i="15" a="1"/>
  <c r="L67" i="15" a="1"/>
  <c r="L73" i="15" a="1"/>
  <c r="L79" i="15" a="1"/>
  <c r="L85" i="15" a="1"/>
  <c r="L14" i="15" a="1"/>
  <c r="L20" i="15" a="1"/>
  <c r="L44" i="15" a="1"/>
  <c r="K9" i="15" a="1"/>
  <c r="K15" i="15" a="1"/>
  <c r="K21" i="15" a="1"/>
  <c r="K27" i="15" a="1"/>
  <c r="K33" i="15" a="1"/>
  <c r="K39" i="15" a="1"/>
  <c r="K45" i="15" a="1"/>
  <c r="K51" i="15" a="1"/>
  <c r="K57" i="15" a="1"/>
  <c r="K63" i="15" a="1"/>
  <c r="K69" i="15" a="1"/>
  <c r="K75" i="15" a="1"/>
  <c r="K81" i="15" a="1"/>
  <c r="K87" i="15" a="1"/>
  <c r="K10" i="15" a="1"/>
  <c r="K16" i="15" a="1"/>
  <c r="K22" i="15" a="1"/>
  <c r="K28" i="15" a="1"/>
  <c r="K34" i="15" a="1"/>
  <c r="K40" i="15" a="1"/>
  <c r="K46" i="15" a="1"/>
  <c r="K52" i="15" a="1"/>
  <c r="K58" i="15" a="1"/>
  <c r="K64" i="15" a="1"/>
  <c r="K70" i="15" a="1"/>
  <c r="K76" i="15" a="1"/>
  <c r="K82" i="15" a="1"/>
  <c r="K88" i="15" a="1"/>
  <c r="K11" i="15" a="1"/>
  <c r="K17" i="15" a="1"/>
  <c r="K23" i="15" a="1"/>
  <c r="K29" i="15" a="1"/>
  <c r="K35" i="15" a="1"/>
  <c r="K41" i="15" a="1"/>
  <c r="K47" i="15" a="1"/>
  <c r="K53" i="15" a="1"/>
  <c r="K59" i="15" a="1"/>
  <c r="K65" i="15" a="1"/>
  <c r="K71" i="15" a="1"/>
  <c r="K77" i="15" a="1"/>
  <c r="K83" i="15" a="1"/>
  <c r="K89" i="15" a="1"/>
  <c r="K12" i="15" a="1"/>
  <c r="K18" i="15" a="1"/>
  <c r="K24" i="15" a="1"/>
  <c r="K30" i="15" a="1"/>
  <c r="K36" i="15" a="1"/>
  <c r="K42" i="15" a="1"/>
  <c r="K48" i="15" a="1"/>
  <c r="K54" i="15" a="1"/>
  <c r="K60" i="15" a="1"/>
  <c r="K66" i="15" a="1"/>
  <c r="K72" i="15" a="1"/>
  <c r="K78" i="15" a="1"/>
  <c r="K84" i="15" a="1"/>
  <c r="K13" i="15" a="1"/>
  <c r="K19" i="15" a="1"/>
  <c r="K25" i="15" a="1"/>
  <c r="K31" i="15" a="1"/>
  <c r="K37" i="15" a="1"/>
  <c r="K43" i="15" a="1"/>
  <c r="K49" i="15" a="1"/>
  <c r="K55" i="15" a="1"/>
  <c r="K61" i="15" a="1"/>
  <c r="K67" i="15" a="1"/>
  <c r="K73" i="15" a="1"/>
  <c r="K79" i="15" a="1"/>
  <c r="K85" i="15" a="1"/>
  <c r="K14" i="15" a="1"/>
  <c r="K20" i="15" a="1"/>
  <c r="K26" i="15" a="1"/>
  <c r="K32" i="15" a="1"/>
  <c r="K38" i="15" a="1"/>
  <c r="K44" i="15" a="1"/>
  <c r="K50" i="15" a="1"/>
  <c r="K56" i="15" a="1"/>
  <c r="K62" i="15" a="1"/>
  <c r="K68" i="15" a="1"/>
  <c r="K74" i="15" a="1"/>
  <c r="K80" i="15" a="1"/>
  <c r="K86" i="15" a="1"/>
  <c r="N9" i="7" a="1"/>
  <c r="N15" i="7" a="1"/>
  <c r="N21" i="7" a="1"/>
  <c r="N27" i="7" a="1"/>
  <c r="N33" i="7" a="1"/>
  <c r="N39" i="7" a="1"/>
  <c r="N45" i="7" a="1"/>
  <c r="N51" i="7" a="1"/>
  <c r="N57" i="7" a="1"/>
  <c r="N63" i="7" a="1"/>
  <c r="N69" i="7" a="1"/>
  <c r="N75" i="7" a="1"/>
  <c r="N81" i="7" a="1"/>
  <c r="N87" i="7" a="1"/>
  <c r="N62" i="7" a="1"/>
  <c r="N80" i="7" a="1"/>
  <c r="N68" i="7" a="1"/>
  <c r="N10" i="7" a="1"/>
  <c r="N16" i="7" a="1"/>
  <c r="N22" i="7" a="1"/>
  <c r="N28" i="7" a="1"/>
  <c r="N34" i="7" a="1"/>
  <c r="N40" i="7" a="1"/>
  <c r="N46" i="7" a="1"/>
  <c r="N52" i="7" a="1"/>
  <c r="N58" i="7" a="1"/>
  <c r="N64" i="7" a="1"/>
  <c r="N70" i="7" a="1"/>
  <c r="N76" i="7" a="1"/>
  <c r="N82" i="7" a="1"/>
  <c r="N88" i="7" a="1"/>
  <c r="N56" i="7" a="1"/>
  <c r="N26" i="7" a="1"/>
  <c r="N11" i="7" a="1"/>
  <c r="N17" i="7" a="1"/>
  <c r="N23" i="7" a="1"/>
  <c r="N29" i="7" a="1"/>
  <c r="N35" i="7" a="1"/>
  <c r="N41" i="7" a="1"/>
  <c r="N47" i="7" a="1"/>
  <c r="N53" i="7" a="1"/>
  <c r="N59" i="7" a="1"/>
  <c r="N65" i="7" a="1"/>
  <c r="N71" i="7" a="1"/>
  <c r="N77" i="7" a="1"/>
  <c r="N83" i="7" a="1"/>
  <c r="N32" i="7" a="1"/>
  <c r="N20" i="7" a="1"/>
  <c r="N12" i="7" a="1"/>
  <c r="N18" i="7" a="1"/>
  <c r="N24" i="7" a="1"/>
  <c r="N30" i="7" a="1"/>
  <c r="N36" i="7" a="1"/>
  <c r="N42" i="7" a="1"/>
  <c r="N48" i="7" a="1"/>
  <c r="N54" i="7" a="1"/>
  <c r="N60" i="7" a="1"/>
  <c r="N66" i="7" a="1"/>
  <c r="N72" i="7" a="1"/>
  <c r="N78" i="7" a="1"/>
  <c r="N84" i="7" a="1"/>
  <c r="N50" i="7" a="1"/>
  <c r="N86" i="7" a="1"/>
  <c r="N38" i="7" a="1"/>
  <c r="N13" i="7" a="1"/>
  <c r="N19" i="7" a="1"/>
  <c r="N25" i="7" a="1"/>
  <c r="N31" i="7" a="1"/>
  <c r="N37" i="7" a="1"/>
  <c r="N43" i="7" a="1"/>
  <c r="N49" i="7" a="1"/>
  <c r="N55" i="7" a="1"/>
  <c r="N61" i="7" a="1"/>
  <c r="N67" i="7" a="1"/>
  <c r="N73" i="7" a="1"/>
  <c r="N79" i="7" a="1"/>
  <c r="N85" i="7" a="1"/>
  <c r="N44" i="7" a="1"/>
  <c r="N14" i="7" a="1"/>
  <c r="N74" i="7" a="1"/>
  <c r="M9" i="7" a="1"/>
  <c r="M15" i="7" a="1"/>
  <c r="M21" i="7" a="1"/>
  <c r="M27" i="7" a="1"/>
  <c r="M33" i="7" a="1"/>
  <c r="M39" i="7" a="1"/>
  <c r="M45" i="7" a="1"/>
  <c r="M51" i="7" a="1"/>
  <c r="M57" i="7" a="1"/>
  <c r="M63" i="7" a="1"/>
  <c r="M69" i="7" a="1"/>
  <c r="M75" i="7" a="1"/>
  <c r="M81" i="7" a="1"/>
  <c r="M87" i="7" a="1"/>
  <c r="M62" i="7" a="1"/>
  <c r="M74" i="7" a="1"/>
  <c r="M80" i="7" a="1"/>
  <c r="M50" i="7" a="1"/>
  <c r="M10" i="7" a="1"/>
  <c r="M16" i="7" a="1"/>
  <c r="M22" i="7" a="1"/>
  <c r="M28" i="7" a="1"/>
  <c r="M34" i="7" a="1"/>
  <c r="M40" i="7" a="1"/>
  <c r="M46" i="7" a="1"/>
  <c r="M52" i="7" a="1"/>
  <c r="M58" i="7" a="1"/>
  <c r="M64" i="7" a="1"/>
  <c r="M70" i="7" a="1"/>
  <c r="M76" i="7" a="1"/>
  <c r="M82" i="7" a="1"/>
  <c r="M88" i="7" a="1"/>
  <c r="M38" i="7" a="1"/>
  <c r="M44" i="7" a="1"/>
  <c r="M11" i="7" a="1"/>
  <c r="M17" i="7" a="1"/>
  <c r="M23" i="7" a="1"/>
  <c r="M29" i="7" a="1"/>
  <c r="M35" i="7" a="1"/>
  <c r="M41" i="7" a="1"/>
  <c r="M47" i="7" a="1"/>
  <c r="M53" i="7" a="1"/>
  <c r="M59" i="7" a="1"/>
  <c r="M65" i="7" a="1"/>
  <c r="M71" i="7" a="1"/>
  <c r="M77" i="7" a="1"/>
  <c r="M83" i="7" a="1"/>
  <c r="M56" i="7" a="1"/>
  <c r="M68" i="7" a="1"/>
  <c r="M86" i="7" a="1"/>
  <c r="M12" i="7" a="1"/>
  <c r="M18" i="7" a="1"/>
  <c r="M24" i="7" a="1"/>
  <c r="M30" i="7" a="1"/>
  <c r="M36" i="7" a="1"/>
  <c r="M42" i="7" a="1"/>
  <c r="M48" i="7" a="1"/>
  <c r="M54" i="7" a="1"/>
  <c r="M60" i="7" a="1"/>
  <c r="M66" i="7" a="1"/>
  <c r="M72" i="7" a="1"/>
  <c r="M78" i="7" a="1"/>
  <c r="M84" i="7" a="1"/>
  <c r="M20" i="7" a="1"/>
  <c r="M26" i="7" a="1"/>
  <c r="M13" i="7" a="1"/>
  <c r="M19" i="7" a="1"/>
  <c r="M25" i="7" a="1"/>
  <c r="M31" i="7" a="1"/>
  <c r="M37" i="7" a="1"/>
  <c r="M43" i="7" a="1"/>
  <c r="M49" i="7" a="1"/>
  <c r="M55" i="7" a="1"/>
  <c r="M61" i="7" a="1"/>
  <c r="M67" i="7" a="1"/>
  <c r="M73" i="7" a="1"/>
  <c r="M79" i="7" a="1"/>
  <c r="M85" i="7" a="1"/>
  <c r="M14" i="7" a="1"/>
  <c r="M32" i="7" a="1"/>
  <c r="L9" i="7" a="1"/>
  <c r="L15" i="7" a="1"/>
  <c r="L21" i="7" a="1"/>
  <c r="L27" i="7" a="1"/>
  <c r="L33" i="7" a="1"/>
  <c r="L39" i="7" a="1"/>
  <c r="L45" i="7" a="1"/>
  <c r="L51" i="7" a="1"/>
  <c r="L57" i="7" a="1"/>
  <c r="L63" i="7" a="1"/>
  <c r="L69" i="7" a="1"/>
  <c r="L75" i="7" a="1"/>
  <c r="L81" i="7" a="1"/>
  <c r="L87" i="7" a="1"/>
  <c r="L56" i="7" a="1"/>
  <c r="L80" i="7" a="1"/>
  <c r="L62" i="7" a="1"/>
  <c r="L10" i="7" a="1"/>
  <c r="L16" i="7" a="1"/>
  <c r="L22" i="7" a="1"/>
  <c r="L28" i="7" a="1"/>
  <c r="L34" i="7" a="1"/>
  <c r="L40" i="7" a="1"/>
  <c r="L46" i="7" a="1"/>
  <c r="L52" i="7" a="1"/>
  <c r="L58" i="7" a="1"/>
  <c r="L64" i="7" a="1"/>
  <c r="L70" i="7" a="1"/>
  <c r="L76" i="7" a="1"/>
  <c r="L82" i="7" a="1"/>
  <c r="L88" i="7" a="1"/>
  <c r="L68" i="7" a="1"/>
  <c r="L50" i="7" a="1"/>
  <c r="L11" i="7" a="1"/>
  <c r="L17" i="7" a="1"/>
  <c r="L23" i="7" a="1"/>
  <c r="L29" i="7" a="1"/>
  <c r="L35" i="7" a="1"/>
  <c r="L41" i="7" a="1"/>
  <c r="L47" i="7" a="1"/>
  <c r="L53" i="7" a="1"/>
  <c r="L59" i="7" a="1"/>
  <c r="L65" i="7" a="1"/>
  <c r="L71" i="7" a="1"/>
  <c r="L77" i="7" a="1"/>
  <c r="L83" i="7" a="1"/>
  <c r="L44" i="7" a="1"/>
  <c r="L32" i="7" a="1"/>
  <c r="L12" i="7" a="1"/>
  <c r="L18" i="7" a="1"/>
  <c r="L24" i="7" a="1"/>
  <c r="L30" i="7" a="1"/>
  <c r="L36" i="7" a="1"/>
  <c r="L42" i="7" a="1"/>
  <c r="L48" i="7" a="1"/>
  <c r="L54" i="7" a="1"/>
  <c r="L60" i="7" a="1"/>
  <c r="L66" i="7" a="1"/>
  <c r="L72" i="7" a="1"/>
  <c r="L78" i="7" a="1"/>
  <c r="L84" i="7" a="1"/>
  <c r="L38" i="7" a="1"/>
  <c r="L74" i="7" a="1"/>
  <c r="L26" i="7" a="1"/>
  <c r="L86" i="7" a="1"/>
  <c r="L13" i="7" a="1"/>
  <c r="L19" i="7" a="1"/>
  <c r="L25" i="7" a="1"/>
  <c r="L31" i="7" a="1"/>
  <c r="L37" i="7" a="1"/>
  <c r="L43" i="7" a="1"/>
  <c r="L49" i="7" a="1"/>
  <c r="L55" i="7" a="1"/>
  <c r="L61" i="7" a="1"/>
  <c r="L67" i="7" a="1"/>
  <c r="L73" i="7" a="1"/>
  <c r="L79" i="7" a="1"/>
  <c r="L85" i="7" a="1"/>
  <c r="L20" i="7" a="1"/>
  <c r="L14" i="7" a="1"/>
  <c r="K9" i="7" a="1"/>
  <c r="K15" i="7" a="1"/>
  <c r="K21" i="7" a="1"/>
  <c r="K27" i="7" a="1"/>
  <c r="K33" i="7" a="1"/>
  <c r="K39" i="7" a="1"/>
  <c r="K45" i="7" a="1"/>
  <c r="K51" i="7" a="1"/>
  <c r="K57" i="7" a="1"/>
  <c r="K63" i="7" a="1"/>
  <c r="K69" i="7" a="1"/>
  <c r="K75" i="7" a="1"/>
  <c r="K81" i="7" a="1"/>
  <c r="K87" i="7" a="1"/>
  <c r="K26" i="7" a="1"/>
  <c r="K44" i="7" a="1"/>
  <c r="K10" i="7" a="1"/>
  <c r="K16" i="7" a="1"/>
  <c r="K22" i="7" a="1"/>
  <c r="K28" i="7" a="1"/>
  <c r="K34" i="7" a="1"/>
  <c r="K40" i="7" a="1"/>
  <c r="K46" i="7" a="1"/>
  <c r="K52" i="7" a="1"/>
  <c r="K58" i="7" a="1"/>
  <c r="K64" i="7" a="1"/>
  <c r="K70" i="7" a="1"/>
  <c r="K76" i="7" a="1"/>
  <c r="K82" i="7" a="1"/>
  <c r="K88" i="7" a="1"/>
  <c r="K14" i="7" a="1"/>
  <c r="K74" i="7" a="1"/>
  <c r="K86" i="7" a="1"/>
  <c r="K32" i="7" a="1"/>
  <c r="K11" i="7" a="1"/>
  <c r="K17" i="7" a="1"/>
  <c r="K23" i="7" a="1"/>
  <c r="K29" i="7" a="1"/>
  <c r="K35" i="7" a="1"/>
  <c r="K41" i="7" a="1"/>
  <c r="K47" i="7" a="1"/>
  <c r="K53" i="7" a="1"/>
  <c r="K59" i="7" a="1"/>
  <c r="K65" i="7" a="1"/>
  <c r="K71" i="7" a="1"/>
  <c r="K77" i="7" a="1"/>
  <c r="K83" i="7" a="1"/>
  <c r="K56" i="7" a="1"/>
  <c r="K50" i="7" a="1"/>
  <c r="K12" i="7" a="1"/>
  <c r="K18" i="7" a="1"/>
  <c r="K24" i="7" a="1"/>
  <c r="K30" i="7" a="1"/>
  <c r="K36" i="7" a="1"/>
  <c r="K42" i="7" a="1"/>
  <c r="K48" i="7" a="1"/>
  <c r="K54" i="7" a="1"/>
  <c r="K60" i="7" a="1"/>
  <c r="K66" i="7" a="1"/>
  <c r="K72" i="7" a="1"/>
  <c r="K78" i="7" a="1"/>
  <c r="K84" i="7" a="1"/>
  <c r="K62" i="7" a="1"/>
  <c r="K38" i="7" a="1"/>
  <c r="K13" i="7" a="1"/>
  <c r="K19" i="7" a="1"/>
  <c r="K25" i="7" a="1"/>
  <c r="K31" i="7" a="1"/>
  <c r="K37" i="7" a="1"/>
  <c r="K43" i="7" a="1"/>
  <c r="K49" i="7" a="1"/>
  <c r="K55" i="7" a="1"/>
  <c r="K61" i="7" a="1"/>
  <c r="K67" i="7" a="1"/>
  <c r="K73" i="7" a="1"/>
  <c r="K79" i="7" a="1"/>
  <c r="K85" i="7" a="1"/>
  <c r="K20" i="7" a="1"/>
  <c r="K68" i="7" a="1"/>
  <c r="K80" i="7" a="1"/>
  <c r="S9" i="14" a="1"/>
  <c r="S15" i="14" a="1"/>
  <c r="S21" i="14" a="1"/>
  <c r="S27" i="14" a="1"/>
  <c r="S33" i="14" a="1"/>
  <c r="S39" i="14" a="1"/>
  <c r="S45" i="14" a="1"/>
  <c r="S51" i="14" a="1"/>
  <c r="S57" i="14" a="1"/>
  <c r="S63" i="14" a="1"/>
  <c r="S69" i="14" a="1"/>
  <c r="S75" i="14" a="1"/>
  <c r="S81" i="14" a="1"/>
  <c r="S87" i="14" a="1"/>
  <c r="S10" i="14" a="1"/>
  <c r="S16" i="14" a="1"/>
  <c r="S22" i="14" a="1"/>
  <c r="S28" i="14" a="1"/>
  <c r="S34" i="14" a="1"/>
  <c r="S40" i="14" a="1"/>
  <c r="S46" i="14" a="1"/>
  <c r="S52" i="14" a="1"/>
  <c r="S58" i="14" a="1"/>
  <c r="S64" i="14" a="1"/>
  <c r="S70" i="14" a="1"/>
  <c r="S76" i="14" a="1"/>
  <c r="S82" i="14" a="1"/>
  <c r="S88" i="14" a="1"/>
  <c r="S11" i="14" a="1"/>
  <c r="S17" i="14" a="1"/>
  <c r="S23" i="14" a="1"/>
  <c r="S29" i="14" a="1"/>
  <c r="S35" i="14" a="1"/>
  <c r="S41" i="14" a="1"/>
  <c r="S47" i="14" a="1"/>
  <c r="S53" i="14" a="1"/>
  <c r="S59" i="14" a="1"/>
  <c r="S65" i="14" a="1"/>
  <c r="S71" i="14" a="1"/>
  <c r="S77" i="14" a="1"/>
  <c r="S83" i="14" a="1"/>
  <c r="S12" i="14" a="1"/>
  <c r="S18" i="14" a="1"/>
  <c r="S24" i="14" a="1"/>
  <c r="S30" i="14" a="1"/>
  <c r="S36" i="14" a="1"/>
  <c r="S42" i="14" a="1"/>
  <c r="S48" i="14" a="1"/>
  <c r="S54" i="14" a="1"/>
  <c r="S60" i="14" a="1"/>
  <c r="S66" i="14" a="1"/>
  <c r="S72" i="14" a="1"/>
  <c r="S78" i="14" a="1"/>
  <c r="S84" i="14" a="1"/>
  <c r="S13" i="14" a="1"/>
  <c r="S19" i="14" a="1"/>
  <c r="S25" i="14" a="1"/>
  <c r="S31" i="14" a="1"/>
  <c r="S37" i="14" a="1"/>
  <c r="S43" i="14" a="1"/>
  <c r="S49" i="14" a="1"/>
  <c r="S55" i="14" a="1"/>
  <c r="S61" i="14" a="1"/>
  <c r="S67" i="14" a="1"/>
  <c r="S73" i="14" a="1"/>
  <c r="S79" i="14" a="1"/>
  <c r="S85" i="14" a="1"/>
  <c r="S14" i="14" a="1"/>
  <c r="S20" i="14" a="1"/>
  <c r="S26" i="14" a="1"/>
  <c r="S32" i="14" a="1"/>
  <c r="S38" i="14" a="1"/>
  <c r="S44" i="14" a="1"/>
  <c r="S50" i="14" a="1"/>
  <c r="S56" i="14" a="1"/>
  <c r="S62" i="14" a="1"/>
  <c r="S68" i="14" a="1"/>
  <c r="S74" i="14" a="1"/>
  <c r="S80" i="14" a="1"/>
  <c r="S86" i="14" a="1"/>
  <c r="R9" i="14" a="1"/>
  <c r="R15" i="14" a="1"/>
  <c r="R21" i="14" a="1"/>
  <c r="R27" i="14" a="1"/>
  <c r="R33" i="14" a="1"/>
  <c r="R39" i="14" a="1"/>
  <c r="R45" i="14" a="1"/>
  <c r="R51" i="14" a="1"/>
  <c r="R57" i="14" a="1"/>
  <c r="R63" i="14" a="1"/>
  <c r="R69" i="14" a="1"/>
  <c r="R75" i="14" a="1"/>
  <c r="R81" i="14" a="1"/>
  <c r="R87" i="14" a="1"/>
  <c r="R10" i="14" a="1"/>
  <c r="R16" i="14" a="1"/>
  <c r="R22" i="14" a="1"/>
  <c r="R28" i="14" a="1"/>
  <c r="R34" i="14" a="1"/>
  <c r="R40" i="14" a="1"/>
  <c r="R46" i="14" a="1"/>
  <c r="R52" i="14" a="1"/>
  <c r="R58" i="14" a="1"/>
  <c r="R64" i="14" a="1"/>
  <c r="R70" i="14" a="1"/>
  <c r="R76" i="14" a="1"/>
  <c r="R82" i="14" a="1"/>
  <c r="R88" i="14" a="1"/>
  <c r="R11" i="14" a="1"/>
  <c r="R17" i="14" a="1"/>
  <c r="R23" i="14" a="1"/>
  <c r="R29" i="14" a="1"/>
  <c r="R35" i="14" a="1"/>
  <c r="R41" i="14" a="1"/>
  <c r="R47" i="14" a="1"/>
  <c r="R53" i="14" a="1"/>
  <c r="R59" i="14" a="1"/>
  <c r="R65" i="14" a="1"/>
  <c r="R71" i="14" a="1"/>
  <c r="R77" i="14" a="1"/>
  <c r="R83" i="14" a="1"/>
  <c r="R12" i="14" a="1"/>
  <c r="R18" i="14" a="1"/>
  <c r="R24" i="14" a="1"/>
  <c r="R30" i="14" a="1"/>
  <c r="R36" i="14" a="1"/>
  <c r="R42" i="14" a="1"/>
  <c r="R48" i="14" a="1"/>
  <c r="R54" i="14" a="1"/>
  <c r="R60" i="14" a="1"/>
  <c r="R66" i="14" a="1"/>
  <c r="R72" i="14" a="1"/>
  <c r="R78" i="14" a="1"/>
  <c r="R84" i="14" a="1"/>
  <c r="R13" i="14" a="1"/>
  <c r="R19" i="14" a="1"/>
  <c r="R25" i="14" a="1"/>
  <c r="R31" i="14" a="1"/>
  <c r="R37" i="14" a="1"/>
  <c r="R43" i="14" a="1"/>
  <c r="R49" i="14" a="1"/>
  <c r="R55" i="14" a="1"/>
  <c r="R61" i="14" a="1"/>
  <c r="R67" i="14" a="1"/>
  <c r="R73" i="14" a="1"/>
  <c r="R79" i="14" a="1"/>
  <c r="R85" i="14" a="1"/>
  <c r="R14" i="14" a="1"/>
  <c r="R20" i="14" a="1"/>
  <c r="R26" i="14" a="1"/>
  <c r="R32" i="14" a="1"/>
  <c r="R38" i="14" a="1"/>
  <c r="R44" i="14" a="1"/>
  <c r="R50" i="14" a="1"/>
  <c r="R56" i="14" a="1"/>
  <c r="R62" i="14" a="1"/>
  <c r="R68" i="14" a="1"/>
  <c r="R74" i="14" a="1"/>
  <c r="R80" i="14" a="1"/>
  <c r="R86" i="14" a="1"/>
  <c r="Q9" i="14" a="1"/>
  <c r="Q15" i="14" a="1"/>
  <c r="Q21" i="14" a="1"/>
  <c r="Q27" i="14" a="1"/>
  <c r="Q33" i="14" a="1"/>
  <c r="Q39" i="14" a="1"/>
  <c r="Q45" i="14" a="1"/>
  <c r="Q51" i="14" a="1"/>
  <c r="Q57" i="14" a="1"/>
  <c r="Q63" i="14" a="1"/>
  <c r="Q69" i="14" a="1"/>
  <c r="Q75" i="14" a="1"/>
  <c r="Q81" i="14" a="1"/>
  <c r="Q87" i="14" a="1"/>
  <c r="Q10" i="14" a="1"/>
  <c r="Q16" i="14" a="1"/>
  <c r="Q22" i="14" a="1"/>
  <c r="Q28" i="14" a="1"/>
  <c r="Q34" i="14" a="1"/>
  <c r="Q40" i="14" a="1"/>
  <c r="Q46" i="14" a="1"/>
  <c r="Q52" i="14" a="1"/>
  <c r="Q58" i="14" a="1"/>
  <c r="Q64" i="14" a="1"/>
  <c r="Q70" i="14" a="1"/>
  <c r="Q76" i="14" a="1"/>
  <c r="Q82" i="14" a="1"/>
  <c r="Q88" i="14" a="1"/>
  <c r="Q11" i="14" a="1"/>
  <c r="Q17" i="14" a="1"/>
  <c r="Q23" i="14" a="1"/>
  <c r="Q29" i="14" a="1"/>
  <c r="Q35" i="14" a="1"/>
  <c r="Q41" i="14" a="1"/>
  <c r="Q47" i="14" a="1"/>
  <c r="Q53" i="14" a="1"/>
  <c r="Q59" i="14" a="1"/>
  <c r="Q65" i="14" a="1"/>
  <c r="Q71" i="14" a="1"/>
  <c r="Q77" i="14" a="1"/>
  <c r="Q83" i="14" a="1"/>
  <c r="Q12" i="14" a="1"/>
  <c r="Q18" i="14" a="1"/>
  <c r="Q24" i="14" a="1"/>
  <c r="Q30" i="14" a="1"/>
  <c r="Q36" i="14" a="1"/>
  <c r="Q42" i="14" a="1"/>
  <c r="Q48" i="14" a="1"/>
  <c r="Q54" i="14" a="1"/>
  <c r="Q60" i="14" a="1"/>
  <c r="Q66" i="14" a="1"/>
  <c r="Q72" i="14" a="1"/>
  <c r="Q78" i="14" a="1"/>
  <c r="Q84" i="14" a="1"/>
  <c r="Q13" i="14" a="1"/>
  <c r="Q19" i="14" a="1"/>
  <c r="Q25" i="14" a="1"/>
  <c r="Q31" i="14" a="1"/>
  <c r="Q37" i="14" a="1"/>
  <c r="Q43" i="14" a="1"/>
  <c r="Q49" i="14" a="1"/>
  <c r="Q55" i="14" a="1"/>
  <c r="Q61" i="14" a="1"/>
  <c r="Q67" i="14" a="1"/>
  <c r="Q73" i="14" a="1"/>
  <c r="Q79" i="14" a="1"/>
  <c r="Q85" i="14" a="1"/>
  <c r="Q14" i="14" a="1"/>
  <c r="Q20" i="14" a="1"/>
  <c r="Q26" i="14" a="1"/>
  <c r="Q32" i="14" a="1"/>
  <c r="Q38" i="14" a="1"/>
  <c r="Q44" i="14" a="1"/>
  <c r="Q50" i="14" a="1"/>
  <c r="Q56" i="14" a="1"/>
  <c r="Q62" i="14" a="1"/>
  <c r="Q68" i="14" a="1"/>
  <c r="Q74" i="14" a="1"/>
  <c r="Q80" i="14" a="1"/>
  <c r="Q86" i="14" a="1"/>
  <c r="S9" i="5" a="1"/>
  <c r="S15" i="5" a="1"/>
  <c r="S21" i="5" a="1"/>
  <c r="S27" i="5" a="1"/>
  <c r="S33" i="5" a="1"/>
  <c r="S39" i="5" a="1"/>
  <c r="S45" i="5" a="1"/>
  <c r="S51" i="5" a="1"/>
  <c r="S57" i="5" a="1"/>
  <c r="S63" i="5" a="1"/>
  <c r="S69" i="5" a="1"/>
  <c r="S75" i="5" a="1"/>
  <c r="S81" i="5" a="1"/>
  <c r="S87" i="5" a="1"/>
  <c r="S44" i="5" a="1"/>
  <c r="S62" i="5" a="1"/>
  <c r="S10" i="5" a="1"/>
  <c r="S16" i="5" a="1"/>
  <c r="S22" i="5" a="1"/>
  <c r="S28" i="5" a="1"/>
  <c r="S34" i="5" a="1"/>
  <c r="S40" i="5" a="1"/>
  <c r="S46" i="5" a="1"/>
  <c r="S52" i="5" a="1"/>
  <c r="S58" i="5" a="1"/>
  <c r="S64" i="5" a="1"/>
  <c r="S70" i="5" a="1"/>
  <c r="S76" i="5" a="1"/>
  <c r="S82" i="5" a="1"/>
  <c r="S88" i="5" a="1"/>
  <c r="S20" i="5" a="1"/>
  <c r="S74" i="5" a="1"/>
  <c r="S86" i="5" a="1"/>
  <c r="S32" i="5" a="1"/>
  <c r="S11" i="5" a="1"/>
  <c r="S17" i="5" a="1"/>
  <c r="S23" i="5" a="1"/>
  <c r="S29" i="5" a="1"/>
  <c r="S35" i="5" a="1"/>
  <c r="S41" i="5" a="1"/>
  <c r="S47" i="5" a="1"/>
  <c r="S53" i="5" a="1"/>
  <c r="S59" i="5" a="1"/>
  <c r="S65" i="5" a="1"/>
  <c r="S71" i="5" a="1"/>
  <c r="S77" i="5" a="1"/>
  <c r="S83" i="5" a="1"/>
  <c r="S56" i="5" a="1"/>
  <c r="S14" i="5" a="1"/>
  <c r="S12" i="5" a="1"/>
  <c r="S18" i="5" a="1"/>
  <c r="S24" i="5" a="1"/>
  <c r="S30" i="5" a="1"/>
  <c r="S36" i="5" a="1"/>
  <c r="S42" i="5" a="1"/>
  <c r="S48" i="5" a="1"/>
  <c r="S54" i="5" a="1"/>
  <c r="S60" i="5" a="1"/>
  <c r="S66" i="5" a="1"/>
  <c r="S72" i="5" a="1"/>
  <c r="S78" i="5" a="1"/>
  <c r="S84" i="5" a="1"/>
  <c r="S50" i="5" a="1"/>
  <c r="S68" i="5" a="1"/>
  <c r="S13" i="5" a="1"/>
  <c r="S19" i="5" a="1"/>
  <c r="S25" i="5" a="1"/>
  <c r="S31" i="5" a="1"/>
  <c r="S37" i="5" a="1"/>
  <c r="S43" i="5" a="1"/>
  <c r="S49" i="5" a="1"/>
  <c r="S55" i="5" a="1"/>
  <c r="S61" i="5" a="1"/>
  <c r="S67" i="5" a="1"/>
  <c r="S73" i="5" a="1"/>
  <c r="S79" i="5" a="1"/>
  <c r="S85" i="5" a="1"/>
  <c r="S26" i="5" a="1"/>
  <c r="S80" i="5" a="1"/>
  <c r="S38" i="5" a="1"/>
  <c r="R9" i="5" a="1"/>
  <c r="R15" i="5" a="1"/>
  <c r="R21" i="5" a="1"/>
  <c r="R27" i="5" a="1"/>
  <c r="R33" i="5" a="1"/>
  <c r="R39" i="5" a="1"/>
  <c r="R45" i="5" a="1"/>
  <c r="R51" i="5" a="1"/>
  <c r="R57" i="5" a="1"/>
  <c r="R63" i="5" a="1"/>
  <c r="R69" i="5" a="1"/>
  <c r="R75" i="5" a="1"/>
  <c r="R81" i="5" a="1"/>
  <c r="R87" i="5" a="1"/>
  <c r="R10" i="5" a="1"/>
  <c r="R16" i="5" a="1"/>
  <c r="R22" i="5" a="1"/>
  <c r="R28" i="5" a="1"/>
  <c r="R34" i="5" a="1"/>
  <c r="R40" i="5" a="1"/>
  <c r="R46" i="5" a="1"/>
  <c r="R52" i="5" a="1"/>
  <c r="R58" i="5" a="1"/>
  <c r="R64" i="5" a="1"/>
  <c r="R70" i="5" a="1"/>
  <c r="R76" i="5" a="1"/>
  <c r="R82" i="5" a="1"/>
  <c r="R88" i="5" a="1"/>
  <c r="R11" i="5" a="1"/>
  <c r="R17" i="5" a="1"/>
  <c r="R23" i="5" a="1"/>
  <c r="R29" i="5" a="1"/>
  <c r="R35" i="5" a="1"/>
  <c r="R41" i="5" a="1"/>
  <c r="R47" i="5" a="1"/>
  <c r="R53" i="5" a="1"/>
  <c r="R59" i="5" a="1"/>
  <c r="R65" i="5" a="1"/>
  <c r="R71" i="5" a="1"/>
  <c r="R77" i="5" a="1"/>
  <c r="R83" i="5" a="1"/>
  <c r="R12" i="5" a="1"/>
  <c r="R18" i="5" a="1"/>
  <c r="R24" i="5" a="1"/>
  <c r="R30" i="5" a="1"/>
  <c r="R36" i="5" a="1"/>
  <c r="R42" i="5" a="1"/>
  <c r="R48" i="5" a="1"/>
  <c r="R54" i="5" a="1"/>
  <c r="R60" i="5" a="1"/>
  <c r="R66" i="5" a="1"/>
  <c r="R72" i="5" a="1"/>
  <c r="R78" i="5" a="1"/>
  <c r="R84" i="5" a="1"/>
  <c r="R13" i="5" a="1"/>
  <c r="R19" i="5" a="1"/>
  <c r="R25" i="5" a="1"/>
  <c r="R31" i="5" a="1"/>
  <c r="R37" i="5" a="1"/>
  <c r="R43" i="5" a="1"/>
  <c r="R49" i="5" a="1"/>
  <c r="R55" i="5" a="1"/>
  <c r="R61" i="5" a="1"/>
  <c r="R67" i="5" a="1"/>
  <c r="R73" i="5" a="1"/>
  <c r="R79" i="5" a="1"/>
  <c r="R85" i="5" a="1"/>
  <c r="R14" i="5" a="1"/>
  <c r="R20" i="5" a="1"/>
  <c r="R26" i="5" a="1"/>
  <c r="R32" i="5" a="1"/>
  <c r="R38" i="5" a="1"/>
  <c r="R44" i="5" a="1"/>
  <c r="R50" i="5" a="1"/>
  <c r="R56" i="5" a="1"/>
  <c r="R62" i="5" a="1"/>
  <c r="R68" i="5" a="1"/>
  <c r="R74" i="5" a="1"/>
  <c r="R80" i="5" a="1"/>
  <c r="R86" i="5" a="1"/>
  <c r="Q9" i="5" a="1"/>
  <c r="Q15" i="5" a="1"/>
  <c r="Q21" i="5" a="1"/>
  <c r="Q27" i="5" a="1"/>
  <c r="Q33" i="5" a="1"/>
  <c r="Q39" i="5" a="1"/>
  <c r="Q45" i="5" a="1"/>
  <c r="Q51" i="5" a="1"/>
  <c r="Q57" i="5" a="1"/>
  <c r="Q63" i="5" a="1"/>
  <c r="Q69" i="5" a="1"/>
  <c r="Q75" i="5" a="1"/>
  <c r="Q81" i="5" a="1"/>
  <c r="Q87" i="5" a="1"/>
  <c r="Q56" i="5" a="1"/>
  <c r="Q50" i="5" a="1"/>
  <c r="Q10" i="5" a="1"/>
  <c r="Q16" i="5" a="1"/>
  <c r="Q22" i="5" a="1"/>
  <c r="Q28" i="5" a="1"/>
  <c r="Q34" i="5" a="1"/>
  <c r="Q40" i="5" a="1"/>
  <c r="Q46" i="5" a="1"/>
  <c r="Q52" i="5" a="1"/>
  <c r="Q58" i="5" a="1"/>
  <c r="Q64" i="5" a="1"/>
  <c r="Q70" i="5" a="1"/>
  <c r="Q76" i="5" a="1"/>
  <c r="Q82" i="5" a="1"/>
  <c r="Q88" i="5" a="1"/>
  <c r="Q44" i="5" a="1"/>
  <c r="Q74" i="5" a="1"/>
  <c r="Q86" i="5" a="1"/>
  <c r="Q38" i="5" a="1"/>
  <c r="Q11" i="5" a="1"/>
  <c r="Q17" i="5" a="1"/>
  <c r="Q23" i="5" a="1"/>
  <c r="Q29" i="5" a="1"/>
  <c r="Q35" i="5" a="1"/>
  <c r="Q41" i="5" a="1"/>
  <c r="Q47" i="5" a="1"/>
  <c r="Q53" i="5" a="1"/>
  <c r="Q59" i="5" a="1"/>
  <c r="Q65" i="5" a="1"/>
  <c r="Q71" i="5" a="1"/>
  <c r="Q77" i="5" a="1"/>
  <c r="Q83" i="5" a="1"/>
  <c r="Q32" i="5" a="1"/>
  <c r="Q68" i="5" a="1"/>
  <c r="Q12" i="5" a="1"/>
  <c r="Q18" i="5" a="1"/>
  <c r="Q24" i="5" a="1"/>
  <c r="Q30" i="5" a="1"/>
  <c r="Q36" i="5" a="1"/>
  <c r="Q42" i="5" a="1"/>
  <c r="Q48" i="5" a="1"/>
  <c r="Q54" i="5" a="1"/>
  <c r="Q60" i="5" a="1"/>
  <c r="Q66" i="5" a="1"/>
  <c r="Q72" i="5" a="1"/>
  <c r="Q78" i="5" a="1"/>
  <c r="Q84" i="5" a="1"/>
  <c r="Q62" i="5" a="1"/>
  <c r="Q26" i="5" a="1"/>
  <c r="Q13" i="5" a="1"/>
  <c r="Q19" i="5" a="1"/>
  <c r="Q25" i="5" a="1"/>
  <c r="Q31" i="5" a="1"/>
  <c r="Q37" i="5" a="1"/>
  <c r="Q43" i="5" a="1"/>
  <c r="Q49" i="5" a="1"/>
  <c r="Q55" i="5" a="1"/>
  <c r="Q61" i="5" a="1"/>
  <c r="Q67" i="5" a="1"/>
  <c r="Q73" i="5" a="1"/>
  <c r="Q79" i="5" a="1"/>
  <c r="Q85" i="5" a="1"/>
  <c r="Q20" i="5" a="1"/>
  <c r="Q80" i="5" a="1"/>
  <c r="Q14" i="5" a="1"/>
  <c r="N86" i="15" l="1"/>
  <c r="N68" i="15"/>
  <c r="N56" i="15"/>
  <c r="N32" i="15"/>
  <c r="N85" i="15"/>
  <c r="N79" i="15"/>
  <c r="N73" i="15"/>
  <c r="N67" i="15"/>
  <c r="N61" i="15"/>
  <c r="N55" i="15"/>
  <c r="N49" i="15"/>
  <c r="N43" i="15"/>
  <c r="N37" i="15"/>
  <c r="N31" i="15"/>
  <c r="N25" i="15"/>
  <c r="N19" i="15"/>
  <c r="N13" i="15"/>
  <c r="N80" i="15"/>
  <c r="N14" i="15"/>
  <c r="N44" i="15"/>
  <c r="N84" i="15"/>
  <c r="N78" i="15"/>
  <c r="N72" i="15"/>
  <c r="N66" i="15"/>
  <c r="N60" i="15"/>
  <c r="N54" i="15"/>
  <c r="N48" i="15"/>
  <c r="N42" i="15"/>
  <c r="N36" i="15"/>
  <c r="N30" i="15"/>
  <c r="N24" i="15"/>
  <c r="N18" i="15"/>
  <c r="N12" i="15"/>
  <c r="N74" i="15"/>
  <c r="N26" i="15"/>
  <c r="N62" i="15"/>
  <c r="N20" i="15"/>
  <c r="N89" i="15"/>
  <c r="N83" i="15"/>
  <c r="N77" i="15"/>
  <c r="N71" i="15"/>
  <c r="N65" i="15"/>
  <c r="N59" i="15"/>
  <c r="N53" i="15"/>
  <c r="N47" i="15"/>
  <c r="N41" i="15"/>
  <c r="N35" i="15"/>
  <c r="N29" i="15"/>
  <c r="N23" i="15"/>
  <c r="N17" i="15"/>
  <c r="N11" i="15"/>
  <c r="N38" i="15"/>
  <c r="N88" i="15"/>
  <c r="N82" i="15"/>
  <c r="N76" i="15"/>
  <c r="N70" i="15"/>
  <c r="N64" i="15"/>
  <c r="N58" i="15"/>
  <c r="N52" i="15"/>
  <c r="N46" i="15"/>
  <c r="N40" i="15"/>
  <c r="N34" i="15"/>
  <c r="N28" i="15"/>
  <c r="N22" i="15"/>
  <c r="N16" i="15"/>
  <c r="N10" i="15"/>
  <c r="N50" i="15"/>
  <c r="N87" i="15"/>
  <c r="N81" i="15"/>
  <c r="N75" i="15"/>
  <c r="N69" i="15"/>
  <c r="N63" i="15"/>
  <c r="N57" i="15"/>
  <c r="N51" i="15"/>
  <c r="N45" i="15"/>
  <c r="N39" i="15"/>
  <c r="N33" i="15"/>
  <c r="N27" i="15"/>
  <c r="N21" i="15"/>
  <c r="N15" i="15"/>
  <c r="N9" i="15"/>
  <c r="M86" i="15"/>
  <c r="M80" i="15"/>
  <c r="M74" i="15"/>
  <c r="M68" i="15"/>
  <c r="M62" i="15"/>
  <c r="M56" i="15"/>
  <c r="M50" i="15"/>
  <c r="M44" i="15"/>
  <c r="M38" i="15"/>
  <c r="M32" i="15"/>
  <c r="M26" i="15"/>
  <c r="M20" i="15"/>
  <c r="M14" i="15"/>
  <c r="M85" i="15"/>
  <c r="M79" i="15"/>
  <c r="M73" i="15"/>
  <c r="M67" i="15"/>
  <c r="M61" i="15"/>
  <c r="M55" i="15"/>
  <c r="M49" i="15"/>
  <c r="M43" i="15"/>
  <c r="M37" i="15"/>
  <c r="M31" i="15"/>
  <c r="M25" i="15"/>
  <c r="M19" i="15"/>
  <c r="M13" i="15"/>
  <c r="M84" i="15"/>
  <c r="M78" i="15"/>
  <c r="M72" i="15"/>
  <c r="M66" i="15"/>
  <c r="M60" i="15"/>
  <c r="M54" i="15"/>
  <c r="M48" i="15"/>
  <c r="M42" i="15"/>
  <c r="M36" i="15"/>
  <c r="M30" i="15"/>
  <c r="M24" i="15"/>
  <c r="M18" i="15"/>
  <c r="M12" i="15"/>
  <c r="M89" i="15"/>
  <c r="M83" i="15"/>
  <c r="M77" i="15"/>
  <c r="M71" i="15"/>
  <c r="M65" i="15"/>
  <c r="M59" i="15"/>
  <c r="M53" i="15"/>
  <c r="M47" i="15"/>
  <c r="M41" i="15"/>
  <c r="M35" i="15"/>
  <c r="M29" i="15"/>
  <c r="M23" i="15"/>
  <c r="M17" i="15"/>
  <c r="M11" i="15"/>
  <c r="M88" i="15"/>
  <c r="M82" i="15"/>
  <c r="M76" i="15"/>
  <c r="M70" i="15"/>
  <c r="M64" i="15"/>
  <c r="M58" i="15"/>
  <c r="M52" i="15"/>
  <c r="M46" i="15"/>
  <c r="M40" i="15"/>
  <c r="M34" i="15"/>
  <c r="M28" i="15"/>
  <c r="M22" i="15"/>
  <c r="M16" i="15"/>
  <c r="M10" i="15"/>
  <c r="M87" i="15"/>
  <c r="M81" i="15"/>
  <c r="M75" i="15"/>
  <c r="M69" i="15"/>
  <c r="M63" i="15"/>
  <c r="M57" i="15"/>
  <c r="M51" i="15"/>
  <c r="M45" i="15"/>
  <c r="M39" i="15"/>
  <c r="M33" i="15"/>
  <c r="M27" i="15"/>
  <c r="M21" i="15"/>
  <c r="M15" i="15"/>
  <c r="M9" i="15"/>
  <c r="L44" i="15"/>
  <c r="L20" i="15"/>
  <c r="L14" i="15"/>
  <c r="L85" i="15"/>
  <c r="L79" i="15"/>
  <c r="L73" i="15"/>
  <c r="L67" i="15"/>
  <c r="L61" i="15"/>
  <c r="L55" i="15"/>
  <c r="L49" i="15"/>
  <c r="L43" i="15"/>
  <c r="L37" i="15"/>
  <c r="L31" i="15"/>
  <c r="L25" i="15"/>
  <c r="L19" i="15"/>
  <c r="L13" i="15"/>
  <c r="L26" i="15"/>
  <c r="L32" i="15"/>
  <c r="L84" i="15"/>
  <c r="L78" i="15"/>
  <c r="L72" i="15"/>
  <c r="L66" i="15"/>
  <c r="L60" i="15"/>
  <c r="L54" i="15"/>
  <c r="L48" i="15"/>
  <c r="L42" i="15"/>
  <c r="L36" i="15"/>
  <c r="L30" i="15"/>
  <c r="L24" i="15"/>
  <c r="L18" i="15"/>
  <c r="L12" i="15"/>
  <c r="L38" i="15"/>
  <c r="L80" i="15"/>
  <c r="L50" i="15"/>
  <c r="L89" i="15"/>
  <c r="L83" i="15"/>
  <c r="L77" i="15"/>
  <c r="L71" i="15"/>
  <c r="L65" i="15"/>
  <c r="L59" i="15"/>
  <c r="L53" i="15"/>
  <c r="L47" i="15"/>
  <c r="L41" i="15"/>
  <c r="L35" i="15"/>
  <c r="L29" i="15"/>
  <c r="L23" i="15"/>
  <c r="L17" i="15"/>
  <c r="L11" i="15"/>
  <c r="L74" i="15"/>
  <c r="L68" i="15"/>
  <c r="L88" i="15"/>
  <c r="L82" i="15"/>
  <c r="L76" i="15"/>
  <c r="L70" i="15"/>
  <c r="L64" i="15"/>
  <c r="L58" i="15"/>
  <c r="L52" i="15"/>
  <c r="L46" i="15"/>
  <c r="L40" i="15"/>
  <c r="L34" i="15"/>
  <c r="L28" i="15"/>
  <c r="L22" i="15"/>
  <c r="L16" i="15"/>
  <c r="L10" i="15"/>
  <c r="L62" i="15"/>
  <c r="L86" i="15"/>
  <c r="L56" i="15"/>
  <c r="L87" i="15"/>
  <c r="L81" i="15"/>
  <c r="L75" i="15"/>
  <c r="L69" i="15"/>
  <c r="L63" i="15"/>
  <c r="L57" i="15"/>
  <c r="L51" i="15"/>
  <c r="L45" i="15"/>
  <c r="L39" i="15"/>
  <c r="L33" i="15"/>
  <c r="L27" i="15"/>
  <c r="L21" i="15"/>
  <c r="L15" i="15"/>
  <c r="L9" i="15"/>
  <c r="K86" i="15"/>
  <c r="K80" i="15"/>
  <c r="K74" i="15"/>
  <c r="K68" i="15"/>
  <c r="K62" i="15"/>
  <c r="K56" i="15"/>
  <c r="K50" i="15"/>
  <c r="K44" i="15"/>
  <c r="K38" i="15"/>
  <c r="K32" i="15"/>
  <c r="K26" i="15"/>
  <c r="K20" i="15"/>
  <c r="K14" i="15"/>
  <c r="K85" i="15"/>
  <c r="K79" i="15"/>
  <c r="K73" i="15"/>
  <c r="K67" i="15"/>
  <c r="K61" i="15"/>
  <c r="K55" i="15"/>
  <c r="K49" i="15"/>
  <c r="K43" i="15"/>
  <c r="K37" i="15"/>
  <c r="K31" i="15"/>
  <c r="K25" i="15"/>
  <c r="K19" i="15"/>
  <c r="K13" i="15"/>
  <c r="K84" i="15"/>
  <c r="K78" i="15"/>
  <c r="K72" i="15"/>
  <c r="K66" i="15"/>
  <c r="K60" i="15"/>
  <c r="K54" i="15"/>
  <c r="K48" i="15"/>
  <c r="K42" i="15"/>
  <c r="K36" i="15"/>
  <c r="K30" i="15"/>
  <c r="K24" i="15"/>
  <c r="K18" i="15"/>
  <c r="K12" i="15"/>
  <c r="K89" i="15"/>
  <c r="K83" i="15"/>
  <c r="K77" i="15"/>
  <c r="K71" i="15"/>
  <c r="K65" i="15"/>
  <c r="K59" i="15"/>
  <c r="K53" i="15"/>
  <c r="K47" i="15"/>
  <c r="K41" i="15"/>
  <c r="K35" i="15"/>
  <c r="K29" i="15"/>
  <c r="K23" i="15"/>
  <c r="K17" i="15"/>
  <c r="K11" i="15"/>
  <c r="K88" i="15"/>
  <c r="K82" i="15"/>
  <c r="K76" i="15"/>
  <c r="K70" i="15"/>
  <c r="K64" i="15"/>
  <c r="K58" i="15"/>
  <c r="K52" i="15"/>
  <c r="K46" i="15"/>
  <c r="K40" i="15"/>
  <c r="K34" i="15"/>
  <c r="K28" i="15"/>
  <c r="K22" i="15"/>
  <c r="K16" i="15"/>
  <c r="K10" i="15"/>
  <c r="K87" i="15"/>
  <c r="K81" i="15"/>
  <c r="K75" i="15"/>
  <c r="K69" i="15"/>
  <c r="K63" i="15"/>
  <c r="K57" i="15"/>
  <c r="K51" i="15"/>
  <c r="K45" i="15"/>
  <c r="K39" i="15"/>
  <c r="K33" i="15"/>
  <c r="K27" i="15"/>
  <c r="K21" i="15"/>
  <c r="K15" i="15"/>
  <c r="K9" i="15"/>
  <c r="N74" i="7"/>
  <c r="N14" i="7"/>
  <c r="N44" i="7"/>
  <c r="N85" i="7"/>
  <c r="N79" i="7"/>
  <c r="N73" i="7"/>
  <c r="N67" i="7"/>
  <c r="N61" i="7"/>
  <c r="N55" i="7"/>
  <c r="N49" i="7"/>
  <c r="N43" i="7"/>
  <c r="N37" i="7"/>
  <c r="N31" i="7"/>
  <c r="N25" i="7"/>
  <c r="N19" i="7"/>
  <c r="N13" i="7"/>
  <c r="N38" i="7"/>
  <c r="N86" i="7"/>
  <c r="N50" i="7"/>
  <c r="N84" i="7"/>
  <c r="N78" i="7"/>
  <c r="N72" i="7"/>
  <c r="N66" i="7"/>
  <c r="N60" i="7"/>
  <c r="N54" i="7"/>
  <c r="N48" i="7"/>
  <c r="N42" i="7"/>
  <c r="N36" i="7"/>
  <c r="N30" i="7"/>
  <c r="N24" i="7"/>
  <c r="N18" i="7"/>
  <c r="N12" i="7"/>
  <c r="N20" i="7"/>
  <c r="N32" i="7"/>
  <c r="N83" i="7"/>
  <c r="N77" i="7"/>
  <c r="N71" i="7"/>
  <c r="N65" i="7"/>
  <c r="N59" i="7"/>
  <c r="N53" i="7"/>
  <c r="N47" i="7"/>
  <c r="N41" i="7"/>
  <c r="N35" i="7"/>
  <c r="N29" i="7"/>
  <c r="N23" i="7"/>
  <c r="N17" i="7"/>
  <c r="N11" i="7"/>
  <c r="N26" i="7"/>
  <c r="N56" i="7"/>
  <c r="N88" i="7"/>
  <c r="N82" i="7"/>
  <c r="N76" i="7"/>
  <c r="N70" i="7"/>
  <c r="N64" i="7"/>
  <c r="N58" i="7"/>
  <c r="N52" i="7"/>
  <c r="N46" i="7"/>
  <c r="N40" i="7"/>
  <c r="N34" i="7"/>
  <c r="N28" i="7"/>
  <c r="N22" i="7"/>
  <c r="N16" i="7"/>
  <c r="N10" i="7"/>
  <c r="N68" i="7"/>
  <c r="N80" i="7"/>
  <c r="N62" i="7"/>
  <c r="N87" i="7"/>
  <c r="N81" i="7"/>
  <c r="N75" i="7"/>
  <c r="N69" i="7"/>
  <c r="N63" i="7"/>
  <c r="N57" i="7"/>
  <c r="N51" i="7"/>
  <c r="N45" i="7"/>
  <c r="N39" i="7"/>
  <c r="N33" i="7"/>
  <c r="N27" i="7"/>
  <c r="N21" i="7"/>
  <c r="N15" i="7"/>
  <c r="N9" i="7"/>
  <c r="M32" i="7"/>
  <c r="M14" i="7"/>
  <c r="M85" i="7"/>
  <c r="M79" i="7"/>
  <c r="M73" i="7"/>
  <c r="M67" i="7"/>
  <c r="M61" i="7"/>
  <c r="M55" i="7"/>
  <c r="M49" i="7"/>
  <c r="M43" i="7"/>
  <c r="M37" i="7"/>
  <c r="M31" i="7"/>
  <c r="M25" i="7"/>
  <c r="M19" i="7"/>
  <c r="M13" i="7"/>
  <c r="M26" i="7"/>
  <c r="M20" i="7"/>
  <c r="M84" i="7"/>
  <c r="M78" i="7"/>
  <c r="M72" i="7"/>
  <c r="M66" i="7"/>
  <c r="M60" i="7"/>
  <c r="M54" i="7"/>
  <c r="M48" i="7"/>
  <c r="M42" i="7"/>
  <c r="M36" i="7"/>
  <c r="M30" i="7"/>
  <c r="M24" i="7"/>
  <c r="M18" i="7"/>
  <c r="M12" i="7"/>
  <c r="M86" i="7"/>
  <c r="M68" i="7"/>
  <c r="M56" i="7"/>
  <c r="M83" i="7"/>
  <c r="M77" i="7"/>
  <c r="M71" i="7"/>
  <c r="M65" i="7"/>
  <c r="M59" i="7"/>
  <c r="M53" i="7"/>
  <c r="M47" i="7"/>
  <c r="M41" i="7"/>
  <c r="M35" i="7"/>
  <c r="M29" i="7"/>
  <c r="M23" i="7"/>
  <c r="M17" i="7"/>
  <c r="M11" i="7"/>
  <c r="M44" i="7"/>
  <c r="M38" i="7"/>
  <c r="M88" i="7"/>
  <c r="M82" i="7"/>
  <c r="M76" i="7"/>
  <c r="M70" i="7"/>
  <c r="M64" i="7"/>
  <c r="M58" i="7"/>
  <c r="M52" i="7"/>
  <c r="M46" i="7"/>
  <c r="M40" i="7"/>
  <c r="M34" i="7"/>
  <c r="M28" i="7"/>
  <c r="M22" i="7"/>
  <c r="M16" i="7"/>
  <c r="M10" i="7"/>
  <c r="M50" i="7"/>
  <c r="M80" i="7"/>
  <c r="M74" i="7"/>
  <c r="M62" i="7"/>
  <c r="M87" i="7"/>
  <c r="M81" i="7"/>
  <c r="M75" i="7"/>
  <c r="M69" i="7"/>
  <c r="M63" i="7"/>
  <c r="M57" i="7"/>
  <c r="M51" i="7"/>
  <c r="M45" i="7"/>
  <c r="M39" i="7"/>
  <c r="M33" i="7"/>
  <c r="M27" i="7"/>
  <c r="M21" i="7"/>
  <c r="M15" i="7"/>
  <c r="M9" i="7"/>
  <c r="L14" i="7"/>
  <c r="L20" i="7"/>
  <c r="L85" i="7"/>
  <c r="L79" i="7"/>
  <c r="L73" i="7"/>
  <c r="L67" i="7"/>
  <c r="L61" i="7"/>
  <c r="L55" i="7"/>
  <c r="L49" i="7"/>
  <c r="L43" i="7"/>
  <c r="L37" i="7"/>
  <c r="L31" i="7"/>
  <c r="L25" i="7"/>
  <c r="L19" i="7"/>
  <c r="L13" i="7"/>
  <c r="L86" i="7"/>
  <c r="L26" i="7"/>
  <c r="L74" i="7"/>
  <c r="L38" i="7"/>
  <c r="L84" i="7"/>
  <c r="L78" i="7"/>
  <c r="L72" i="7"/>
  <c r="L66" i="7"/>
  <c r="L60" i="7"/>
  <c r="L54" i="7"/>
  <c r="L48" i="7"/>
  <c r="L42" i="7"/>
  <c r="L36" i="7"/>
  <c r="L30" i="7"/>
  <c r="L24" i="7"/>
  <c r="L18" i="7"/>
  <c r="L12" i="7"/>
  <c r="L32" i="7"/>
  <c r="L44" i="7"/>
  <c r="L83" i="7"/>
  <c r="L77" i="7"/>
  <c r="L71" i="7"/>
  <c r="L65" i="7"/>
  <c r="L59" i="7"/>
  <c r="L53" i="7"/>
  <c r="L47" i="7"/>
  <c r="L41" i="7"/>
  <c r="L35" i="7"/>
  <c r="L29" i="7"/>
  <c r="L23" i="7"/>
  <c r="L17" i="7"/>
  <c r="L11" i="7"/>
  <c r="L50" i="7"/>
  <c r="L68" i="7"/>
  <c r="L88" i="7"/>
  <c r="L82" i="7"/>
  <c r="L76" i="7"/>
  <c r="L70" i="7"/>
  <c r="L64" i="7"/>
  <c r="L58" i="7"/>
  <c r="L52" i="7"/>
  <c r="L46" i="7"/>
  <c r="L40" i="7"/>
  <c r="L34" i="7"/>
  <c r="L28" i="7"/>
  <c r="L22" i="7"/>
  <c r="L16" i="7"/>
  <c r="L10" i="7"/>
  <c r="L62" i="7"/>
  <c r="L80" i="7"/>
  <c r="L56" i="7"/>
  <c r="L87" i="7"/>
  <c r="L81" i="7"/>
  <c r="L75" i="7"/>
  <c r="L69" i="7"/>
  <c r="L63" i="7"/>
  <c r="L57" i="7"/>
  <c r="L51" i="7"/>
  <c r="L45" i="7"/>
  <c r="L39" i="7"/>
  <c r="L33" i="7"/>
  <c r="L27" i="7"/>
  <c r="L21" i="7"/>
  <c r="L15" i="7"/>
  <c r="L9" i="7"/>
  <c r="K80" i="7"/>
  <c r="K68" i="7"/>
  <c r="K20" i="7"/>
  <c r="K85" i="7"/>
  <c r="K79" i="7"/>
  <c r="K73" i="7"/>
  <c r="K67" i="7"/>
  <c r="K61" i="7"/>
  <c r="K55" i="7"/>
  <c r="K49" i="7"/>
  <c r="K43" i="7"/>
  <c r="K37" i="7"/>
  <c r="K31" i="7"/>
  <c r="K25" i="7"/>
  <c r="K19" i="7"/>
  <c r="K13" i="7"/>
  <c r="K38" i="7"/>
  <c r="K62" i="7"/>
  <c r="K84" i="7"/>
  <c r="K78" i="7"/>
  <c r="K72" i="7"/>
  <c r="K66" i="7"/>
  <c r="K60" i="7"/>
  <c r="K54" i="7"/>
  <c r="K48" i="7"/>
  <c r="K42" i="7"/>
  <c r="K36" i="7"/>
  <c r="K30" i="7"/>
  <c r="K24" i="7"/>
  <c r="K18" i="7"/>
  <c r="K12" i="7"/>
  <c r="K50" i="7"/>
  <c r="K56" i="7"/>
  <c r="K83" i="7"/>
  <c r="K77" i="7"/>
  <c r="K71" i="7"/>
  <c r="K65" i="7"/>
  <c r="K59" i="7"/>
  <c r="K53" i="7"/>
  <c r="K47" i="7"/>
  <c r="K41" i="7"/>
  <c r="K35" i="7"/>
  <c r="K29" i="7"/>
  <c r="K23" i="7"/>
  <c r="K17" i="7"/>
  <c r="K11" i="7"/>
  <c r="K32" i="7"/>
  <c r="K86" i="7"/>
  <c r="K74" i="7"/>
  <c r="K14" i="7"/>
  <c r="K88" i="7"/>
  <c r="K82" i="7"/>
  <c r="K76" i="7"/>
  <c r="K70" i="7"/>
  <c r="K64" i="7"/>
  <c r="K58" i="7"/>
  <c r="K52" i="7"/>
  <c r="K46" i="7"/>
  <c r="K40" i="7"/>
  <c r="K34" i="7"/>
  <c r="K28" i="7"/>
  <c r="K22" i="7"/>
  <c r="K16" i="7"/>
  <c r="K10" i="7"/>
  <c r="K44" i="7"/>
  <c r="K26" i="7"/>
  <c r="K87" i="7"/>
  <c r="K81" i="7"/>
  <c r="K75" i="7"/>
  <c r="K69" i="7"/>
  <c r="K63" i="7"/>
  <c r="K57" i="7"/>
  <c r="K51" i="7"/>
  <c r="K45" i="7"/>
  <c r="K39" i="7"/>
  <c r="K33" i="7"/>
  <c r="K27" i="7"/>
  <c r="K21" i="7"/>
  <c r="K15" i="7"/>
  <c r="K9" i="7"/>
  <c r="S86" i="14"/>
  <c r="S80" i="14"/>
  <c r="S74" i="14"/>
  <c r="S68" i="14"/>
  <c r="S62" i="14"/>
  <c r="S56" i="14"/>
  <c r="S50" i="14"/>
  <c r="S44" i="14"/>
  <c r="S38" i="14"/>
  <c r="S32" i="14"/>
  <c r="S26" i="14"/>
  <c r="S20" i="14"/>
  <c r="S14" i="14"/>
  <c r="S85" i="14"/>
  <c r="S79" i="14"/>
  <c r="S73" i="14"/>
  <c r="S67" i="14"/>
  <c r="S61" i="14"/>
  <c r="S55" i="14"/>
  <c r="S49" i="14"/>
  <c r="S43" i="14"/>
  <c r="S37" i="14"/>
  <c r="S31" i="14"/>
  <c r="S25" i="14"/>
  <c r="S19" i="14"/>
  <c r="S13" i="14"/>
  <c r="S84" i="14"/>
  <c r="S78" i="14"/>
  <c r="S72" i="14"/>
  <c r="S66" i="14"/>
  <c r="S60" i="14"/>
  <c r="S54" i="14"/>
  <c r="S48" i="14"/>
  <c r="S42" i="14"/>
  <c r="S36" i="14"/>
  <c r="S30" i="14"/>
  <c r="S24" i="14"/>
  <c r="S18" i="14"/>
  <c r="S12" i="14"/>
  <c r="S83" i="14"/>
  <c r="S77" i="14"/>
  <c r="S71" i="14"/>
  <c r="S65" i="14"/>
  <c r="S59" i="14"/>
  <c r="S53" i="14"/>
  <c r="S47" i="14"/>
  <c r="S41" i="14"/>
  <c r="S35" i="14"/>
  <c r="S29" i="14"/>
  <c r="S23" i="14"/>
  <c r="S17" i="14"/>
  <c r="S11" i="14"/>
  <c r="S88" i="14"/>
  <c r="S82" i="14"/>
  <c r="S76" i="14"/>
  <c r="S70" i="14"/>
  <c r="S64" i="14"/>
  <c r="S58" i="14"/>
  <c r="S52" i="14"/>
  <c r="S46" i="14"/>
  <c r="S40" i="14"/>
  <c r="S34" i="14"/>
  <c r="S28" i="14"/>
  <c r="S22" i="14"/>
  <c r="S16" i="14"/>
  <c r="S10" i="14"/>
  <c r="S87" i="14"/>
  <c r="S81" i="14"/>
  <c r="S75" i="14"/>
  <c r="S69" i="14"/>
  <c r="S63" i="14"/>
  <c r="S57" i="14"/>
  <c r="S51" i="14"/>
  <c r="S45" i="14"/>
  <c r="S39" i="14"/>
  <c r="S33" i="14"/>
  <c r="S27" i="14"/>
  <c r="S21" i="14"/>
  <c r="S15" i="14"/>
  <c r="S9" i="14"/>
  <c r="R86" i="14"/>
  <c r="R80" i="14"/>
  <c r="R74" i="14"/>
  <c r="R68" i="14"/>
  <c r="R62" i="14"/>
  <c r="R56" i="14"/>
  <c r="R50" i="14"/>
  <c r="R44" i="14"/>
  <c r="R38" i="14"/>
  <c r="R32" i="14"/>
  <c r="R26" i="14"/>
  <c r="R20" i="14"/>
  <c r="R14" i="14"/>
  <c r="R85" i="14"/>
  <c r="R79" i="14"/>
  <c r="R73" i="14"/>
  <c r="R67" i="14"/>
  <c r="R61" i="14"/>
  <c r="R55" i="14"/>
  <c r="R49" i="14"/>
  <c r="R43" i="14"/>
  <c r="R37" i="14"/>
  <c r="R31" i="14"/>
  <c r="R25" i="14"/>
  <c r="R19" i="14"/>
  <c r="R13" i="14"/>
  <c r="R84" i="14"/>
  <c r="R78" i="14"/>
  <c r="R72" i="14"/>
  <c r="R66" i="14"/>
  <c r="R60" i="14"/>
  <c r="R54" i="14"/>
  <c r="R48" i="14"/>
  <c r="R42" i="14"/>
  <c r="R36" i="14"/>
  <c r="R30" i="14"/>
  <c r="R24" i="14"/>
  <c r="R18" i="14"/>
  <c r="R12" i="14"/>
  <c r="R83" i="14"/>
  <c r="R77" i="14"/>
  <c r="R71" i="14"/>
  <c r="R65" i="14"/>
  <c r="R59" i="14"/>
  <c r="R53" i="14"/>
  <c r="R47" i="14"/>
  <c r="R41" i="14"/>
  <c r="R35" i="14"/>
  <c r="R29" i="14"/>
  <c r="R23" i="14"/>
  <c r="R17" i="14"/>
  <c r="R11" i="14"/>
  <c r="R88" i="14"/>
  <c r="R82" i="14"/>
  <c r="R76" i="14"/>
  <c r="R70" i="14"/>
  <c r="R64" i="14"/>
  <c r="R58" i="14"/>
  <c r="R52" i="14"/>
  <c r="R46" i="14"/>
  <c r="R40" i="14"/>
  <c r="R34" i="14"/>
  <c r="R28" i="14"/>
  <c r="R22" i="14"/>
  <c r="R16" i="14"/>
  <c r="R10" i="14"/>
  <c r="R87" i="14"/>
  <c r="R81" i="14"/>
  <c r="R75" i="14"/>
  <c r="R69" i="14"/>
  <c r="R63" i="14"/>
  <c r="R57" i="14"/>
  <c r="R51" i="14"/>
  <c r="R45" i="14"/>
  <c r="R39" i="14"/>
  <c r="R33" i="14"/>
  <c r="R27" i="14"/>
  <c r="R21" i="14"/>
  <c r="R15" i="14"/>
  <c r="R9" i="14"/>
  <c r="Q86" i="14"/>
  <c r="Q80" i="14"/>
  <c r="Q74" i="14"/>
  <c r="Q68" i="14"/>
  <c r="Q62" i="14"/>
  <c r="Q56" i="14"/>
  <c r="Q50" i="14"/>
  <c r="Q44" i="14"/>
  <c r="Q38" i="14"/>
  <c r="Q32" i="14"/>
  <c r="Q26" i="14"/>
  <c r="Q20" i="14"/>
  <c r="Q14" i="14"/>
  <c r="Q85" i="14"/>
  <c r="Q79" i="14"/>
  <c r="Q73" i="14"/>
  <c r="Q67" i="14"/>
  <c r="Q61" i="14"/>
  <c r="Q55" i="14"/>
  <c r="Q49" i="14"/>
  <c r="Q43" i="14"/>
  <c r="Q37" i="14"/>
  <c r="Q31" i="14"/>
  <c r="Q25" i="14"/>
  <c r="Q19" i="14"/>
  <c r="Q13" i="14"/>
  <c r="Q84" i="14"/>
  <c r="Q78" i="14"/>
  <c r="Q72" i="14"/>
  <c r="Q66" i="14"/>
  <c r="Q60" i="14"/>
  <c r="Q54" i="14"/>
  <c r="Q48" i="14"/>
  <c r="Q42" i="14"/>
  <c r="Q36" i="14"/>
  <c r="Q30" i="14"/>
  <c r="Q24" i="14"/>
  <c r="Q18" i="14"/>
  <c r="Q12" i="14"/>
  <c r="Q83" i="14"/>
  <c r="Q77" i="14"/>
  <c r="Q71" i="14"/>
  <c r="Q65" i="14"/>
  <c r="Q59" i="14"/>
  <c r="Q53" i="14"/>
  <c r="Q47" i="14"/>
  <c r="Q41" i="14"/>
  <c r="Q35" i="14"/>
  <c r="Q29" i="14"/>
  <c r="Q23" i="14"/>
  <c r="Q17" i="14"/>
  <c r="Q11" i="14"/>
  <c r="Q88" i="14"/>
  <c r="Q82" i="14"/>
  <c r="Q76" i="14"/>
  <c r="Q70" i="14"/>
  <c r="Q64" i="14"/>
  <c r="Q58" i="14"/>
  <c r="Q52" i="14"/>
  <c r="Q46" i="14"/>
  <c r="Q40" i="14"/>
  <c r="Q34" i="14"/>
  <c r="Q28" i="14"/>
  <c r="Q22" i="14"/>
  <c r="Q16" i="14"/>
  <c r="Q10" i="14"/>
  <c r="Q87" i="14"/>
  <c r="Q81" i="14"/>
  <c r="Q75" i="14"/>
  <c r="Q69" i="14"/>
  <c r="Q63" i="14"/>
  <c r="Q57" i="14"/>
  <c r="Q51" i="14"/>
  <c r="Q45" i="14"/>
  <c r="Q39" i="14"/>
  <c r="Q33" i="14"/>
  <c r="Q27" i="14"/>
  <c r="Q21" i="14"/>
  <c r="Q15" i="14"/>
  <c r="Q9" i="14"/>
  <c r="S38" i="5"/>
  <c r="S80" i="5"/>
  <c r="S26" i="5"/>
  <c r="S85" i="5"/>
  <c r="S79" i="5"/>
  <c r="S73" i="5"/>
  <c r="S67" i="5"/>
  <c r="S61" i="5"/>
  <c r="S55" i="5"/>
  <c r="S49" i="5"/>
  <c r="S43" i="5"/>
  <c r="S37" i="5"/>
  <c r="S31" i="5"/>
  <c r="S25" i="5"/>
  <c r="S19" i="5"/>
  <c r="S13" i="5"/>
  <c r="S68" i="5"/>
  <c r="S50" i="5"/>
  <c r="S84" i="5"/>
  <c r="S78" i="5"/>
  <c r="S72" i="5"/>
  <c r="S66" i="5"/>
  <c r="S60" i="5"/>
  <c r="S54" i="5"/>
  <c r="S48" i="5"/>
  <c r="S42" i="5"/>
  <c r="S36" i="5"/>
  <c r="S30" i="5"/>
  <c r="S24" i="5"/>
  <c r="S18" i="5"/>
  <c r="S12" i="5"/>
  <c r="S14" i="5"/>
  <c r="S56" i="5"/>
  <c r="S83" i="5"/>
  <c r="S77" i="5"/>
  <c r="S71" i="5"/>
  <c r="S65" i="5"/>
  <c r="S59" i="5"/>
  <c r="S53" i="5"/>
  <c r="S47" i="5"/>
  <c r="S41" i="5"/>
  <c r="S35" i="5"/>
  <c r="S29" i="5"/>
  <c r="S23" i="5"/>
  <c r="S17" i="5"/>
  <c r="S11" i="5"/>
  <c r="S32" i="5"/>
  <c r="S86" i="5"/>
  <c r="S74" i="5"/>
  <c r="S20" i="5"/>
  <c r="S88" i="5"/>
  <c r="S82" i="5"/>
  <c r="S76" i="5"/>
  <c r="S70" i="5"/>
  <c r="S64" i="5"/>
  <c r="S58" i="5"/>
  <c r="S52" i="5"/>
  <c r="S46" i="5"/>
  <c r="S40" i="5"/>
  <c r="S34" i="5"/>
  <c r="S28" i="5"/>
  <c r="S22" i="5"/>
  <c r="S16" i="5"/>
  <c r="S10" i="5"/>
  <c r="S62" i="5"/>
  <c r="S44" i="5"/>
  <c r="S87" i="5"/>
  <c r="S81" i="5"/>
  <c r="S75" i="5"/>
  <c r="S69" i="5"/>
  <c r="S63" i="5"/>
  <c r="S57" i="5"/>
  <c r="S51" i="5"/>
  <c r="S45" i="5"/>
  <c r="S39" i="5"/>
  <c r="S33" i="5"/>
  <c r="S27" i="5"/>
  <c r="S21" i="5"/>
  <c r="S15" i="5"/>
  <c r="S9" i="5"/>
  <c r="R86" i="5"/>
  <c r="R80" i="5"/>
  <c r="R74" i="5"/>
  <c r="R68" i="5"/>
  <c r="R62" i="5"/>
  <c r="R56" i="5"/>
  <c r="R50" i="5"/>
  <c r="R44" i="5"/>
  <c r="R38" i="5"/>
  <c r="R32" i="5"/>
  <c r="R26" i="5"/>
  <c r="R20" i="5"/>
  <c r="R14" i="5"/>
  <c r="R85" i="5"/>
  <c r="R79" i="5"/>
  <c r="R73" i="5"/>
  <c r="R67" i="5"/>
  <c r="R61" i="5"/>
  <c r="R55" i="5"/>
  <c r="R49" i="5"/>
  <c r="R43" i="5"/>
  <c r="R37" i="5"/>
  <c r="R31" i="5"/>
  <c r="R25" i="5"/>
  <c r="R19" i="5"/>
  <c r="R13" i="5"/>
  <c r="R84" i="5"/>
  <c r="R78" i="5"/>
  <c r="R72" i="5"/>
  <c r="R66" i="5"/>
  <c r="R60" i="5"/>
  <c r="R54" i="5"/>
  <c r="R48" i="5"/>
  <c r="R42" i="5"/>
  <c r="R36" i="5"/>
  <c r="R30" i="5"/>
  <c r="R24" i="5"/>
  <c r="R18" i="5"/>
  <c r="R12" i="5"/>
  <c r="R83" i="5"/>
  <c r="R77" i="5"/>
  <c r="R71" i="5"/>
  <c r="R65" i="5"/>
  <c r="R59" i="5"/>
  <c r="R53" i="5"/>
  <c r="R47" i="5"/>
  <c r="R41" i="5"/>
  <c r="R35" i="5"/>
  <c r="R29" i="5"/>
  <c r="R23" i="5"/>
  <c r="R17" i="5"/>
  <c r="R11" i="5"/>
  <c r="R88" i="5"/>
  <c r="R82" i="5"/>
  <c r="R76" i="5"/>
  <c r="R70" i="5"/>
  <c r="R64" i="5"/>
  <c r="R58" i="5"/>
  <c r="R52" i="5"/>
  <c r="R46" i="5"/>
  <c r="R40" i="5"/>
  <c r="R34" i="5"/>
  <c r="R28" i="5"/>
  <c r="R22" i="5"/>
  <c r="R16" i="5"/>
  <c r="R10" i="5"/>
  <c r="R87" i="5"/>
  <c r="R81" i="5"/>
  <c r="R75" i="5"/>
  <c r="R69" i="5"/>
  <c r="R63" i="5"/>
  <c r="R57" i="5"/>
  <c r="R51" i="5"/>
  <c r="R45" i="5"/>
  <c r="R39" i="5"/>
  <c r="R33" i="5"/>
  <c r="R27" i="5"/>
  <c r="R21" i="5"/>
  <c r="R15" i="5"/>
  <c r="R9" i="5"/>
  <c r="Q14" i="5"/>
  <c r="Q80" i="5"/>
  <c r="Q20" i="5"/>
  <c r="Q85" i="5"/>
  <c r="Q79" i="5"/>
  <c r="Q73" i="5"/>
  <c r="Q67" i="5"/>
  <c r="Q61" i="5"/>
  <c r="Q55" i="5"/>
  <c r="Q49" i="5"/>
  <c r="Q43" i="5"/>
  <c r="Q37" i="5"/>
  <c r="Q31" i="5"/>
  <c r="Q25" i="5"/>
  <c r="Q19" i="5"/>
  <c r="Q13" i="5"/>
  <c r="Q26" i="5"/>
  <c r="Q62" i="5"/>
  <c r="Q84" i="5"/>
  <c r="Q78" i="5"/>
  <c r="Q72" i="5"/>
  <c r="Q66" i="5"/>
  <c r="Q60" i="5"/>
  <c r="Q54" i="5"/>
  <c r="Q48" i="5"/>
  <c r="Q42" i="5"/>
  <c r="Q36" i="5"/>
  <c r="Q30" i="5"/>
  <c r="Q24" i="5"/>
  <c r="Q18" i="5"/>
  <c r="Q12" i="5"/>
  <c r="Q68" i="5"/>
  <c r="Q32" i="5"/>
  <c r="Q83" i="5"/>
  <c r="Q77" i="5"/>
  <c r="Q71" i="5"/>
  <c r="Q65" i="5"/>
  <c r="Q59" i="5"/>
  <c r="Q53" i="5"/>
  <c r="Q47" i="5"/>
  <c r="Q41" i="5"/>
  <c r="Q35" i="5"/>
  <c r="Q29" i="5"/>
  <c r="Q23" i="5"/>
  <c r="Q17" i="5"/>
  <c r="Q11" i="5"/>
  <c r="Q38" i="5"/>
  <c r="Q86" i="5"/>
  <c r="Q74" i="5"/>
  <c r="Q44" i="5"/>
  <c r="Q88" i="5"/>
  <c r="Q82" i="5"/>
  <c r="Q76" i="5"/>
  <c r="Q70" i="5"/>
  <c r="Q64" i="5"/>
  <c r="Q58" i="5"/>
  <c r="Q52" i="5"/>
  <c r="Q46" i="5"/>
  <c r="Q40" i="5"/>
  <c r="Q34" i="5"/>
  <c r="Q28" i="5"/>
  <c r="Q22" i="5"/>
  <c r="Q16" i="5"/>
  <c r="Q10" i="5"/>
  <c r="Q50" i="5"/>
  <c r="Q56" i="5"/>
  <c r="Q87" i="5"/>
  <c r="Q81" i="5"/>
  <c r="Q75" i="5"/>
  <c r="Q69" i="5"/>
  <c r="Q63" i="5"/>
  <c r="Q57" i="5"/>
  <c r="Q51" i="5"/>
  <c r="Q45" i="5"/>
  <c r="Q39" i="5"/>
  <c r="Q33" i="5"/>
  <c r="Q27" i="5"/>
  <c r="Q21" i="5"/>
  <c r="Q15" i="5"/>
  <c r="Q9" i="5"/>
  <c r="D78" i="14" l="1"/>
  <c r="E78" i="14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G3" i="15"/>
  <c r="F3" i="15"/>
  <c r="F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I8" i="14"/>
  <c r="I13" i="14"/>
  <c r="I18" i="14"/>
  <c r="I23" i="14"/>
  <c r="I28" i="14"/>
  <c r="I33" i="14"/>
  <c r="I38" i="14"/>
  <c r="I43" i="14"/>
  <c r="I48" i="14"/>
  <c r="I53" i="14"/>
  <c r="I54" i="14"/>
  <c r="I58" i="14"/>
  <c r="I59" i="14"/>
  <c r="I63" i="14"/>
  <c r="I68" i="14"/>
  <c r="I73" i="14"/>
  <c r="I78" i="14"/>
  <c r="I81" i="14"/>
  <c r="I82" i="14"/>
  <c r="I83" i="14"/>
  <c r="I84" i="14"/>
  <c r="I85" i="14"/>
  <c r="I86" i="14"/>
  <c r="I87" i="14"/>
  <c r="I88" i="14"/>
  <c r="I3" i="14"/>
  <c r="H8" i="14"/>
  <c r="H13" i="14"/>
  <c r="H18" i="14"/>
  <c r="H23" i="14"/>
  <c r="H28" i="14"/>
  <c r="H33" i="14"/>
  <c r="H38" i="14"/>
  <c r="H43" i="14"/>
  <c r="H48" i="14"/>
  <c r="H53" i="14"/>
  <c r="H54" i="14"/>
  <c r="H58" i="14"/>
  <c r="H59" i="14"/>
  <c r="H63" i="14"/>
  <c r="H68" i="14"/>
  <c r="H73" i="14"/>
  <c r="H78" i="14"/>
  <c r="H81" i="14"/>
  <c r="H82" i="14"/>
  <c r="H83" i="14"/>
  <c r="H84" i="14"/>
  <c r="H85" i="14"/>
  <c r="H86" i="14"/>
  <c r="H87" i="14"/>
  <c r="H88" i="14"/>
  <c r="H3" i="14"/>
  <c r="I8" i="5"/>
  <c r="I13" i="5"/>
  <c r="I18" i="5"/>
  <c r="I23" i="5"/>
  <c r="I28" i="5"/>
  <c r="I33" i="5"/>
  <c r="I38" i="5"/>
  <c r="I43" i="5"/>
  <c r="I48" i="5"/>
  <c r="I53" i="5"/>
  <c r="I54" i="5"/>
  <c r="I58" i="5"/>
  <c r="I59" i="5"/>
  <c r="I63" i="5"/>
  <c r="I68" i="5"/>
  <c r="I73" i="5"/>
  <c r="I78" i="5"/>
  <c r="I81" i="5"/>
  <c r="I82" i="5"/>
  <c r="I83" i="5"/>
  <c r="I84" i="5"/>
  <c r="I85" i="5"/>
  <c r="I86" i="5"/>
  <c r="I87" i="5"/>
  <c r="I88" i="5"/>
  <c r="I3" i="5"/>
  <c r="H8" i="5"/>
  <c r="H13" i="5"/>
  <c r="H18" i="5"/>
  <c r="H23" i="5"/>
  <c r="H28" i="5"/>
  <c r="H33" i="5"/>
  <c r="H38" i="5"/>
  <c r="H43" i="5"/>
  <c r="H48" i="5"/>
  <c r="H53" i="5"/>
  <c r="H54" i="5"/>
  <c r="H58" i="5"/>
  <c r="H59" i="5"/>
  <c r="H63" i="5"/>
  <c r="H68" i="5"/>
  <c r="H73" i="5"/>
  <c r="H78" i="5"/>
  <c r="H81" i="5"/>
  <c r="H82" i="5"/>
  <c r="H83" i="5"/>
  <c r="H84" i="5"/>
  <c r="H85" i="5"/>
  <c r="H86" i="5"/>
  <c r="H87" i="5"/>
  <c r="H88" i="5"/>
  <c r="H3" i="5"/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E3" i="15"/>
  <c r="D3" i="15"/>
  <c r="D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B3" i="7"/>
  <c r="D3" i="14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J16" i="14"/>
  <c r="J40" i="14"/>
  <c r="J52" i="14"/>
  <c r="J64" i="14"/>
  <c r="J76" i="14"/>
  <c r="O20" i="5"/>
  <c r="O32" i="5"/>
  <c r="O44" i="5"/>
  <c r="O56" i="5"/>
  <c r="O80" i="5"/>
  <c r="N12" i="5"/>
  <c r="N24" i="5"/>
  <c r="N36" i="5"/>
  <c r="N72" i="5"/>
  <c r="K40" i="5"/>
  <c r="K52" i="5"/>
  <c r="K64" i="5"/>
  <c r="K76" i="5"/>
  <c r="J25" i="5"/>
  <c r="J37" i="5"/>
  <c r="J49" i="5"/>
  <c r="G71" i="14"/>
  <c r="E8" i="14"/>
  <c r="E13" i="14"/>
  <c r="E18" i="14"/>
  <c r="E23" i="14"/>
  <c r="E28" i="14"/>
  <c r="E33" i="14"/>
  <c r="E38" i="14"/>
  <c r="F39" i="14"/>
  <c r="E43" i="14"/>
  <c r="E48" i="14"/>
  <c r="E53" i="14"/>
  <c r="E54" i="14"/>
  <c r="E58" i="14"/>
  <c r="E59" i="14"/>
  <c r="E63" i="14"/>
  <c r="E68" i="14"/>
  <c r="E73" i="14"/>
  <c r="E81" i="14"/>
  <c r="E82" i="14"/>
  <c r="E83" i="14"/>
  <c r="E84" i="14"/>
  <c r="E85" i="14"/>
  <c r="E86" i="14"/>
  <c r="E87" i="14"/>
  <c r="E88" i="14"/>
  <c r="E3" i="14"/>
  <c r="D8" i="14"/>
  <c r="G11" i="14"/>
  <c r="D13" i="14"/>
  <c r="D18" i="14"/>
  <c r="D23" i="14"/>
  <c r="D28" i="14"/>
  <c r="D33" i="14"/>
  <c r="G35" i="14"/>
  <c r="D38" i="14"/>
  <c r="D43" i="14"/>
  <c r="G47" i="14"/>
  <c r="D48" i="14"/>
  <c r="D53" i="14"/>
  <c r="D54" i="14"/>
  <c r="D58" i="14"/>
  <c r="D59" i="14"/>
  <c r="D63" i="14"/>
  <c r="D68" i="14"/>
  <c r="D73" i="14"/>
  <c r="D81" i="14"/>
  <c r="D82" i="14"/>
  <c r="D83" i="14"/>
  <c r="D84" i="14"/>
  <c r="D85" i="14"/>
  <c r="D86" i="14"/>
  <c r="D87" i="14"/>
  <c r="D88" i="14"/>
  <c r="D3" i="5"/>
  <c r="F11" i="14"/>
  <c r="C13" i="14"/>
  <c r="C18" i="14"/>
  <c r="C23" i="14"/>
  <c r="C28" i="14"/>
  <c r="C33" i="14"/>
  <c r="F35" i="14"/>
  <c r="C38" i="14"/>
  <c r="C43" i="14"/>
  <c r="F47" i="14"/>
  <c r="C48" i="14"/>
  <c r="C53" i="14"/>
  <c r="C54" i="14"/>
  <c r="C58" i="14"/>
  <c r="C59" i="14"/>
  <c r="C63" i="14"/>
  <c r="C68" i="14"/>
  <c r="F71" i="14"/>
  <c r="C73" i="14"/>
  <c r="C78" i="14"/>
  <c r="C81" i="14"/>
  <c r="C82" i="14"/>
  <c r="C83" i="14"/>
  <c r="C84" i="14"/>
  <c r="C85" i="14"/>
  <c r="C86" i="14"/>
  <c r="C87" i="14"/>
  <c r="C88" i="14"/>
  <c r="K9" i="14"/>
  <c r="K11" i="14"/>
  <c r="B13" i="14"/>
  <c r="O14" i="14"/>
  <c r="O15" i="14"/>
  <c r="O16" i="14"/>
  <c r="N17" i="14"/>
  <c r="B18" i="14"/>
  <c r="G20" i="14"/>
  <c r="K21" i="14"/>
  <c r="B23" i="14"/>
  <c r="O25" i="14"/>
  <c r="O26" i="14"/>
  <c r="O27" i="14"/>
  <c r="B28" i="14"/>
  <c r="O28" i="14" s="1"/>
  <c r="N29" i="14"/>
  <c r="N30" i="14"/>
  <c r="G32" i="14"/>
  <c r="B33" i="14"/>
  <c r="K33" i="14" s="1"/>
  <c r="K35" i="14"/>
  <c r="O37" i="14"/>
  <c r="B38" i="14"/>
  <c r="O39" i="14"/>
  <c r="O40" i="14"/>
  <c r="N41" i="14"/>
  <c r="B43" i="14"/>
  <c r="G44" i="14"/>
  <c r="K45" i="14"/>
  <c r="K47" i="14"/>
  <c r="B48" i="14"/>
  <c r="O49" i="14"/>
  <c r="O50" i="14"/>
  <c r="O51" i="14"/>
  <c r="O52" i="14"/>
  <c r="B53" i="14"/>
  <c r="N53" i="14" s="1"/>
  <c r="B54" i="14"/>
  <c r="G56" i="14"/>
  <c r="K57" i="14"/>
  <c r="B58" i="14"/>
  <c r="B59" i="14"/>
  <c r="O61" i="14"/>
  <c r="O62" i="14"/>
  <c r="B63" i="14"/>
  <c r="O63" i="14" s="1"/>
  <c r="O64" i="14"/>
  <c r="N65" i="14"/>
  <c r="B68" i="14"/>
  <c r="K69" i="14"/>
  <c r="K71" i="14"/>
  <c r="B73" i="14"/>
  <c r="O73" i="14" s="1"/>
  <c r="O74" i="14"/>
  <c r="O75" i="14"/>
  <c r="O76" i="14"/>
  <c r="N77" i="14"/>
  <c r="B78" i="14"/>
  <c r="G80" i="14"/>
  <c r="B81" i="14"/>
  <c r="B82" i="14"/>
  <c r="B83" i="14"/>
  <c r="K83" i="14" s="1"/>
  <c r="B84" i="14"/>
  <c r="B85" i="14"/>
  <c r="B86" i="14"/>
  <c r="B87" i="14"/>
  <c r="B88" i="14"/>
  <c r="O88" i="14" s="1"/>
  <c r="G11" i="5"/>
  <c r="G26" i="5"/>
  <c r="G35" i="5"/>
  <c r="F17" i="5"/>
  <c r="F30" i="5"/>
  <c r="F65" i="5"/>
  <c r="F4" i="5"/>
  <c r="E8" i="5"/>
  <c r="E13" i="5"/>
  <c r="E18" i="5"/>
  <c r="E23" i="5"/>
  <c r="F27" i="5"/>
  <c r="E28" i="5"/>
  <c r="E33" i="5"/>
  <c r="E38" i="5"/>
  <c r="E43" i="5"/>
  <c r="E48" i="5"/>
  <c r="E53" i="5"/>
  <c r="E54" i="5"/>
  <c r="E58" i="5"/>
  <c r="E59" i="5"/>
  <c r="E63" i="5"/>
  <c r="E68" i="5"/>
  <c r="E73" i="5"/>
  <c r="F75" i="5"/>
  <c r="E78" i="5"/>
  <c r="E3" i="5"/>
  <c r="D8" i="5"/>
  <c r="D13" i="5"/>
  <c r="F15" i="5"/>
  <c r="D18" i="5"/>
  <c r="D23" i="5"/>
  <c r="G25" i="5"/>
  <c r="D28" i="5"/>
  <c r="D33" i="5"/>
  <c r="G37" i="5"/>
  <c r="D38" i="5"/>
  <c r="F39" i="5"/>
  <c r="F42" i="5"/>
  <c r="D43" i="5"/>
  <c r="G47" i="5"/>
  <c r="D48" i="5"/>
  <c r="G49" i="5"/>
  <c r="F51" i="5"/>
  <c r="D53" i="5"/>
  <c r="D54" i="5"/>
  <c r="D58" i="5"/>
  <c r="D59" i="5"/>
  <c r="G61" i="5"/>
  <c r="D63" i="5"/>
  <c r="F66" i="5"/>
  <c r="D68" i="5"/>
  <c r="G71" i="5"/>
  <c r="D73" i="5"/>
  <c r="D78" i="5"/>
  <c r="C13" i="5"/>
  <c r="K16" i="5"/>
  <c r="C18" i="5"/>
  <c r="C23" i="5"/>
  <c r="C28" i="5"/>
  <c r="F29" i="5"/>
  <c r="C33" i="5"/>
  <c r="C38" i="5"/>
  <c r="F41" i="5"/>
  <c r="C43" i="5"/>
  <c r="C48" i="5"/>
  <c r="C53" i="5"/>
  <c r="C54" i="5"/>
  <c r="C58" i="5"/>
  <c r="C59" i="5"/>
  <c r="C63" i="5"/>
  <c r="C68" i="5"/>
  <c r="C73" i="5"/>
  <c r="F77" i="5"/>
  <c r="C78" i="5"/>
  <c r="C81" i="5"/>
  <c r="C82" i="5"/>
  <c r="C83" i="5"/>
  <c r="C84" i="5"/>
  <c r="C85" i="5"/>
  <c r="G85" i="5" s="1"/>
  <c r="C86" i="5"/>
  <c r="C87" i="5"/>
  <c r="C88" i="5"/>
  <c r="B81" i="5"/>
  <c r="N81" i="5" s="1"/>
  <c r="B82" i="5"/>
  <c r="J82" i="5" s="1"/>
  <c r="B83" i="5"/>
  <c r="J83" i="5" s="1"/>
  <c r="B84" i="5"/>
  <c r="N84" i="5" s="1"/>
  <c r="B85" i="5"/>
  <c r="B86" i="5"/>
  <c r="K86" i="5" s="1"/>
  <c r="B87" i="5"/>
  <c r="F87" i="5" s="1"/>
  <c r="B88" i="5"/>
  <c r="B8" i="5"/>
  <c r="N11" i="5"/>
  <c r="B13" i="5"/>
  <c r="K13" i="5" s="1"/>
  <c r="K14" i="5"/>
  <c r="K15" i="5"/>
  <c r="O17" i="5"/>
  <c r="B18" i="5"/>
  <c r="O18" i="5" s="1"/>
  <c r="B23" i="5"/>
  <c r="K25" i="5"/>
  <c r="K26" i="5"/>
  <c r="K27" i="5"/>
  <c r="B28" i="5"/>
  <c r="O29" i="5"/>
  <c r="O30" i="5"/>
  <c r="B33" i="5"/>
  <c r="J35" i="5"/>
  <c r="K37" i="5"/>
  <c r="B38" i="5"/>
  <c r="K38" i="5" s="1"/>
  <c r="K39" i="5"/>
  <c r="O41" i="5"/>
  <c r="O42" i="5"/>
  <c r="B43" i="5"/>
  <c r="J47" i="5"/>
  <c r="B48" i="5"/>
  <c r="N48" i="5" s="1"/>
  <c r="K49" i="5"/>
  <c r="K50" i="5"/>
  <c r="K51" i="5"/>
  <c r="B53" i="5"/>
  <c r="B54" i="5"/>
  <c r="O54" i="5" s="1"/>
  <c r="B58" i="5"/>
  <c r="B59" i="5"/>
  <c r="J59" i="5" s="1"/>
  <c r="B63" i="5"/>
  <c r="O65" i="5"/>
  <c r="O66" i="5"/>
  <c r="B68" i="5"/>
  <c r="J71" i="5"/>
  <c r="B73" i="5"/>
  <c r="K74" i="5"/>
  <c r="K75" i="5"/>
  <c r="O77" i="5"/>
  <c r="B78" i="5"/>
  <c r="O78" i="5" s="1"/>
  <c r="F5" i="14"/>
  <c r="F6" i="14"/>
  <c r="G6" i="14"/>
  <c r="F7" i="14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BB4" i="8"/>
  <c r="BB5" i="8"/>
  <c r="BB6" i="8"/>
  <c r="BB3" i="8"/>
  <c r="AV3" i="8"/>
  <c r="AW4" i="8" s="1"/>
  <c r="B3" i="5"/>
  <c r="O68" i="5" l="1"/>
  <c r="K87" i="5"/>
  <c r="K23" i="14"/>
  <c r="F59" i="14"/>
  <c r="K63" i="5"/>
  <c r="O38" i="14"/>
  <c r="K88" i="5"/>
  <c r="K85" i="5"/>
  <c r="G13" i="5"/>
  <c r="G23" i="14"/>
  <c r="J23" i="5"/>
  <c r="K81" i="14"/>
  <c r="K28" i="5"/>
  <c r="N18" i="14"/>
  <c r="G59" i="14"/>
  <c r="J28" i="14"/>
  <c r="F63" i="5"/>
  <c r="F83" i="14"/>
  <c r="O53" i="5"/>
  <c r="G38" i="5"/>
  <c r="G86" i="5"/>
  <c r="G59" i="5"/>
  <c r="K73" i="5"/>
  <c r="K59" i="14"/>
  <c r="O13" i="14"/>
  <c r="F54" i="5"/>
  <c r="G83" i="5"/>
  <c r="F53" i="5"/>
  <c r="O87" i="14"/>
  <c r="G83" i="14"/>
  <c r="F87" i="14"/>
  <c r="G82" i="5"/>
  <c r="O86" i="14"/>
  <c r="J88" i="14"/>
  <c r="G68" i="14"/>
  <c r="G23" i="5"/>
  <c r="F78" i="5"/>
  <c r="F18" i="5"/>
  <c r="O85" i="14"/>
  <c r="F23" i="14"/>
  <c r="J85" i="5"/>
  <c r="G73" i="5"/>
  <c r="J73" i="5"/>
  <c r="F51" i="14"/>
  <c r="G68" i="5"/>
  <c r="G56" i="5"/>
  <c r="G44" i="5"/>
  <c r="G32" i="5"/>
  <c r="G20" i="5"/>
  <c r="F63" i="14"/>
  <c r="F50" i="5"/>
  <c r="F27" i="14"/>
  <c r="F62" i="5"/>
  <c r="F86" i="5"/>
  <c r="F84" i="5"/>
  <c r="F38" i="5"/>
  <c r="F75" i="14"/>
  <c r="F74" i="5"/>
  <c r="F14" i="5"/>
  <c r="F15" i="14"/>
  <c r="F72" i="5"/>
  <c r="F60" i="5"/>
  <c r="F48" i="5"/>
  <c r="F36" i="5"/>
  <c r="F24" i="5"/>
  <c r="F12" i="5"/>
  <c r="F26" i="5"/>
  <c r="G80" i="5"/>
  <c r="F76" i="5"/>
  <c r="F64" i="5"/>
  <c r="F52" i="5"/>
  <c r="F40" i="5"/>
  <c r="F28" i="5"/>
  <c r="F16" i="5"/>
  <c r="G50" i="5"/>
  <c r="F84" i="14"/>
  <c r="F72" i="14"/>
  <c r="F60" i="14"/>
  <c r="F48" i="14"/>
  <c r="F36" i="14"/>
  <c r="F24" i="14"/>
  <c r="F12" i="14"/>
  <c r="K82" i="14"/>
  <c r="G82" i="14"/>
  <c r="N82" i="14"/>
  <c r="O82" i="14"/>
  <c r="J82" i="14"/>
  <c r="F82" i="14"/>
  <c r="K70" i="14"/>
  <c r="G70" i="14"/>
  <c r="N70" i="14"/>
  <c r="O70" i="14"/>
  <c r="J70" i="14"/>
  <c r="F70" i="14"/>
  <c r="K58" i="14"/>
  <c r="G58" i="14"/>
  <c r="N58" i="14"/>
  <c r="O58" i="14"/>
  <c r="J58" i="14"/>
  <c r="F58" i="14"/>
  <c r="K46" i="14"/>
  <c r="G46" i="14"/>
  <c r="N46" i="14"/>
  <c r="O46" i="14"/>
  <c r="J46" i="14"/>
  <c r="F46" i="14"/>
  <c r="K34" i="14"/>
  <c r="G34" i="14"/>
  <c r="N34" i="14"/>
  <c r="O34" i="14"/>
  <c r="J34" i="14"/>
  <c r="F34" i="14"/>
  <c r="K22" i="14"/>
  <c r="G22" i="14"/>
  <c r="N22" i="14"/>
  <c r="O22" i="14"/>
  <c r="J22" i="14"/>
  <c r="F22" i="14"/>
  <c r="K10" i="14"/>
  <c r="G10" i="14"/>
  <c r="N10" i="14"/>
  <c r="O10" i="14"/>
  <c r="J10" i="14"/>
  <c r="F10" i="14"/>
  <c r="N79" i="14"/>
  <c r="O79" i="14"/>
  <c r="J79" i="14"/>
  <c r="F79" i="14"/>
  <c r="K79" i="14"/>
  <c r="G79" i="14"/>
  <c r="N67" i="14"/>
  <c r="O67" i="14"/>
  <c r="J67" i="14"/>
  <c r="F67" i="14"/>
  <c r="K67" i="14"/>
  <c r="G67" i="14"/>
  <c r="N55" i="14"/>
  <c r="O55" i="14"/>
  <c r="J55" i="14"/>
  <c r="F55" i="14"/>
  <c r="K55" i="14"/>
  <c r="G55" i="14"/>
  <c r="N43" i="14"/>
  <c r="O43" i="14"/>
  <c r="J43" i="14"/>
  <c r="F43" i="14"/>
  <c r="K43" i="14"/>
  <c r="G43" i="14"/>
  <c r="N31" i="14"/>
  <c r="O31" i="14"/>
  <c r="J31" i="14"/>
  <c r="F31" i="14"/>
  <c r="K31" i="14"/>
  <c r="G31" i="14"/>
  <c r="N19" i="14"/>
  <c r="O19" i="14"/>
  <c r="J19" i="14"/>
  <c r="F19" i="14"/>
  <c r="K19" i="14"/>
  <c r="G19" i="14"/>
  <c r="J70" i="5"/>
  <c r="N70" i="5"/>
  <c r="O70" i="5"/>
  <c r="K70" i="5"/>
  <c r="F70" i="5"/>
  <c r="G70" i="5"/>
  <c r="J58" i="5"/>
  <c r="G58" i="5"/>
  <c r="N58" i="5"/>
  <c r="O58" i="5"/>
  <c r="K58" i="5"/>
  <c r="F58" i="5"/>
  <c r="J46" i="5"/>
  <c r="N46" i="5"/>
  <c r="O46" i="5"/>
  <c r="K46" i="5"/>
  <c r="F46" i="5"/>
  <c r="G46" i="5"/>
  <c r="J34" i="5"/>
  <c r="N34" i="5"/>
  <c r="O34" i="5"/>
  <c r="G34" i="5"/>
  <c r="K34" i="5"/>
  <c r="F34" i="5"/>
  <c r="J22" i="5"/>
  <c r="N22" i="5"/>
  <c r="O22" i="5"/>
  <c r="K22" i="5"/>
  <c r="G22" i="5"/>
  <c r="F22" i="5"/>
  <c r="N10" i="5"/>
  <c r="O10" i="5"/>
  <c r="G10" i="5"/>
  <c r="K10" i="5"/>
  <c r="J10" i="5"/>
  <c r="F10" i="5"/>
  <c r="O79" i="5"/>
  <c r="K79" i="5"/>
  <c r="F79" i="5"/>
  <c r="J79" i="5"/>
  <c r="N79" i="5"/>
  <c r="G79" i="5"/>
  <c r="G74" i="5"/>
  <c r="G14" i="5"/>
  <c r="N78" i="14"/>
  <c r="N66" i="14"/>
  <c r="N54" i="14"/>
  <c r="N42" i="14"/>
  <c r="N69" i="5"/>
  <c r="G69" i="5"/>
  <c r="O69" i="5"/>
  <c r="K69" i="5"/>
  <c r="F69" i="5"/>
  <c r="J69" i="5"/>
  <c r="N57" i="5"/>
  <c r="G57" i="5"/>
  <c r="O57" i="5"/>
  <c r="K57" i="5"/>
  <c r="F57" i="5"/>
  <c r="J57" i="5"/>
  <c r="N45" i="5"/>
  <c r="G45" i="5"/>
  <c r="O45" i="5"/>
  <c r="K45" i="5"/>
  <c r="F45" i="5"/>
  <c r="J45" i="5"/>
  <c r="N33" i="5"/>
  <c r="G33" i="5"/>
  <c r="O33" i="5"/>
  <c r="K33" i="5"/>
  <c r="F33" i="5"/>
  <c r="J33" i="5"/>
  <c r="N21" i="5"/>
  <c r="G21" i="5"/>
  <c r="O21" i="5"/>
  <c r="K21" i="5"/>
  <c r="F21" i="5"/>
  <c r="J21" i="5"/>
  <c r="N9" i="5"/>
  <c r="G9" i="5"/>
  <c r="O9" i="5"/>
  <c r="K9" i="5"/>
  <c r="J9" i="5"/>
  <c r="F9" i="5"/>
  <c r="O67" i="5"/>
  <c r="K67" i="5"/>
  <c r="F67" i="5"/>
  <c r="J67" i="5"/>
  <c r="N67" i="5"/>
  <c r="G67" i="5"/>
  <c r="O55" i="5"/>
  <c r="K55" i="5"/>
  <c r="F55" i="5"/>
  <c r="J55" i="5"/>
  <c r="N55" i="5"/>
  <c r="G55" i="5"/>
  <c r="O43" i="5"/>
  <c r="K43" i="5"/>
  <c r="F43" i="5"/>
  <c r="J43" i="5"/>
  <c r="N43" i="5"/>
  <c r="G43" i="5"/>
  <c r="O31" i="5"/>
  <c r="K31" i="5"/>
  <c r="F31" i="5"/>
  <c r="J31" i="5"/>
  <c r="N31" i="5"/>
  <c r="G31" i="5"/>
  <c r="O19" i="5"/>
  <c r="K19" i="5"/>
  <c r="F19" i="5"/>
  <c r="J19" i="5"/>
  <c r="N19" i="5"/>
  <c r="G19" i="5"/>
  <c r="F88" i="5"/>
  <c r="J88" i="5"/>
  <c r="N88" i="5"/>
  <c r="G88" i="5"/>
  <c r="O88" i="5"/>
  <c r="G62" i="5"/>
  <c r="F83" i="5"/>
  <c r="F71" i="5"/>
  <c r="F59" i="5"/>
  <c r="F47" i="5"/>
  <c r="F35" i="5"/>
  <c r="F23" i="5"/>
  <c r="F11" i="5"/>
  <c r="J12" i="5"/>
  <c r="J81" i="5"/>
  <c r="K84" i="5"/>
  <c r="K72" i="5"/>
  <c r="K48" i="5"/>
  <c r="K36" i="5"/>
  <c r="K24" i="5"/>
  <c r="K12" i="5"/>
  <c r="N80" i="5"/>
  <c r="N68" i="5"/>
  <c r="N56" i="5"/>
  <c r="N44" i="5"/>
  <c r="N32" i="5"/>
  <c r="N20" i="5"/>
  <c r="O76" i="5"/>
  <c r="O64" i="5"/>
  <c r="O52" i="5"/>
  <c r="O40" i="5"/>
  <c r="O28" i="5"/>
  <c r="O16" i="5"/>
  <c r="J84" i="14"/>
  <c r="J72" i="14"/>
  <c r="J60" i="14"/>
  <c r="J48" i="14"/>
  <c r="J36" i="14"/>
  <c r="J24" i="14"/>
  <c r="J12" i="14"/>
  <c r="K80" i="14"/>
  <c r="K68" i="14"/>
  <c r="K56" i="14"/>
  <c r="K44" i="14"/>
  <c r="K32" i="14"/>
  <c r="K20" i="14"/>
  <c r="N88" i="14"/>
  <c r="N76" i="14"/>
  <c r="N64" i="14"/>
  <c r="N52" i="14"/>
  <c r="N40" i="14"/>
  <c r="N28" i="14"/>
  <c r="N16" i="14"/>
  <c r="O84" i="14"/>
  <c r="O72" i="14"/>
  <c r="O60" i="14"/>
  <c r="O48" i="14"/>
  <c r="O36" i="14"/>
  <c r="O24" i="14"/>
  <c r="O12" i="14"/>
  <c r="F82" i="5"/>
  <c r="G78" i="5"/>
  <c r="G66" i="5"/>
  <c r="G54" i="5"/>
  <c r="G42" i="5"/>
  <c r="G30" i="5"/>
  <c r="G18" i="5"/>
  <c r="G78" i="14"/>
  <c r="G66" i="14"/>
  <c r="G54" i="14"/>
  <c r="G42" i="14"/>
  <c r="G30" i="14"/>
  <c r="G18" i="14"/>
  <c r="J11" i="5"/>
  <c r="J80" i="5"/>
  <c r="J68" i="5"/>
  <c r="J56" i="5"/>
  <c r="J44" i="5"/>
  <c r="J32" i="5"/>
  <c r="J20" i="5"/>
  <c r="K83" i="5"/>
  <c r="K71" i="5"/>
  <c r="K59" i="5"/>
  <c r="K47" i="5"/>
  <c r="K35" i="5"/>
  <c r="K23" i="5"/>
  <c r="K11" i="5"/>
  <c r="O87" i="5"/>
  <c r="O75" i="5"/>
  <c r="O63" i="5"/>
  <c r="O51" i="5"/>
  <c r="O39" i="5"/>
  <c r="O27" i="5"/>
  <c r="O15" i="5"/>
  <c r="J83" i="14"/>
  <c r="J71" i="14"/>
  <c r="J59" i="14"/>
  <c r="J47" i="14"/>
  <c r="J35" i="14"/>
  <c r="J23" i="14"/>
  <c r="J11" i="14"/>
  <c r="N87" i="14"/>
  <c r="N75" i="14"/>
  <c r="N63" i="14"/>
  <c r="N51" i="14"/>
  <c r="N39" i="14"/>
  <c r="N27" i="14"/>
  <c r="N15" i="14"/>
  <c r="O83" i="14"/>
  <c r="O71" i="14"/>
  <c r="O59" i="14"/>
  <c r="O47" i="14"/>
  <c r="O35" i="14"/>
  <c r="O23" i="14"/>
  <c r="O11" i="14"/>
  <c r="F81" i="5"/>
  <c r="G77" i="5"/>
  <c r="G65" i="5"/>
  <c r="G53" i="5"/>
  <c r="G41" i="5"/>
  <c r="G29" i="5"/>
  <c r="G17" i="5"/>
  <c r="F81" i="14"/>
  <c r="F69" i="14"/>
  <c r="F57" i="14"/>
  <c r="F45" i="14"/>
  <c r="F33" i="14"/>
  <c r="F21" i="14"/>
  <c r="F9" i="14"/>
  <c r="G77" i="14"/>
  <c r="G65" i="14"/>
  <c r="G53" i="14"/>
  <c r="G41" i="14"/>
  <c r="G29" i="14"/>
  <c r="G17" i="14"/>
  <c r="K82" i="5"/>
  <c r="N78" i="5"/>
  <c r="N66" i="5"/>
  <c r="N54" i="5"/>
  <c r="N42" i="5"/>
  <c r="N30" i="5"/>
  <c r="N18" i="5"/>
  <c r="O86" i="5"/>
  <c r="O74" i="5"/>
  <c r="O50" i="5"/>
  <c r="O38" i="5"/>
  <c r="O26" i="5"/>
  <c r="O14" i="5"/>
  <c r="K78" i="14"/>
  <c r="K66" i="14"/>
  <c r="K54" i="14"/>
  <c r="K42" i="14"/>
  <c r="K30" i="14"/>
  <c r="K18" i="14"/>
  <c r="N86" i="14"/>
  <c r="N74" i="14"/>
  <c r="N62" i="14"/>
  <c r="N50" i="14"/>
  <c r="N38" i="14"/>
  <c r="N26" i="14"/>
  <c r="N14" i="14"/>
  <c r="F80" i="5"/>
  <c r="F68" i="5"/>
  <c r="F56" i="5"/>
  <c r="F44" i="5"/>
  <c r="F32" i="5"/>
  <c r="F20" i="5"/>
  <c r="G76" i="5"/>
  <c r="G64" i="5"/>
  <c r="G52" i="5"/>
  <c r="G40" i="5"/>
  <c r="G28" i="5"/>
  <c r="G16" i="5"/>
  <c r="F80" i="14"/>
  <c r="F68" i="14"/>
  <c r="F56" i="14"/>
  <c r="F44" i="14"/>
  <c r="F32" i="14"/>
  <c r="F20" i="14"/>
  <c r="G88" i="14"/>
  <c r="G76" i="14"/>
  <c r="G64" i="14"/>
  <c r="G52" i="14"/>
  <c r="G40" i="14"/>
  <c r="G28" i="14"/>
  <c r="G16" i="14"/>
  <c r="J78" i="5"/>
  <c r="J66" i="5"/>
  <c r="J54" i="5"/>
  <c r="J42" i="5"/>
  <c r="J30" i="5"/>
  <c r="J18" i="5"/>
  <c r="K81" i="5"/>
  <c r="N77" i="5"/>
  <c r="N65" i="5"/>
  <c r="N53" i="5"/>
  <c r="N41" i="5"/>
  <c r="N29" i="5"/>
  <c r="N17" i="5"/>
  <c r="O85" i="5"/>
  <c r="O73" i="5"/>
  <c r="O49" i="5"/>
  <c r="O37" i="5"/>
  <c r="O25" i="5"/>
  <c r="O13" i="5"/>
  <c r="J81" i="14"/>
  <c r="J69" i="14"/>
  <c r="J57" i="14"/>
  <c r="J45" i="14"/>
  <c r="J33" i="14"/>
  <c r="J21" i="14"/>
  <c r="J9" i="14"/>
  <c r="K77" i="14"/>
  <c r="K65" i="14"/>
  <c r="K53" i="14"/>
  <c r="K41" i="14"/>
  <c r="K29" i="14"/>
  <c r="K17" i="14"/>
  <c r="N85" i="14"/>
  <c r="N73" i="14"/>
  <c r="N61" i="14"/>
  <c r="N49" i="14"/>
  <c r="N37" i="14"/>
  <c r="N25" i="14"/>
  <c r="N13" i="14"/>
  <c r="O81" i="14"/>
  <c r="O69" i="14"/>
  <c r="O57" i="14"/>
  <c r="O45" i="14"/>
  <c r="O33" i="14"/>
  <c r="O21" i="14"/>
  <c r="O9" i="14"/>
  <c r="G87" i="5"/>
  <c r="G75" i="5"/>
  <c r="G63" i="5"/>
  <c r="G51" i="5"/>
  <c r="G39" i="5"/>
  <c r="G27" i="5"/>
  <c r="G15" i="5"/>
  <c r="G87" i="14"/>
  <c r="G75" i="14"/>
  <c r="G63" i="14"/>
  <c r="G51" i="14"/>
  <c r="G39" i="14"/>
  <c r="G27" i="14"/>
  <c r="G15" i="14"/>
  <c r="J13" i="5"/>
  <c r="J77" i="5"/>
  <c r="J65" i="5"/>
  <c r="J53" i="5"/>
  <c r="J41" i="5"/>
  <c r="J29" i="5"/>
  <c r="J17" i="5"/>
  <c r="K80" i="5"/>
  <c r="K68" i="5"/>
  <c r="K56" i="5"/>
  <c r="K44" i="5"/>
  <c r="K32" i="5"/>
  <c r="K20" i="5"/>
  <c r="N76" i="5"/>
  <c r="N64" i="5"/>
  <c r="N52" i="5"/>
  <c r="N40" i="5"/>
  <c r="N28" i="5"/>
  <c r="N16" i="5"/>
  <c r="O84" i="5"/>
  <c r="O72" i="5"/>
  <c r="O48" i="5"/>
  <c r="O36" i="5"/>
  <c r="O24" i="5"/>
  <c r="O12" i="5"/>
  <c r="J80" i="14"/>
  <c r="J68" i="14"/>
  <c r="J56" i="14"/>
  <c r="J44" i="14"/>
  <c r="J32" i="14"/>
  <c r="J20" i="14"/>
  <c r="K88" i="14"/>
  <c r="K76" i="14"/>
  <c r="K64" i="14"/>
  <c r="K52" i="14"/>
  <c r="K40" i="14"/>
  <c r="K28" i="14"/>
  <c r="K16" i="14"/>
  <c r="N84" i="14"/>
  <c r="N72" i="14"/>
  <c r="N60" i="14"/>
  <c r="N48" i="14"/>
  <c r="N36" i="14"/>
  <c r="N24" i="14"/>
  <c r="N12" i="14"/>
  <c r="O80" i="14"/>
  <c r="O68" i="14"/>
  <c r="O56" i="14"/>
  <c r="O44" i="14"/>
  <c r="O32" i="14"/>
  <c r="O20" i="14"/>
  <c r="F78" i="14"/>
  <c r="F66" i="14"/>
  <c r="F54" i="14"/>
  <c r="F42" i="14"/>
  <c r="F30" i="14"/>
  <c r="F18" i="14"/>
  <c r="G86" i="14"/>
  <c r="G74" i="14"/>
  <c r="G62" i="14"/>
  <c r="G50" i="14"/>
  <c r="G38" i="14"/>
  <c r="G26" i="14"/>
  <c r="G14" i="14"/>
  <c r="J76" i="5"/>
  <c r="J64" i="5"/>
  <c r="J52" i="5"/>
  <c r="J40" i="5"/>
  <c r="J28" i="5"/>
  <c r="J16" i="5"/>
  <c r="N87" i="5"/>
  <c r="N75" i="5"/>
  <c r="N63" i="5"/>
  <c r="N51" i="5"/>
  <c r="N39" i="5"/>
  <c r="N27" i="5"/>
  <c r="N15" i="5"/>
  <c r="O83" i="5"/>
  <c r="O71" i="5"/>
  <c r="O59" i="5"/>
  <c r="O47" i="5"/>
  <c r="O35" i="5"/>
  <c r="O23" i="5"/>
  <c r="O11" i="5"/>
  <c r="K87" i="14"/>
  <c r="K75" i="14"/>
  <c r="K63" i="14"/>
  <c r="K51" i="14"/>
  <c r="K39" i="14"/>
  <c r="K27" i="14"/>
  <c r="K15" i="14"/>
  <c r="N83" i="14"/>
  <c r="N71" i="14"/>
  <c r="N59" i="14"/>
  <c r="N47" i="14"/>
  <c r="N35" i="14"/>
  <c r="N23" i="14"/>
  <c r="N11" i="14"/>
  <c r="F4" i="14"/>
  <c r="F77" i="14"/>
  <c r="F65" i="14"/>
  <c r="F53" i="14"/>
  <c r="F41" i="14"/>
  <c r="F29" i="14"/>
  <c r="F17" i="14"/>
  <c r="G85" i="14"/>
  <c r="G73" i="14"/>
  <c r="G61" i="14"/>
  <c r="G49" i="14"/>
  <c r="G37" i="14"/>
  <c r="G25" i="14"/>
  <c r="G13" i="14"/>
  <c r="J87" i="5"/>
  <c r="J75" i="5"/>
  <c r="J63" i="5"/>
  <c r="J51" i="5"/>
  <c r="J39" i="5"/>
  <c r="J27" i="5"/>
  <c r="J15" i="5"/>
  <c r="K78" i="5"/>
  <c r="K66" i="5"/>
  <c r="K54" i="5"/>
  <c r="K42" i="5"/>
  <c r="K30" i="5"/>
  <c r="K18" i="5"/>
  <c r="N86" i="5"/>
  <c r="N74" i="5"/>
  <c r="N50" i="5"/>
  <c r="N38" i="5"/>
  <c r="N26" i="5"/>
  <c r="N14" i="5"/>
  <c r="O82" i="5"/>
  <c r="J78" i="14"/>
  <c r="J66" i="14"/>
  <c r="J54" i="14"/>
  <c r="J42" i="14"/>
  <c r="J30" i="14"/>
  <c r="J18" i="14"/>
  <c r="K86" i="14"/>
  <c r="K74" i="14"/>
  <c r="K62" i="14"/>
  <c r="K50" i="14"/>
  <c r="K38" i="14"/>
  <c r="K26" i="14"/>
  <c r="K14" i="14"/>
  <c r="O78" i="14"/>
  <c r="O66" i="14"/>
  <c r="O54" i="14"/>
  <c r="O42" i="14"/>
  <c r="O30" i="14"/>
  <c r="O18" i="14"/>
  <c r="G84" i="5"/>
  <c r="G72" i="5"/>
  <c r="G60" i="5"/>
  <c r="G48" i="5"/>
  <c r="G36" i="5"/>
  <c r="G24" i="5"/>
  <c r="G12" i="5"/>
  <c r="F88" i="14"/>
  <c r="F76" i="14"/>
  <c r="F64" i="14"/>
  <c r="F52" i="14"/>
  <c r="F40" i="14"/>
  <c r="F28" i="14"/>
  <c r="F16" i="14"/>
  <c r="G84" i="14"/>
  <c r="G72" i="14"/>
  <c r="G60" i="14"/>
  <c r="G48" i="14"/>
  <c r="G36" i="14"/>
  <c r="G24" i="14"/>
  <c r="G12" i="14"/>
  <c r="J86" i="5"/>
  <c r="J74" i="5"/>
  <c r="J50" i="5"/>
  <c r="J38" i="5"/>
  <c r="J26" i="5"/>
  <c r="J14" i="5"/>
  <c r="K77" i="5"/>
  <c r="K65" i="5"/>
  <c r="K53" i="5"/>
  <c r="K41" i="5"/>
  <c r="K29" i="5"/>
  <c r="K17" i="5"/>
  <c r="N85" i="5"/>
  <c r="N73" i="5"/>
  <c r="N49" i="5"/>
  <c r="N37" i="5"/>
  <c r="N25" i="5"/>
  <c r="N13" i="5"/>
  <c r="O81" i="5"/>
  <c r="J77" i="14"/>
  <c r="J65" i="14"/>
  <c r="J53" i="14"/>
  <c r="J41" i="14"/>
  <c r="J29" i="14"/>
  <c r="J17" i="14"/>
  <c r="K85" i="14"/>
  <c r="K73" i="14"/>
  <c r="K61" i="14"/>
  <c r="K49" i="14"/>
  <c r="K37" i="14"/>
  <c r="K25" i="14"/>
  <c r="K13" i="14"/>
  <c r="N81" i="14"/>
  <c r="N69" i="14"/>
  <c r="N57" i="14"/>
  <c r="N45" i="14"/>
  <c r="N33" i="14"/>
  <c r="N21" i="14"/>
  <c r="N9" i="14"/>
  <c r="O77" i="14"/>
  <c r="O65" i="14"/>
  <c r="O53" i="14"/>
  <c r="O41" i="14"/>
  <c r="O29" i="14"/>
  <c r="O17" i="14"/>
  <c r="K84" i="14"/>
  <c r="K72" i="14"/>
  <c r="K60" i="14"/>
  <c r="K48" i="14"/>
  <c r="K36" i="14"/>
  <c r="K24" i="14"/>
  <c r="K12" i="14"/>
  <c r="N80" i="14"/>
  <c r="N68" i="14"/>
  <c r="N56" i="14"/>
  <c r="N44" i="14"/>
  <c r="N32" i="14"/>
  <c r="N20" i="14"/>
  <c r="F86" i="14"/>
  <c r="F74" i="14"/>
  <c r="F62" i="14"/>
  <c r="F50" i="14"/>
  <c r="F38" i="14"/>
  <c r="F26" i="14"/>
  <c r="F14" i="14"/>
  <c r="J84" i="5"/>
  <c r="J72" i="5"/>
  <c r="J48" i="5"/>
  <c r="J36" i="5"/>
  <c r="J24" i="5"/>
  <c r="N83" i="5"/>
  <c r="N71" i="5"/>
  <c r="N59" i="5"/>
  <c r="N47" i="5"/>
  <c r="N35" i="5"/>
  <c r="N23" i="5"/>
  <c r="J87" i="14"/>
  <c r="J75" i="14"/>
  <c r="J63" i="14"/>
  <c r="J51" i="14"/>
  <c r="J39" i="14"/>
  <c r="J27" i="14"/>
  <c r="J15" i="14"/>
  <c r="F85" i="5"/>
  <c r="F73" i="5"/>
  <c r="F61" i="5"/>
  <c r="F49" i="5"/>
  <c r="F37" i="5"/>
  <c r="F25" i="5"/>
  <c r="F13" i="5"/>
  <c r="G81" i="5"/>
  <c r="F85" i="14"/>
  <c r="F73" i="14"/>
  <c r="F61" i="14"/>
  <c r="F49" i="14"/>
  <c r="F37" i="14"/>
  <c r="F25" i="14"/>
  <c r="F13" i="14"/>
  <c r="G81" i="14"/>
  <c r="G69" i="14"/>
  <c r="G57" i="14"/>
  <c r="G45" i="14"/>
  <c r="G33" i="14"/>
  <c r="G21" i="14"/>
  <c r="G9" i="14"/>
  <c r="N82" i="5"/>
  <c r="J86" i="14"/>
  <c r="J74" i="14"/>
  <c r="J62" i="14"/>
  <c r="J50" i="14"/>
  <c r="J38" i="14"/>
  <c r="J26" i="14"/>
  <c r="J14" i="14"/>
  <c r="J85" i="14"/>
  <c r="J73" i="14"/>
  <c r="J61" i="14"/>
  <c r="J49" i="14"/>
  <c r="J37" i="14"/>
  <c r="J25" i="14"/>
  <c r="J13" i="14"/>
  <c r="G5" i="14"/>
  <c r="G7" i="14"/>
  <c r="G4" i="14"/>
  <c r="BA3" i="8"/>
  <c r="AW6" i="8"/>
  <c r="AW5" i="8"/>
  <c r="AW3" i="8"/>
  <c r="C8" i="14"/>
  <c r="B8" i="14"/>
  <c r="C8" i="5"/>
  <c r="C3" i="15" l="1"/>
  <c r="B3" i="15"/>
  <c r="B8" i="7"/>
  <c r="C3" i="7"/>
  <c r="R6" i="14" a="1"/>
  <c r="R4" i="14" a="1"/>
  <c r="S4" i="14" a="1"/>
  <c r="R7" i="14" a="1"/>
  <c r="Q6" i="14" a="1"/>
  <c r="Q4" i="14" a="1"/>
  <c r="S5" i="14" a="1"/>
  <c r="S7" i="14" a="1"/>
  <c r="R5" i="14" a="1"/>
  <c r="Q5" i="14" a="1"/>
  <c r="S6" i="14" a="1"/>
  <c r="Q7" i="14" a="1"/>
  <c r="S7" i="5" a="1"/>
  <c r="Q6" i="5" a="1"/>
  <c r="R7" i="5" a="1"/>
  <c r="S5" i="5" a="1"/>
  <c r="R4" i="5" a="1"/>
  <c r="Q4" i="5" a="1"/>
  <c r="R5" i="5" a="1"/>
  <c r="S4" i="5" a="1"/>
  <c r="Q7" i="5" a="1"/>
  <c r="R6" i="5" a="1"/>
  <c r="Q5" i="5" a="1"/>
  <c r="S6" i="5" a="1"/>
  <c r="M6" i="15" a="1"/>
  <c r="N4" i="15" a="1"/>
  <c r="N8" i="15" a="1"/>
  <c r="L5" i="15" a="1"/>
  <c r="Q8" i="14" a="1"/>
  <c r="M3" i="7" a="1"/>
  <c r="Q8" i="5" a="1"/>
  <c r="K3" i="15" a="1"/>
  <c r="K7" i="15" a="1"/>
  <c r="S8" i="5" a="1"/>
  <c r="N7" i="15" a="1"/>
  <c r="N3" i="7" a="1"/>
  <c r="S8" i="14" a="1"/>
  <c r="N6" i="7" a="1"/>
  <c r="K3" i="7" a="1"/>
  <c r="R8" i="14" a="1"/>
  <c r="N7" i="7" a="1"/>
  <c r="N5" i="15" a="1"/>
  <c r="M7" i="7" a="1"/>
  <c r="R8" i="5" a="1"/>
  <c r="N5" i="7" a="1"/>
  <c r="N4" i="7" a="1"/>
  <c r="K3" i="7" l="1"/>
  <c r="S8" i="14"/>
  <c r="S6" i="14"/>
  <c r="S7" i="14"/>
  <c r="S5" i="14"/>
  <c r="S4" i="14"/>
  <c r="R8" i="14"/>
  <c r="R6" i="14"/>
  <c r="R7" i="14"/>
  <c r="R5" i="14"/>
  <c r="R4" i="14"/>
  <c r="Q8" i="14"/>
  <c r="Q6" i="14"/>
  <c r="Q5" i="14"/>
  <c r="Q7" i="14"/>
  <c r="Q4" i="14"/>
  <c r="S6" i="5"/>
  <c r="S8" i="5"/>
  <c r="S5" i="5"/>
  <c r="S7" i="5"/>
  <c r="S4" i="5"/>
  <c r="R6" i="5"/>
  <c r="R8" i="5"/>
  <c r="R5" i="5"/>
  <c r="R7" i="5"/>
  <c r="R4" i="5"/>
  <c r="Q7" i="5"/>
  <c r="Q8" i="5"/>
  <c r="Q6" i="5"/>
  <c r="Q5" i="5"/>
  <c r="Q4" i="5"/>
  <c r="N8" i="15"/>
  <c r="N5" i="15"/>
  <c r="N7" i="15"/>
  <c r="N4" i="15"/>
  <c r="M6" i="15"/>
  <c r="L5" i="15"/>
  <c r="K7" i="15"/>
  <c r="K3" i="15"/>
  <c r="N6" i="7"/>
  <c r="N5" i="7"/>
  <c r="N7" i="7"/>
  <c r="N4" i="7"/>
  <c r="N3" i="7"/>
  <c r="M7" i="7"/>
  <c r="M3" i="7"/>
  <c r="K8" i="15" a="1"/>
  <c r="L4" i="15" a="1"/>
  <c r="N6" i="15" a="1"/>
  <c r="N3" i="15" a="1"/>
  <c r="L8" i="15" a="1"/>
  <c r="M5" i="7" a="1"/>
  <c r="K7" i="7" a="1"/>
  <c r="M4" i="7" a="1"/>
  <c r="L7" i="7" a="1"/>
  <c r="K4" i="7" a="1"/>
  <c r="K5" i="7" a="1"/>
  <c r="L7" i="15" a="1"/>
  <c r="L6" i="15" a="1"/>
  <c r="M8" i="15" a="1"/>
  <c r="M5" i="15" a="1"/>
  <c r="L3" i="15" a="1"/>
  <c r="L6" i="7" a="1"/>
  <c r="M3" i="15" a="1"/>
  <c r="K5" i="15" a="1"/>
  <c r="L5" i="7" a="1"/>
  <c r="K4" i="15" a="1"/>
  <c r="K6" i="15" a="1"/>
  <c r="L3" i="7" a="1"/>
  <c r="M4" i="15" a="1"/>
  <c r="L4" i="7" a="1"/>
  <c r="M6" i="7" a="1"/>
  <c r="M7" i="15" a="1"/>
  <c r="K6" i="7" a="1"/>
  <c r="M4" i="7" l="1"/>
  <c r="M8" i="15"/>
  <c r="K8" i="15"/>
  <c r="K4" i="7"/>
  <c r="L5" i="7"/>
  <c r="L8" i="15"/>
  <c r="K5" i="7"/>
  <c r="M5" i="7"/>
  <c r="K5" i="15"/>
  <c r="M5" i="15"/>
  <c r="M7" i="15"/>
  <c r="L3" i="15"/>
  <c r="N3" i="15"/>
  <c r="K6" i="15"/>
  <c r="L3" i="7"/>
  <c r="L6" i="7"/>
  <c r="L4" i="15"/>
  <c r="M4" i="15"/>
  <c r="L4" i="7"/>
  <c r="K4" i="15"/>
  <c r="L7" i="15"/>
  <c r="M6" i="7"/>
  <c r="L6" i="15"/>
  <c r="L7" i="7"/>
  <c r="K6" i="7"/>
  <c r="K7" i="7"/>
  <c r="N6" i="15"/>
  <c r="M3" i="15"/>
  <c r="C3" i="14"/>
  <c r="B3" i="14"/>
  <c r="C3" i="5"/>
  <c r="F3" i="5" s="1"/>
  <c r="O8" i="14" l="1"/>
  <c r="N8" i="14"/>
  <c r="K8" i="14"/>
  <c r="J8" i="14"/>
  <c r="G8" i="14"/>
  <c r="F8" i="14"/>
  <c r="O7" i="14"/>
  <c r="N7" i="14"/>
  <c r="K7" i="14"/>
  <c r="J7" i="14"/>
  <c r="O6" i="14"/>
  <c r="N6" i="14"/>
  <c r="K6" i="14"/>
  <c r="J6" i="14"/>
  <c r="O5" i="14"/>
  <c r="N5" i="14"/>
  <c r="K5" i="14"/>
  <c r="J5" i="14"/>
  <c r="O4" i="14"/>
  <c r="N4" i="14"/>
  <c r="K4" i="14"/>
  <c r="J4" i="14"/>
  <c r="O3" i="14"/>
  <c r="N3" i="14"/>
  <c r="K3" i="14"/>
  <c r="J3" i="14"/>
  <c r="G3" i="14"/>
  <c r="F3" i="14"/>
  <c r="C6" i="9"/>
  <c r="C5" i="9"/>
  <c r="C4" i="9"/>
  <c r="C3" i="9"/>
  <c r="S3" i="14" a="1"/>
  <c r="S3" i="5" a="1"/>
  <c r="Q3" i="14" a="1"/>
  <c r="R3" i="5" a="1"/>
  <c r="Q3" i="5" a="1"/>
  <c r="R3" i="14" a="1"/>
  <c r="Q3" i="14" l="1"/>
  <c r="S3" i="14"/>
  <c r="R3" i="5"/>
  <c r="S3" i="5"/>
  <c r="R3" i="14"/>
  <c r="Q3" i="5"/>
  <c r="X3" i="5"/>
  <c r="AK4" i="8"/>
  <c r="AK5" i="8"/>
  <c r="AK6" i="8"/>
  <c r="AK3" i="8"/>
  <c r="L3" i="8"/>
  <c r="L4" i="8"/>
  <c r="L5" i="8"/>
  <c r="L6" i="8"/>
  <c r="AG3" i="8"/>
  <c r="AH6" i="8" s="1"/>
  <c r="AB3" i="8"/>
  <c r="AC3" i="8" s="1"/>
  <c r="W3" i="8"/>
  <c r="X4" i="8" s="1"/>
  <c r="R3" i="8"/>
  <c r="S5" i="8" s="1"/>
  <c r="J3" i="5"/>
  <c r="N3" i="5"/>
  <c r="O4" i="5"/>
  <c r="O5" i="5"/>
  <c r="O6" i="5"/>
  <c r="O7" i="5"/>
  <c r="O8" i="5"/>
  <c r="N4" i="5"/>
  <c r="N5" i="5"/>
  <c r="N6" i="5"/>
  <c r="N7" i="5"/>
  <c r="N8" i="5"/>
  <c r="K4" i="5"/>
  <c r="K5" i="5"/>
  <c r="K6" i="5"/>
  <c r="K7" i="5"/>
  <c r="K8" i="5"/>
  <c r="J4" i="5"/>
  <c r="J5" i="5"/>
  <c r="J6" i="5"/>
  <c r="J7" i="5"/>
  <c r="J8" i="5"/>
  <c r="G4" i="5"/>
  <c r="G5" i="5"/>
  <c r="G6" i="5"/>
  <c r="G7" i="5"/>
  <c r="G8" i="5"/>
  <c r="F5" i="5"/>
  <c r="F6" i="5"/>
  <c r="F7" i="5"/>
  <c r="F8" i="5"/>
  <c r="G3" i="5"/>
  <c r="O3" i="5"/>
  <c r="K3" i="5"/>
  <c r="V3" i="5" l="1"/>
  <c r="S3" i="15"/>
  <c r="AP6" i="8" s="1"/>
  <c r="W3" i="5"/>
  <c r="X3" i="14"/>
  <c r="B6" i="8" s="1"/>
  <c r="P3" i="15"/>
  <c r="AP3" i="8" s="1"/>
  <c r="W3" i="14"/>
  <c r="V3" i="14"/>
  <c r="R3" i="15"/>
  <c r="AP5" i="8" s="1"/>
  <c r="Q3" i="15"/>
  <c r="AP4" i="8" s="1"/>
  <c r="S4" i="8"/>
  <c r="S3" i="8"/>
  <c r="S6" i="8"/>
  <c r="M3" i="8"/>
  <c r="N4" i="8" s="1"/>
  <c r="AL3" i="8"/>
  <c r="AM5" i="8" s="1"/>
  <c r="N6" i="8"/>
  <c r="X3" i="8"/>
  <c r="AH5" i="8"/>
  <c r="X6" i="8"/>
  <c r="AH4" i="8"/>
  <c r="AC6" i="8"/>
  <c r="AC5" i="8"/>
  <c r="AC4" i="8"/>
  <c r="AH3" i="8"/>
  <c r="X5" i="8"/>
  <c r="N5" i="8" l="1"/>
  <c r="B4" i="8"/>
  <c r="B5" i="8"/>
  <c r="B3" i="8"/>
  <c r="AQ3" i="8"/>
  <c r="AR5" i="8" s="1"/>
  <c r="N3" i="8"/>
  <c r="AM4" i="8"/>
  <c r="AM6" i="8"/>
  <c r="AM3" i="8"/>
  <c r="C3" i="8" l="1"/>
  <c r="D4" i="8" s="1"/>
  <c r="AR4" i="8"/>
  <c r="AR6" i="8"/>
  <c r="AR3" i="8"/>
  <c r="D6" i="8" l="1"/>
  <c r="D5" i="8"/>
  <c r="D3" i="8"/>
  <c r="C8" i="7" l="1"/>
  <c r="K8" i="7" a="1"/>
  <c r="K8" i="7" l="1"/>
  <c r="P3" i="7" s="1"/>
  <c r="G3" i="8" s="1"/>
  <c r="M8" i="7" a="1"/>
  <c r="L8" i="7" a="1"/>
  <c r="N8" i="7" a="1"/>
  <c r="N8" i="7" l="1"/>
  <c r="S3" i="7" s="1"/>
  <c r="G6" i="8" s="1"/>
  <c r="L8" i="7"/>
  <c r="Q3" i="7" s="1"/>
  <c r="G4" i="8" s="1"/>
  <c r="M8" i="7"/>
  <c r="R3" i="7" s="1"/>
  <c r="G5" i="8" s="1"/>
  <c r="H3" i="8" l="1"/>
  <c r="I4" i="8" s="1"/>
  <c r="BH4" i="8" s="1"/>
  <c r="I6" i="8" l="1"/>
  <c r="BH6" i="8" s="1"/>
  <c r="I3" i="8"/>
  <c r="BH3" i="8" s="1"/>
  <c r="I5" i="8"/>
  <c r="BH5" i="8" s="1"/>
  <c r="BI4" i="8" a="1"/>
  <c r="BI6" i="8" a="1"/>
  <c r="BI3" i="8" a="1"/>
  <c r="BI5" i="8" a="1"/>
  <c r="BI5" i="8" l="1"/>
  <c r="BI3" i="8"/>
  <c r="BI6" i="8"/>
  <c r="BI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<sst xmlns="http://schemas.openxmlformats.org/spreadsheetml/2006/main" count="220" uniqueCount="59">
  <si>
    <t>z_ср [доли]</t>
  </si>
  <si>
    <t>Δz [доли]</t>
  </si>
  <si>
    <t>Физ.</t>
  </si>
  <si>
    <t>Сети Петри</t>
  </si>
  <si>
    <t>Марков</t>
  </si>
  <si>
    <t>Монте-Карло</t>
  </si>
  <si>
    <t>Абс.погр. [доли]</t>
  </si>
  <si>
    <t>Относ.погр. [%]</t>
  </si>
  <si>
    <t>t_ср [с]</t>
  </si>
  <si>
    <t>Δt [с]</t>
  </si>
  <si>
    <t>Δt[с]</t>
  </si>
  <si>
    <t>ΣМарков</t>
  </si>
  <si>
    <t>ΣСети Петри</t>
  </si>
  <si>
    <t>ΣМонте-Карло</t>
  </si>
  <si>
    <t>ΣФиз.</t>
  </si>
  <si>
    <t>https://www.softwareadvice.com/simulation/anylogic-profile/vs/matlab/</t>
  </si>
  <si>
    <t>А1 - Физ.</t>
  </si>
  <si>
    <t>А2 - Марков</t>
  </si>
  <si>
    <t>А3 - Сети Петри</t>
  </si>
  <si>
    <t>А4 - Монте-Карло</t>
  </si>
  <si>
    <t>Ki</t>
  </si>
  <si>
    <t>Ri</t>
  </si>
  <si>
    <t>k1 - Баллы точности с физ. (max)</t>
  </si>
  <si>
    <t>k2 - Баллы времени исполнения (max)</t>
  </si>
  <si>
    <t>k3 - Рейтинг среды моделирования (max)</t>
  </si>
  <si>
    <t>k4 - Наличие нац. cтандарта (max)</t>
  </si>
  <si>
    <t>Оценка</t>
  </si>
  <si>
    <t>Макс</t>
  </si>
  <si>
    <t>Норм_оценка</t>
  </si>
  <si>
    <t>Вес</t>
  </si>
  <si>
    <t>Степень</t>
  </si>
  <si>
    <t>k5 - Изображение топологии сети (max)</t>
  </si>
  <si>
    <t>k6 - Число входных параметров (min)</t>
  </si>
  <si>
    <t>k7 - Наличие связи с другим видом (min)</t>
  </si>
  <si>
    <t>Мин</t>
  </si>
  <si>
    <t>k8 - Место языка программирования (min)</t>
  </si>
  <si>
    <t>Среда моделирования</t>
  </si>
  <si>
    <t>Название</t>
  </si>
  <si>
    <t>AnyLogic</t>
  </si>
  <si>
    <t>MatLab</t>
  </si>
  <si>
    <t>Язык программирования</t>
  </si>
  <si>
    <t>Java</t>
  </si>
  <si>
    <t>Место</t>
  </si>
  <si>
    <t>https://www.tiobe.com/tiobe-index/</t>
  </si>
  <si>
    <t>k9 - Баллы используемой памяти (max)</t>
  </si>
  <si>
    <t>m_ср [МБ]</t>
  </si>
  <si>
    <t>Δm [МБ]</t>
  </si>
  <si>
    <t>Серия экспериментов\статистика</t>
  </si>
  <si>
    <t>Альтернативы\критерии</t>
  </si>
  <si>
    <t>k10 -Критичность использования специализированного ПО (min)</t>
  </si>
  <si>
    <t>k11 -Критичность использования cуперкомпьютера (min)</t>
  </si>
  <si>
    <t>Спец. 1</t>
  </si>
  <si>
    <t>Спец. 2</t>
  </si>
  <si>
    <t>Спец. 3</t>
  </si>
  <si>
    <t>Спец. 4</t>
  </si>
  <si>
    <t xml:space="preserve"> Спец. 5</t>
  </si>
  <si>
    <t xml:space="preserve"> Спец. 6</t>
  </si>
  <si>
    <t xml:space="preserve"> Спец. 7</t>
  </si>
  <si>
    <t xml:space="preserve"> Спец.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</si>
</sst>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BBF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3">
    <xf numFmtId="0" fontId="0" fillId="0" borderId="0" xfId="0"/>
    <xf numFmtId="164" fontId="0" fillId="3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3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" fontId="1" fillId="4" borderId="5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4" xfId="0" applyNumberFormat="1" applyFont="1" applyFill="1" applyBorder="1" applyAlignment="1">
      <alignment horizontal="left"/>
    </xf>
    <xf numFmtId="164" fontId="1" fillId="2" borderId="3" xfId="0" applyNumberFormat="1" applyFont="1" applyFill="1" applyBorder="1" applyAlignment="1">
      <alignment horizontal="left"/>
    </xf>
    <xf numFmtId="164" fontId="1" fillId="3" borderId="2" xfId="0" applyNumberFormat="1" applyFont="1" applyFill="1" applyBorder="1" applyAlignment="1">
      <alignment horizontal="left"/>
    </xf>
    <xf numFmtId="164" fontId="1" fillId="3" borderId="4" xfId="0" applyNumberFormat="1" applyFont="1" applyFill="1" applyBorder="1" applyAlignment="1">
      <alignment horizontal="left"/>
    </xf>
    <xf numFmtId="164" fontId="1" fillId="3" borderId="3" xfId="0" applyNumberFormat="1" applyFont="1" applyFill="1" applyBorder="1" applyAlignment="1">
      <alignment horizontal="left"/>
    </xf>
    <xf numFmtId="164" fontId="1" fillId="4" borderId="2" xfId="0" applyNumberFormat="1" applyFont="1" applyFill="1" applyBorder="1" applyAlignment="1">
      <alignment horizontal="left"/>
    </xf>
    <xf numFmtId="164" fontId="1" fillId="4" borderId="4" xfId="0" applyNumberFormat="1" applyFont="1" applyFill="1" applyBorder="1" applyAlignment="1">
      <alignment horizontal="left"/>
    </xf>
    <xf numFmtId="164" fontId="1" fillId="4" borderId="3" xfId="0" applyNumberFormat="1" applyFont="1" applyFill="1" applyBorder="1" applyAlignment="1">
      <alignment horizontal="left"/>
    </xf>
    <xf numFmtId="1" fontId="1" fillId="4" borderId="2" xfId="0" applyNumberFormat="1" applyFont="1" applyFill="1" applyBorder="1" applyAlignment="1">
      <alignment horizontal="left"/>
    </xf>
    <xf numFmtId="1" fontId="1" fillId="4" borderId="4" xfId="0" applyNumberFormat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left"/>
    </xf>
    <xf numFmtId="1" fontId="1" fillId="3" borderId="4" xfId="0" applyNumberFormat="1" applyFont="1" applyFill="1" applyBorder="1" applyAlignment="1">
      <alignment horizontal="left"/>
    </xf>
    <xf numFmtId="164" fontId="1" fillId="5" borderId="1" xfId="0" applyNumberFormat="1" applyFont="1" applyFill="1" applyBorder="1" applyAlignment="1">
      <alignment horizontal="left"/>
    </xf>
    <xf numFmtId="1" fontId="1" fillId="5" borderId="1" xfId="0" applyNumberFormat="1" applyFont="1" applyFill="1" applyBorder="1" applyAlignment="1">
      <alignment horizontal="left"/>
    </xf>
    <xf numFmtId="0" fontId="1" fillId="0" borderId="13" xfId="0" applyFont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1" fillId="6" borderId="10" xfId="0" applyNumberFormat="1" applyFont="1" applyFill="1" applyBorder="1" applyAlignment="1">
      <alignment horizontal="center"/>
    </xf>
    <xf numFmtId="164" fontId="1" fillId="6" borderId="4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164" fontId="1" fillId="6" borderId="5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6" xfId="0" applyNumberFormat="1" applyFon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1" fillId="6" borderId="1" xfId="0" applyNumberFormat="1" applyFon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1" applyBorder="1" applyAlignment="1">
      <alignment horizontal="center"/>
    </xf>
    <xf numFmtId="164" fontId="0" fillId="2" borderId="3" xfId="0" applyNumberFormat="1" applyFill="1" applyBorder="1" applyAlignment="1">
      <alignment horizontal="left"/>
    </xf>
    <xf numFmtId="164" fontId="1" fillId="0" borderId="15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2" fillId="0" borderId="13" xfId="1" applyNumberForma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 wrapText="1"/>
    </xf>
    <xf numFmtId="0" fontId="1" fillId="6" borderId="15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DBBFF3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60;&#1080;&#1079;.xlsx" TargetMode="External"/><Relationship Id="rId1" Type="http://schemas.openxmlformats.org/officeDocument/2006/relationships/externalLinkPath" Target="&#1060;&#1080;&#1079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2;&#1072;&#1088;&#1082;&#1086;&#1074;.xlsx" TargetMode="External"/><Relationship Id="rId1" Type="http://schemas.openxmlformats.org/officeDocument/2006/relationships/externalLinkPath" Target="&#1052;&#1072;&#1088;&#1082;&#1086;&#1074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5;&#1077;&#1090;&#1088;&#1080;.xlsx" TargetMode="External"/><Relationship Id="rId1" Type="http://schemas.openxmlformats.org/officeDocument/2006/relationships/externalLinkPath" Target="&#1055;&#1077;&#1090;&#1088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2;&#1086;&#1085;&#1090;&#1077;-&#1050;&#1072;&#1088;&#1083;&#1086;.xlsx" TargetMode="External"/><Relationship Id="rId1" Type="http://schemas.openxmlformats.org/officeDocument/2006/relationships/externalLinkPath" Target="&#1052;&#1086;&#1085;&#1090;&#1077;-&#1050;&#1072;&#1088;&#1083;&#108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0_1"/>
      <sheetName val="T0_12"/>
      <sheetName val="Tв_23"/>
      <sheetName val="Tв_3"/>
      <sheetName val="l_12"/>
      <sheetName val="l_13"/>
      <sheetName val="l_23"/>
      <sheetName val="m_21"/>
      <sheetName val="m_31"/>
      <sheetName val="m_32"/>
      <sheetName val="Время"/>
      <sheetName val="Память"/>
      <sheetName val="Кг_s1"/>
      <sheetName val="Кг_s12"/>
      <sheetName val="До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G3">
            <v>155.23766666666668</v>
          </cell>
          <cell r="S3">
            <v>9.3975495196590479</v>
          </cell>
        </row>
        <row r="8">
          <cell r="G8">
            <v>146.49466666666669</v>
          </cell>
          <cell r="S8">
            <v>7.0440424038883762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146.71599999999998</v>
          </cell>
          <cell r="S13">
            <v>3.8526568239766168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161.822</v>
          </cell>
          <cell r="S18">
            <v>5.3511514661176696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158.21199999999999</v>
          </cell>
          <cell r="S23">
            <v>5.164280904766243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146.71599999999998</v>
          </cell>
          <cell r="S28">
            <v>3.8526568239766168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161.822</v>
          </cell>
          <cell r="S33">
            <v>5.3511514661176696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146.49466666666669</v>
          </cell>
          <cell r="S38">
            <v>7.0440424038883762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172.7353333333333</v>
          </cell>
          <cell r="S43">
            <v>13.526013075100064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174.37733333333335</v>
          </cell>
          <cell r="S48">
            <v>4.7270733572099823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172.47366666666667</v>
          </cell>
          <cell r="S53">
            <v>6.8177004369345529</v>
          </cell>
        </row>
        <row r="54">
          <cell r="G54">
            <v>1401.6890000000001</v>
          </cell>
          <cell r="S54">
            <v>24.902444709773736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179.76966666666667</v>
          </cell>
          <cell r="S58">
            <v>7.971469126272245</v>
          </cell>
        </row>
        <row r="59">
          <cell r="G59">
            <v>1404.7733333333333</v>
          </cell>
          <cell r="S59">
            <v>25.648288586462044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172.07966666666667</v>
          </cell>
          <cell r="S63">
            <v>5.8863410449767075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177.13766666666666</v>
          </cell>
          <cell r="S68">
            <v>6.9879768794535737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147.50200000000001</v>
          </cell>
          <cell r="S73">
            <v>7.1147919198900782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161.822</v>
          </cell>
          <cell r="S78">
            <v>5.3511514661176696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154.274</v>
          </cell>
          <cell r="S81">
            <v>18.293777306231743</v>
          </cell>
        </row>
        <row r="82">
          <cell r="G82">
            <v>154.524</v>
          </cell>
          <cell r="S82">
            <v>1.9658055626129478</v>
          </cell>
        </row>
        <row r="83">
          <cell r="G83">
            <v>128.62899999999999</v>
          </cell>
          <cell r="S83">
            <v>22.698930238890107</v>
          </cell>
        </row>
        <row r="84">
          <cell r="G84">
            <v>125.17333333333333</v>
          </cell>
          <cell r="S84">
            <v>5.9078225295883042</v>
          </cell>
        </row>
        <row r="85">
          <cell r="G85">
            <v>142.01533333333333</v>
          </cell>
          <cell r="S85">
            <v>4.5706905460529281</v>
          </cell>
        </row>
        <row r="86">
          <cell r="G86">
            <v>163.53299999999999</v>
          </cell>
          <cell r="S86">
            <v>8.3408986987813893</v>
          </cell>
        </row>
        <row r="87">
          <cell r="G87">
            <v>125.05399999999999</v>
          </cell>
          <cell r="S87">
            <v>5.8390754328061236</v>
          </cell>
        </row>
        <row r="88">
          <cell r="G88">
            <v>99.165000000000006</v>
          </cell>
          <cell r="S88">
            <v>22.358295370920676</v>
          </cell>
        </row>
      </sheetData>
      <sheetData sheetId="11">
        <row r="3">
          <cell r="G3">
            <v>1244</v>
          </cell>
          <cell r="S3">
            <v>24.826061575153908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1246</v>
          </cell>
          <cell r="S8">
            <v>31.106965993702012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1244.3333333333333</v>
          </cell>
          <cell r="S13">
            <v>27.346257107285776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1250</v>
          </cell>
          <cell r="S18">
            <v>29.791273890184691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1247</v>
          </cell>
          <cell r="S23">
            <v>28.630810909461392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1246</v>
          </cell>
          <cell r="S28">
            <v>31.106965993702012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1244.3333333333333</v>
          </cell>
          <cell r="S33">
            <v>27.346257107285776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1249.3333333333333</v>
          </cell>
          <cell r="S38">
            <v>40.363033142275675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1246.6666666666667</v>
          </cell>
          <cell r="S43">
            <v>23.595644607521201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1243</v>
          </cell>
          <cell r="S48">
            <v>27.308667732669299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1241.6666666666667</v>
          </cell>
          <cell r="S53">
            <v>23.595644607521201</v>
          </cell>
        </row>
        <row r="54">
          <cell r="G54">
            <v>1758.6666666666667</v>
          </cell>
          <cell r="S54">
            <v>70.233333333333334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1249.6666666666667</v>
          </cell>
          <cell r="S58">
            <v>21.114318469807269</v>
          </cell>
        </row>
        <row r="59">
          <cell r="G59">
            <v>1766</v>
          </cell>
          <cell r="S59">
            <v>63.342955409421812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1245</v>
          </cell>
          <cell r="S63">
            <v>22.343455417638516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1267.3333333333333</v>
          </cell>
          <cell r="S68">
            <v>65.792966527163415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1249.3333333333333</v>
          </cell>
          <cell r="S73">
            <v>40.363033142275675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1244.3333333333333</v>
          </cell>
          <cell r="S78">
            <v>27.346257107285776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1250</v>
          </cell>
          <cell r="S81">
            <v>24.826061575153908</v>
          </cell>
        </row>
        <row r="82">
          <cell r="G82">
            <v>1245</v>
          </cell>
          <cell r="S82">
            <v>27.308667732669299</v>
          </cell>
        </row>
        <row r="83">
          <cell r="G83">
            <v>1253</v>
          </cell>
          <cell r="S83">
            <v>15.101103712422258</v>
          </cell>
        </row>
        <row r="84">
          <cell r="G84">
            <v>1241.6666666666667</v>
          </cell>
          <cell r="S84">
            <v>12.246405368288462</v>
          </cell>
        </row>
        <row r="85">
          <cell r="G85">
            <v>1258.6666666666667</v>
          </cell>
          <cell r="S85">
            <v>54.183033424782622</v>
          </cell>
        </row>
        <row r="86">
          <cell r="G86">
            <v>1250</v>
          </cell>
          <cell r="S86">
            <v>28.630810909461392</v>
          </cell>
        </row>
        <row r="87">
          <cell r="G87">
            <v>1250</v>
          </cell>
          <cell r="S87">
            <v>40.642014385772434</v>
          </cell>
        </row>
        <row r="88">
          <cell r="G88">
            <v>1239.3333333333333</v>
          </cell>
          <cell r="S88">
            <v>15.766666666666666</v>
          </cell>
        </row>
      </sheetData>
      <sheetData sheetId="12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12">
          <cell r="D12">
            <v>1</v>
          </cell>
          <cell r="I12">
            <v>0</v>
          </cell>
        </row>
        <row r="17">
          <cell r="D17">
            <v>0.93407780964224163</v>
          </cell>
          <cell r="I17">
            <v>0.27029839581291781</v>
          </cell>
        </row>
        <row r="22">
          <cell r="D22">
            <v>0.98406122288656095</v>
          </cell>
          <cell r="I22">
            <v>3.792456734900173E-2</v>
          </cell>
        </row>
        <row r="27">
          <cell r="D27">
            <v>0.99509801661048369</v>
          </cell>
          <cell r="I27">
            <v>2.1409305045132269E-2</v>
          </cell>
        </row>
        <row r="32">
          <cell r="D32">
            <v>0.99233058249835704</v>
          </cell>
          <cell r="I32">
            <v>3.3408837392875514E-2</v>
          </cell>
        </row>
        <row r="37">
          <cell r="D37">
            <v>0.96625504971354281</v>
          </cell>
          <cell r="I37">
            <v>8.8082117426413389E-3</v>
          </cell>
        </row>
        <row r="42">
          <cell r="D42">
            <v>1</v>
          </cell>
          <cell r="I42">
            <v>0</v>
          </cell>
        </row>
        <row r="47">
          <cell r="D47">
            <v>1</v>
          </cell>
          <cell r="I47">
            <v>0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62">
          <cell r="D62">
            <v>0.99363158520063111</v>
          </cell>
          <cell r="I62">
            <v>2.7773566292601932E-2</v>
          </cell>
        </row>
        <row r="67">
          <cell r="D67">
            <v>0.95921374911562929</v>
          </cell>
          <cell r="I67">
            <v>2.5253091213205462E-2</v>
          </cell>
        </row>
        <row r="72">
          <cell r="D72">
            <v>0.9825794184622092</v>
          </cell>
          <cell r="I72">
            <v>4.4431283257467882E-2</v>
          </cell>
        </row>
        <row r="77">
          <cell r="D77">
            <v>0.99300939114425524</v>
          </cell>
          <cell r="I77">
            <v>3.132317182053642E-2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0.69260006727211565</v>
          </cell>
          <cell r="I82">
            <v>0.19767306984655311</v>
          </cell>
        </row>
        <row r="83">
          <cell r="D83">
            <v>0.67463626685592626</v>
          </cell>
          <cell r="I83">
            <v>0.10995865870470983</v>
          </cell>
        </row>
        <row r="84">
          <cell r="D84">
            <v>0.95249794501780982</v>
          </cell>
          <cell r="I84">
            <v>2.9169537689868188E-4</v>
          </cell>
        </row>
        <row r="85">
          <cell r="D85">
            <v>0.96319885604016997</v>
          </cell>
          <cell r="I85">
            <v>3.8469649108373465E-2</v>
          </cell>
        </row>
        <row r="86">
          <cell r="D86">
            <v>0.81334333210865106</v>
          </cell>
          <cell r="I86">
            <v>0.11678846481691314</v>
          </cell>
        </row>
        <row r="87">
          <cell r="D87">
            <v>0.61640052431554571</v>
          </cell>
          <cell r="I87">
            <v>0.19832614144616162</v>
          </cell>
        </row>
      </sheetData>
      <sheetData sheetId="13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12">
          <cell r="D12">
            <v>1</v>
          </cell>
          <cell r="I12">
            <v>0</v>
          </cell>
        </row>
        <row r="17">
          <cell r="D17">
            <v>0.93407780964224163</v>
          </cell>
          <cell r="I17">
            <v>0.27029839581291781</v>
          </cell>
        </row>
        <row r="22">
          <cell r="D22">
            <v>1</v>
          </cell>
          <cell r="I22">
            <v>0</v>
          </cell>
        </row>
        <row r="27">
          <cell r="D27">
            <v>1</v>
          </cell>
          <cell r="I27">
            <v>0</v>
          </cell>
        </row>
        <row r="32">
          <cell r="D32">
            <v>1</v>
          </cell>
          <cell r="I32">
            <v>0</v>
          </cell>
        </row>
        <row r="37">
          <cell r="D37">
            <v>1</v>
          </cell>
          <cell r="I37">
            <v>0</v>
          </cell>
        </row>
        <row r="42">
          <cell r="D42">
            <v>1</v>
          </cell>
          <cell r="I42">
            <v>0</v>
          </cell>
        </row>
        <row r="47">
          <cell r="D47">
            <v>1</v>
          </cell>
          <cell r="I47">
            <v>0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62">
          <cell r="D62">
            <v>1</v>
          </cell>
          <cell r="I62">
            <v>0</v>
          </cell>
        </row>
        <row r="67">
          <cell r="D67">
            <v>1</v>
          </cell>
          <cell r="I67">
            <v>0</v>
          </cell>
        </row>
        <row r="72">
          <cell r="D72">
            <v>1</v>
          </cell>
          <cell r="I72">
            <v>0</v>
          </cell>
        </row>
        <row r="77">
          <cell r="D77">
            <v>1</v>
          </cell>
          <cell r="I77">
            <v>0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0.8468451536844982</v>
          </cell>
          <cell r="I82">
            <v>0.13594658225371029</v>
          </cell>
        </row>
        <row r="83">
          <cell r="D83">
            <v>0.87245034292330981</v>
          </cell>
          <cell r="I83">
            <v>4.2498556665950378E-2</v>
          </cell>
        </row>
        <row r="84">
          <cell r="D84">
            <v>1</v>
          </cell>
          <cell r="I84">
            <v>0</v>
          </cell>
        </row>
        <row r="85">
          <cell r="D85">
            <v>0.99920898270745739</v>
          </cell>
          <cell r="I85">
            <v>3.4663077875842223E-3</v>
          </cell>
        </row>
        <row r="86">
          <cell r="D86">
            <v>0.82177843432841091</v>
          </cell>
          <cell r="I86">
            <v>0.11094443425691701</v>
          </cell>
        </row>
        <row r="87">
          <cell r="D87">
            <v>0.62402618280146083</v>
          </cell>
          <cell r="I87">
            <v>0.20837802940781933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ремя"/>
      <sheetName val="Память"/>
      <sheetName val="Кг_s1"/>
      <sheetName val="Кг_s12"/>
    </sheetNames>
    <sheetDataSet>
      <sheetData sheetId="0">
        <row r="3">
          <cell r="G3">
            <v>1.2</v>
          </cell>
          <cell r="S3">
            <v>0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1.2</v>
          </cell>
          <cell r="S8">
            <v>0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11.333333333333334</v>
          </cell>
          <cell r="S13">
            <v>0.62477551524082975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2.9</v>
          </cell>
          <cell r="S18">
            <v>0.43000000000000038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2.8333333333333335</v>
          </cell>
          <cell r="S23">
            <v>0.28666666666666629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2.8333333333333335</v>
          </cell>
          <cell r="S28">
            <v>0.14333333333333348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2.8333333333333335</v>
          </cell>
          <cell r="S33">
            <v>0.14333333333333348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4</v>
          </cell>
          <cell r="S38">
            <v>0.24826061575153877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1.2</v>
          </cell>
          <cell r="S43">
            <v>0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1.2</v>
          </cell>
          <cell r="S48">
            <v>0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1.2</v>
          </cell>
          <cell r="S53">
            <v>0</v>
          </cell>
        </row>
        <row r="54">
          <cell r="G54">
            <v>1.2</v>
          </cell>
          <cell r="S54">
            <v>0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1.2</v>
          </cell>
          <cell r="S58">
            <v>0</v>
          </cell>
        </row>
        <row r="59">
          <cell r="G59">
            <v>1.2</v>
          </cell>
          <cell r="S59">
            <v>0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2.8333333333333335</v>
          </cell>
          <cell r="S63">
            <v>0.14333333333333348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1.6000000000000003</v>
          </cell>
          <cell r="S68">
            <v>0.24826061575153904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1.6000000000000003</v>
          </cell>
          <cell r="S73">
            <v>6.7513975723402323E-16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7.2</v>
          </cell>
          <cell r="S78">
            <v>0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1.2</v>
          </cell>
          <cell r="S81">
            <v>0</v>
          </cell>
        </row>
        <row r="82">
          <cell r="G82">
            <v>1.2</v>
          </cell>
          <cell r="S82">
            <v>0</v>
          </cell>
        </row>
        <row r="83">
          <cell r="G83">
            <v>2.7999999999999994</v>
          </cell>
          <cell r="S83">
            <v>1.3502795144680465E-15</v>
          </cell>
        </row>
        <row r="84">
          <cell r="G84">
            <v>2.7999999999999994</v>
          </cell>
          <cell r="S84">
            <v>1.3502795144680465E-15</v>
          </cell>
        </row>
        <row r="85">
          <cell r="G85">
            <v>3.9</v>
          </cell>
          <cell r="S85">
            <v>0</v>
          </cell>
        </row>
        <row r="86">
          <cell r="G86">
            <v>3.9</v>
          </cell>
          <cell r="S86">
            <v>0</v>
          </cell>
        </row>
        <row r="87">
          <cell r="G87">
            <v>2.7999999999999994</v>
          </cell>
          <cell r="S87">
            <v>1.3502795144680465E-15</v>
          </cell>
        </row>
        <row r="88">
          <cell r="G88">
            <v>3.7999999999999994</v>
          </cell>
          <cell r="S88">
            <v>1.3502795144680465E-15</v>
          </cell>
        </row>
      </sheetData>
      <sheetData sheetId="1">
        <row r="3">
          <cell r="G3">
            <v>50</v>
          </cell>
          <cell r="S3">
            <v>12.900000000000002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50</v>
          </cell>
          <cell r="S8">
            <v>12.900000000000002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53</v>
          </cell>
          <cell r="S13">
            <v>17.378243102607737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48.333333333333336</v>
          </cell>
          <cell r="S18">
            <v>21.114318469807273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56</v>
          </cell>
          <cell r="S23">
            <v>17.902327595408739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56.666666666666664</v>
          </cell>
          <cell r="S28">
            <v>15.960924506779397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56.666666666666664</v>
          </cell>
          <cell r="S33">
            <v>15.960924506779397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58.333333333333336</v>
          </cell>
          <cell r="S38">
            <v>16.152846326404656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50</v>
          </cell>
          <cell r="S43">
            <v>12.900000000000002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50</v>
          </cell>
          <cell r="S48">
            <v>12.900000000000002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50</v>
          </cell>
          <cell r="S53">
            <v>12.900000000000002</v>
          </cell>
        </row>
        <row r="54">
          <cell r="G54">
            <v>50</v>
          </cell>
          <cell r="S54">
            <v>12.900000000000002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50</v>
          </cell>
          <cell r="S58">
            <v>12.900000000000002</v>
          </cell>
        </row>
        <row r="59">
          <cell r="G59">
            <v>50</v>
          </cell>
          <cell r="S59">
            <v>12.900000000000002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55.333333333333336</v>
          </cell>
          <cell r="S63">
            <v>18.797990436332402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60.666666666666664</v>
          </cell>
          <cell r="S68">
            <v>21.690269195604234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55</v>
          </cell>
          <cell r="S73">
            <v>13.822566090756569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70.666666666666671</v>
          </cell>
          <cell r="S78">
            <v>22.389382404265746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50</v>
          </cell>
          <cell r="S81">
            <v>12.900000000000002</v>
          </cell>
        </row>
        <row r="82">
          <cell r="G82">
            <v>50</v>
          </cell>
          <cell r="S82">
            <v>12.900000000000002</v>
          </cell>
        </row>
        <row r="83">
          <cell r="G83">
            <v>57.333333333333336</v>
          </cell>
          <cell r="S83">
            <v>17.437252586854896</v>
          </cell>
        </row>
        <row r="84">
          <cell r="G84">
            <v>56</v>
          </cell>
          <cell r="S84">
            <v>16.279537257960783</v>
          </cell>
        </row>
        <row r="85">
          <cell r="G85">
            <v>59</v>
          </cell>
          <cell r="S85">
            <v>12.900000000000002</v>
          </cell>
        </row>
        <row r="86">
          <cell r="G86">
            <v>65.666666666666671</v>
          </cell>
          <cell r="S86">
            <v>27.458716486957492</v>
          </cell>
        </row>
        <row r="87">
          <cell r="G87">
            <v>65.666666666666671</v>
          </cell>
          <cell r="S87">
            <v>27.458716486957492</v>
          </cell>
        </row>
        <row r="88">
          <cell r="G88">
            <v>61</v>
          </cell>
          <cell r="S88">
            <v>22.343455417638516</v>
          </cell>
        </row>
      </sheetData>
      <sheetData sheetId="2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0.5</v>
          </cell>
        </row>
        <row r="27">
          <cell r="B27">
            <v>0.5</v>
          </cell>
        </row>
        <row r="32">
          <cell r="B32">
            <v>0.5</v>
          </cell>
        </row>
        <row r="37">
          <cell r="B37">
            <v>0.5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0.5</v>
          </cell>
        </row>
        <row r="67">
          <cell r="B67">
            <v>0.5</v>
          </cell>
        </row>
        <row r="72">
          <cell r="B72">
            <v>0.5</v>
          </cell>
        </row>
        <row r="77">
          <cell r="B77">
            <v>2.0000000000000001E-4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0.32200000000000001</v>
          </cell>
        </row>
        <row r="83">
          <cell r="B83">
            <v>0.317</v>
          </cell>
        </row>
        <row r="84">
          <cell r="B84">
            <v>0.5</v>
          </cell>
        </row>
        <row r="85">
          <cell r="B85">
            <v>0.33300000000000002</v>
          </cell>
        </row>
        <row r="86">
          <cell r="B86">
            <v>0.36099999999999999</v>
          </cell>
        </row>
        <row r="87">
          <cell r="B87">
            <v>0.375</v>
          </cell>
        </row>
      </sheetData>
      <sheetData sheetId="3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1</v>
          </cell>
        </row>
        <row r="27">
          <cell r="B27">
            <v>1</v>
          </cell>
        </row>
        <row r="32">
          <cell r="B32">
            <v>1</v>
          </cell>
        </row>
        <row r="37">
          <cell r="B37">
            <v>1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1</v>
          </cell>
        </row>
        <row r="67">
          <cell r="B67">
            <v>1</v>
          </cell>
        </row>
        <row r="72">
          <cell r="B72">
            <v>1</v>
          </cell>
        </row>
        <row r="77">
          <cell r="B77">
            <v>5.0000000000000001E-4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0.64600000000000002</v>
          </cell>
        </row>
        <row r="83">
          <cell r="B83">
            <v>0.624</v>
          </cell>
        </row>
        <row r="84">
          <cell r="B84">
            <v>1</v>
          </cell>
        </row>
        <row r="85">
          <cell r="B85">
            <v>0.66700000000000004</v>
          </cell>
        </row>
        <row r="86">
          <cell r="B86">
            <v>0.68</v>
          </cell>
        </row>
        <row r="87">
          <cell r="B87">
            <v>0.68700000000000006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T_P1"/>
      <sheetName val="wT_P2"/>
      <sheetName val="aS_P1"/>
      <sheetName val="aS_P2"/>
      <sheetName val="T"/>
      <sheetName val="Кг_s1"/>
      <sheetName val="Кг_s12"/>
      <sheetName val="Время"/>
      <sheetName val="Память"/>
    </sheetNames>
    <sheetDataSet>
      <sheetData sheetId="0"/>
      <sheetData sheetId="1"/>
      <sheetData sheetId="2"/>
      <sheetData sheetId="3"/>
      <sheetData sheetId="4"/>
      <sheetData sheetId="5">
        <row r="2">
          <cell r="B2">
            <v>0.36261102831594633</v>
          </cell>
          <cell r="F2">
            <v>3.7160469338446439E-2</v>
          </cell>
        </row>
        <row r="7">
          <cell r="B7">
            <v>0.36261102831594633</v>
          </cell>
          <cell r="F7">
            <v>3.7160469338446439E-2</v>
          </cell>
        </row>
        <row r="12">
          <cell r="B12">
            <v>0.36261102831594633</v>
          </cell>
          <cell r="F12">
            <v>3.7160469338446439E-2</v>
          </cell>
        </row>
        <row r="17">
          <cell r="B17">
            <v>0.49807528207073093</v>
          </cell>
          <cell r="F17">
            <v>0.49807532712325897</v>
          </cell>
        </row>
        <row r="22">
          <cell r="B22">
            <v>0.49837644160788269</v>
          </cell>
          <cell r="F22">
            <v>0.49837647365306215</v>
          </cell>
        </row>
        <row r="27">
          <cell r="B27">
            <v>0.49807528207073093</v>
          </cell>
          <cell r="F27">
            <v>0.49807532712325897</v>
          </cell>
        </row>
        <row r="32">
          <cell r="B32">
            <v>0.49807528207073093</v>
          </cell>
          <cell r="F32">
            <v>0.49807532712325897</v>
          </cell>
        </row>
        <row r="37">
          <cell r="B37">
            <v>0.49664251047137825</v>
          </cell>
          <cell r="F37">
            <v>0.49664264916564171</v>
          </cell>
        </row>
        <row r="42">
          <cell r="B42">
            <v>0.36261102831594633</v>
          </cell>
          <cell r="F42">
            <v>3.7160469338446439E-2</v>
          </cell>
        </row>
        <row r="47">
          <cell r="B47">
            <v>0.36261102831594633</v>
          </cell>
          <cell r="F47">
            <v>3.7160469338446439E-2</v>
          </cell>
        </row>
        <row r="52">
          <cell r="B52">
            <v>0.36261102831594633</v>
          </cell>
          <cell r="F52">
            <v>3.7160469338446439E-2</v>
          </cell>
        </row>
        <row r="53">
          <cell r="B53">
            <v>0.36261102831594633</v>
          </cell>
          <cell r="F53">
            <v>3.7160469338446439E-2</v>
          </cell>
        </row>
        <row r="57">
          <cell r="B57">
            <v>0.36261102831594633</v>
          </cell>
          <cell r="F57">
            <v>3.7160469338446439E-2</v>
          </cell>
        </row>
        <row r="58">
          <cell r="B58">
            <v>0.36261102831594633</v>
          </cell>
          <cell r="F58">
            <v>3.7160469338446439E-2</v>
          </cell>
        </row>
        <row r="62">
          <cell r="B62">
            <v>0.49807528207073093</v>
          </cell>
          <cell r="F62">
            <v>0.49807532712325897</v>
          </cell>
        </row>
        <row r="67">
          <cell r="B67">
            <v>0.49890124165106031</v>
          </cell>
          <cell r="F67">
            <v>0.49890125631856452</v>
          </cell>
        </row>
        <row r="72">
          <cell r="B72">
            <v>0.49902124335843706</v>
          </cell>
          <cell r="F72">
            <v>0.4990212549953687</v>
          </cell>
        </row>
        <row r="77">
          <cell r="B77">
            <v>0</v>
          </cell>
          <cell r="F77">
            <v>1.689885738468049E-3</v>
          </cell>
        </row>
        <row r="80">
          <cell r="B80">
            <v>0.36261102831594633</v>
          </cell>
          <cell r="F80">
            <v>3.7160469338446439E-2</v>
          </cell>
        </row>
        <row r="81">
          <cell r="B81">
            <v>0.36261102831594633</v>
          </cell>
          <cell r="F81">
            <v>3.7160469338446439E-2</v>
          </cell>
        </row>
        <row r="82">
          <cell r="B82">
            <v>0.39169930396452979</v>
          </cell>
          <cell r="F82">
            <v>0.39169930397544367</v>
          </cell>
        </row>
        <row r="83">
          <cell r="B83">
            <v>0.11741511608516608</v>
          </cell>
          <cell r="F83">
            <v>0.11741511637648544</v>
          </cell>
        </row>
        <row r="84">
          <cell r="B84">
            <v>0.49829940521068949</v>
          </cell>
          <cell r="F84">
            <v>0.49829944037231899</v>
          </cell>
        </row>
        <row r="85">
          <cell r="B85">
            <v>0.16353489119087769</v>
          </cell>
          <cell r="F85">
            <v>0.16353539726364597</v>
          </cell>
        </row>
        <row r="86">
          <cell r="B86">
            <v>0.2606698301628676</v>
          </cell>
          <cell r="F86">
            <v>2.8963869389516114E-2</v>
          </cell>
        </row>
        <row r="87">
          <cell r="B87">
            <v>0.23670667139177301</v>
          </cell>
          <cell r="F87">
            <v>3.9451253948704933E-2</v>
          </cell>
        </row>
      </sheetData>
      <sheetData sheetId="6">
        <row r="2">
          <cell r="B2">
            <v>0.72561549925484359</v>
          </cell>
          <cell r="H2">
            <v>5.25574104982919E-2</v>
          </cell>
        </row>
        <row r="7">
          <cell r="B7">
            <v>0.72561549925484359</v>
          </cell>
          <cell r="H7">
            <v>5.25574104982919E-2</v>
          </cell>
        </row>
        <row r="12">
          <cell r="B12">
            <v>0.72561549925484359</v>
          </cell>
          <cell r="H12">
            <v>5.25574104982919E-2</v>
          </cell>
        </row>
        <row r="17">
          <cell r="B17">
            <v>0.50026005499194071</v>
          </cell>
          <cell r="H17">
            <v>0.49807666950955204</v>
          </cell>
        </row>
        <row r="22">
          <cell r="B22">
            <v>0.50021936433290148</v>
          </cell>
          <cell r="H22">
            <v>0.49837742823417275</v>
          </cell>
        </row>
        <row r="27">
          <cell r="B27">
            <v>0.50026005499194071</v>
          </cell>
          <cell r="H27">
            <v>0.49807666950955204</v>
          </cell>
        </row>
        <row r="32">
          <cell r="B32">
            <v>0.50026005499194071</v>
          </cell>
          <cell r="H32">
            <v>0.49807666950955204</v>
          </cell>
        </row>
        <row r="37">
          <cell r="B37">
            <v>0.50047250847683</v>
          </cell>
          <cell r="H37">
            <v>0.49664678659808592</v>
          </cell>
        </row>
        <row r="42">
          <cell r="B42">
            <v>0.72561549925484359</v>
          </cell>
          <cell r="H42">
            <v>5.25574104982919E-2</v>
          </cell>
        </row>
        <row r="47">
          <cell r="B47">
            <v>0.72561549925484359</v>
          </cell>
          <cell r="H47">
            <v>5.25574104982919E-2</v>
          </cell>
        </row>
        <row r="52">
          <cell r="B52">
            <v>0.72561549925484359</v>
          </cell>
          <cell r="H52">
            <v>5.25574104982919E-2</v>
          </cell>
        </row>
        <row r="53">
          <cell r="B53">
            <v>0.72561549925484359</v>
          </cell>
          <cell r="H53">
            <v>5.25574104982919E-2</v>
          </cell>
        </row>
        <row r="57">
          <cell r="B57">
            <v>0.72561549925484359</v>
          </cell>
          <cell r="H57">
            <v>5.25574104982919E-2</v>
          </cell>
        </row>
        <row r="58">
          <cell r="B58">
            <v>0.72561549925484359</v>
          </cell>
          <cell r="H58">
            <v>5.25574104982919E-2</v>
          </cell>
        </row>
        <row r="62">
          <cell r="B62">
            <v>0.50026005499194071</v>
          </cell>
          <cell r="H62">
            <v>0.49807666950955204</v>
          </cell>
        </row>
        <row r="67">
          <cell r="B67">
            <v>0.50014845686696907</v>
          </cell>
          <cell r="H67">
            <v>0.49890169305317178</v>
          </cell>
        </row>
        <row r="72">
          <cell r="B72">
            <v>0.50013224304022064</v>
          </cell>
          <cell r="H72">
            <v>0.49902160145822383</v>
          </cell>
        </row>
        <row r="77">
          <cell r="B77">
            <v>0.9946677951756242</v>
          </cell>
          <cell r="H77">
            <v>0.99466994705689293</v>
          </cell>
        </row>
        <row r="80">
          <cell r="B80">
            <v>0.72561549925484359</v>
          </cell>
          <cell r="H80">
            <v>5.25574104982919E-2</v>
          </cell>
        </row>
        <row r="81">
          <cell r="B81">
            <v>0.72561549925484359</v>
          </cell>
          <cell r="H81">
            <v>5.25574104982919E-2</v>
          </cell>
        </row>
        <row r="82">
          <cell r="B82">
            <v>0.51206048552319727</v>
          </cell>
          <cell r="H82">
            <v>0.39629540531256913</v>
          </cell>
        </row>
        <row r="83">
          <cell r="B83">
            <v>0.39562356911263008</v>
          </cell>
          <cell r="H83">
            <v>0.30197061606512338</v>
          </cell>
        </row>
        <row r="84">
          <cell r="B84">
            <v>0.50022977297478433</v>
          </cell>
          <cell r="H84">
            <v>0.49830048785490022</v>
          </cell>
        </row>
        <row r="85">
          <cell r="B85">
            <v>0.16584786798361839</v>
          </cell>
          <cell r="H85">
            <v>0.16355224655339071</v>
          </cell>
        </row>
        <row r="86">
          <cell r="B86">
            <v>0.42701224842538738</v>
          </cell>
          <cell r="H86">
            <v>3.3401248911804224E-2</v>
          </cell>
        </row>
        <row r="87">
          <cell r="B87">
            <v>0.33071654122214522</v>
          </cell>
          <cell r="H87">
            <v>4.2448894390490308E-2</v>
          </cell>
        </row>
      </sheetData>
      <sheetData sheetId="7">
        <row r="3">
          <cell r="G3">
            <v>1</v>
          </cell>
          <cell r="S3">
            <v>0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</v>
          </cell>
          <cell r="S8">
            <v>0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</v>
          </cell>
          <cell r="S13">
            <v>0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0.5</v>
          </cell>
          <cell r="S18">
            <v>0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0.5</v>
          </cell>
          <cell r="S23">
            <v>0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0.5</v>
          </cell>
          <cell r="S28">
            <v>0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0.5</v>
          </cell>
          <cell r="S33">
            <v>0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0.5</v>
          </cell>
          <cell r="S38">
            <v>0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</v>
          </cell>
          <cell r="S43">
            <v>0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</v>
          </cell>
          <cell r="S48">
            <v>0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</v>
          </cell>
          <cell r="S53">
            <v>0</v>
          </cell>
        </row>
        <row r="54">
          <cell r="G54">
            <v>1</v>
          </cell>
          <cell r="S54">
            <v>0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</v>
          </cell>
          <cell r="S58">
            <v>0</v>
          </cell>
        </row>
        <row r="59">
          <cell r="G59">
            <v>1</v>
          </cell>
          <cell r="S59">
            <v>0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0.5</v>
          </cell>
          <cell r="S63">
            <v>0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0.5</v>
          </cell>
          <cell r="S68">
            <v>0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0.5</v>
          </cell>
          <cell r="S73">
            <v>0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0.5</v>
          </cell>
          <cell r="S78">
            <v>0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</v>
          </cell>
          <cell r="S81">
            <v>0</v>
          </cell>
        </row>
        <row r="82">
          <cell r="G82">
            <v>1</v>
          </cell>
          <cell r="S82">
            <v>0</v>
          </cell>
        </row>
        <row r="83">
          <cell r="G83">
            <v>0.5</v>
          </cell>
          <cell r="S83">
            <v>0</v>
          </cell>
        </row>
        <row r="84">
          <cell r="G84">
            <v>0.5</v>
          </cell>
          <cell r="S84">
            <v>0</v>
          </cell>
        </row>
        <row r="85">
          <cell r="G85">
            <v>0.5</v>
          </cell>
          <cell r="S85">
            <v>0</v>
          </cell>
        </row>
        <row r="86">
          <cell r="G86">
            <v>0.5</v>
          </cell>
          <cell r="S86">
            <v>0</v>
          </cell>
        </row>
        <row r="87">
          <cell r="G87">
            <v>0.80000000000000016</v>
          </cell>
          <cell r="S87">
            <v>3.3756987861701161E-16</v>
          </cell>
        </row>
        <row r="88">
          <cell r="G88">
            <v>0.80000000000000016</v>
          </cell>
          <cell r="S88">
            <v>3.3756987861701161E-16</v>
          </cell>
        </row>
      </sheetData>
      <sheetData sheetId="8">
        <row r="3">
          <cell r="G3">
            <v>540</v>
          </cell>
          <cell r="S3">
            <v>24.826061575153908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540</v>
          </cell>
          <cell r="S8">
            <v>24.826061575153908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540</v>
          </cell>
          <cell r="S13">
            <v>24.826061575153908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540</v>
          </cell>
          <cell r="S18">
            <v>24.826061575153908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540</v>
          </cell>
          <cell r="S23">
            <v>24.826061575153908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540</v>
          </cell>
          <cell r="S28">
            <v>24.826061575153908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540</v>
          </cell>
          <cell r="S33">
            <v>24.826061575153908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540</v>
          </cell>
          <cell r="S38">
            <v>24.826061575153908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540</v>
          </cell>
          <cell r="S43">
            <v>24.826061575153908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540</v>
          </cell>
          <cell r="S48">
            <v>24.826061575153908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540</v>
          </cell>
          <cell r="S53">
            <v>24.826061575153908</v>
          </cell>
        </row>
        <row r="54">
          <cell r="G54">
            <v>540</v>
          </cell>
          <cell r="S54">
            <v>24.826061575153908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540</v>
          </cell>
          <cell r="S58">
            <v>24.826061575153908</v>
          </cell>
        </row>
        <row r="59">
          <cell r="G59">
            <v>540</v>
          </cell>
          <cell r="S59">
            <v>24.826061575153908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540</v>
          </cell>
          <cell r="S63">
            <v>24.826061575153908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540</v>
          </cell>
          <cell r="S68">
            <v>24.826061575153908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540</v>
          </cell>
          <cell r="S73">
            <v>24.826061575153908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540</v>
          </cell>
          <cell r="S78">
            <v>24.826061575153908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540</v>
          </cell>
          <cell r="S81">
            <v>24.826061575153908</v>
          </cell>
        </row>
        <row r="82">
          <cell r="G82">
            <v>540</v>
          </cell>
          <cell r="S82">
            <v>24.826061575153908</v>
          </cell>
        </row>
        <row r="83">
          <cell r="G83">
            <v>540</v>
          </cell>
          <cell r="S83">
            <v>24.826061575153908</v>
          </cell>
        </row>
        <row r="84">
          <cell r="G84">
            <v>540</v>
          </cell>
          <cell r="S84">
            <v>24.826061575153908</v>
          </cell>
        </row>
        <row r="85">
          <cell r="G85">
            <v>540</v>
          </cell>
          <cell r="S85">
            <v>24.826061575153908</v>
          </cell>
        </row>
        <row r="86">
          <cell r="G86">
            <v>540</v>
          </cell>
          <cell r="S86">
            <v>24.826061575153908</v>
          </cell>
        </row>
        <row r="87">
          <cell r="G87">
            <v>540</v>
          </cell>
          <cell r="S87">
            <v>24.826061575153908</v>
          </cell>
        </row>
        <row r="88">
          <cell r="G88">
            <v>540</v>
          </cell>
          <cell r="S88">
            <v>24.826061575153908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0_1"/>
      <sheetName val="T0_12"/>
      <sheetName val="Tв_23"/>
      <sheetName val="Tв_3"/>
      <sheetName val="l_12"/>
      <sheetName val="l_13"/>
      <sheetName val="l_23"/>
      <sheetName val="m_21"/>
      <sheetName val="m_31"/>
      <sheetName val="m_32"/>
      <sheetName val="Время"/>
      <sheetName val="Память"/>
      <sheetName val="Кг_s1"/>
      <sheetName val="Кг_s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B3">
            <v>6690</v>
          </cell>
          <cell r="I3">
            <v>0</v>
          </cell>
        </row>
        <row r="4">
          <cell r="I4">
            <v>0</v>
          </cell>
        </row>
        <row r="5">
          <cell r="I5">
            <v>0</v>
          </cell>
        </row>
        <row r="6">
          <cell r="I6">
            <v>0</v>
          </cell>
        </row>
        <row r="7">
          <cell r="I7">
            <v>0</v>
          </cell>
        </row>
        <row r="8">
          <cell r="B8">
            <v>6689</v>
          </cell>
          <cell r="I8">
            <v>0</v>
          </cell>
        </row>
        <row r="9">
          <cell r="I9">
            <v>0</v>
          </cell>
        </row>
        <row r="10">
          <cell r="I10">
            <v>0</v>
          </cell>
        </row>
        <row r="11">
          <cell r="I11">
            <v>0</v>
          </cell>
        </row>
        <row r="12">
          <cell r="I12">
            <v>0</v>
          </cell>
        </row>
        <row r="13">
          <cell r="B13">
            <v>6701</v>
          </cell>
          <cell r="I13">
            <v>0</v>
          </cell>
        </row>
        <row r="14">
          <cell r="I14">
            <v>0</v>
          </cell>
        </row>
        <row r="15">
          <cell r="I15">
            <v>0</v>
          </cell>
        </row>
        <row r="16">
          <cell r="I16">
            <v>0</v>
          </cell>
        </row>
        <row r="17">
          <cell r="I17">
            <v>0</v>
          </cell>
        </row>
        <row r="18">
          <cell r="B18">
            <v>6642</v>
          </cell>
          <cell r="I18">
            <v>0</v>
          </cell>
        </row>
        <row r="19">
          <cell r="I19">
            <v>0</v>
          </cell>
        </row>
        <row r="20">
          <cell r="I20">
            <v>0</v>
          </cell>
        </row>
        <row r="21">
          <cell r="I21">
            <v>0</v>
          </cell>
        </row>
        <row r="22">
          <cell r="I22">
            <v>0</v>
          </cell>
        </row>
        <row r="23">
          <cell r="B23">
            <v>6681</v>
          </cell>
          <cell r="I23">
            <v>0</v>
          </cell>
        </row>
        <row r="24">
          <cell r="I24">
            <v>0</v>
          </cell>
        </row>
        <row r="25">
          <cell r="I25">
            <v>0</v>
          </cell>
        </row>
        <row r="26">
          <cell r="I26">
            <v>0</v>
          </cell>
        </row>
        <row r="27">
          <cell r="I27">
            <v>0</v>
          </cell>
        </row>
        <row r="28">
          <cell r="B28">
            <v>6891</v>
          </cell>
          <cell r="I28">
            <v>0</v>
          </cell>
        </row>
        <row r="29">
          <cell r="I29">
            <v>0</v>
          </cell>
        </row>
        <row r="30">
          <cell r="I30">
            <v>0</v>
          </cell>
        </row>
        <row r="31">
          <cell r="I31">
            <v>0</v>
          </cell>
        </row>
        <row r="32">
          <cell r="I32">
            <v>0</v>
          </cell>
        </row>
        <row r="33">
          <cell r="B33">
            <v>6897</v>
          </cell>
          <cell r="I33">
            <v>0</v>
          </cell>
        </row>
        <row r="34">
          <cell r="I34">
            <v>0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B38">
            <v>6733</v>
          </cell>
          <cell r="I38">
            <v>0</v>
          </cell>
        </row>
        <row r="39">
          <cell r="I39">
            <v>0</v>
          </cell>
        </row>
        <row r="40">
          <cell r="I40">
            <v>0</v>
          </cell>
        </row>
        <row r="41">
          <cell r="I41">
            <v>0</v>
          </cell>
        </row>
        <row r="42">
          <cell r="I42">
            <v>0</v>
          </cell>
        </row>
        <row r="43">
          <cell r="B43">
            <v>6865</v>
          </cell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  <row r="47">
          <cell r="I47">
            <v>0</v>
          </cell>
        </row>
        <row r="48">
          <cell r="B48">
            <v>6917</v>
          </cell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  <row r="51">
          <cell r="I51">
            <v>0</v>
          </cell>
        </row>
        <row r="52">
          <cell r="I52">
            <v>0</v>
          </cell>
        </row>
        <row r="53">
          <cell r="B53">
            <v>6941</v>
          </cell>
          <cell r="I53">
            <v>0</v>
          </cell>
        </row>
        <row r="54">
          <cell r="B54">
            <v>12704</v>
          </cell>
          <cell r="I54">
            <v>0</v>
          </cell>
        </row>
        <row r="55">
          <cell r="I55">
            <v>0</v>
          </cell>
        </row>
        <row r="56">
          <cell r="I56">
            <v>0</v>
          </cell>
        </row>
        <row r="57">
          <cell r="I57">
            <v>0</v>
          </cell>
        </row>
        <row r="58">
          <cell r="B58">
            <v>6917</v>
          </cell>
          <cell r="I58">
            <v>0</v>
          </cell>
        </row>
        <row r="59">
          <cell r="B59">
            <v>12783</v>
          </cell>
          <cell r="I59">
            <v>0</v>
          </cell>
        </row>
        <row r="60">
          <cell r="I60">
            <v>0</v>
          </cell>
        </row>
        <row r="61">
          <cell r="I61">
            <v>0</v>
          </cell>
        </row>
        <row r="62">
          <cell r="I62">
            <v>0</v>
          </cell>
        </row>
        <row r="63">
          <cell r="B63">
            <v>6807</v>
          </cell>
          <cell r="I63">
            <v>0</v>
          </cell>
        </row>
        <row r="64">
          <cell r="I64">
            <v>0</v>
          </cell>
        </row>
        <row r="65">
          <cell r="I65">
            <v>0</v>
          </cell>
        </row>
        <row r="66">
          <cell r="I66">
            <v>0</v>
          </cell>
        </row>
        <row r="67">
          <cell r="I67">
            <v>0</v>
          </cell>
        </row>
        <row r="68">
          <cell r="B68">
            <v>6741</v>
          </cell>
          <cell r="I68">
            <v>0</v>
          </cell>
        </row>
        <row r="69">
          <cell r="I69">
            <v>0</v>
          </cell>
        </row>
        <row r="70">
          <cell r="I70">
            <v>0</v>
          </cell>
        </row>
        <row r="71">
          <cell r="I71">
            <v>0</v>
          </cell>
        </row>
        <row r="72">
          <cell r="I72">
            <v>0</v>
          </cell>
        </row>
        <row r="73">
          <cell r="B73">
            <v>6793</v>
          </cell>
          <cell r="I73">
            <v>0</v>
          </cell>
        </row>
        <row r="74">
          <cell r="I74">
            <v>0</v>
          </cell>
        </row>
        <row r="75">
          <cell r="I75">
            <v>0</v>
          </cell>
        </row>
        <row r="76">
          <cell r="I76">
            <v>0</v>
          </cell>
        </row>
        <row r="77">
          <cell r="I77">
            <v>0</v>
          </cell>
        </row>
        <row r="78">
          <cell r="B78">
            <v>6638</v>
          </cell>
          <cell r="I78">
            <v>0</v>
          </cell>
        </row>
        <row r="79">
          <cell r="I79">
            <v>0</v>
          </cell>
        </row>
        <row r="80">
          <cell r="I80">
            <v>0</v>
          </cell>
        </row>
        <row r="81">
          <cell r="B81">
            <v>6719</v>
          </cell>
          <cell r="I81">
            <v>0</v>
          </cell>
        </row>
        <row r="82">
          <cell r="B82">
            <v>6993</v>
          </cell>
          <cell r="I82">
            <v>0</v>
          </cell>
        </row>
        <row r="83">
          <cell r="B83">
            <v>6508</v>
          </cell>
          <cell r="I83">
            <v>0</v>
          </cell>
        </row>
        <row r="84">
          <cell r="B84">
            <v>6594</v>
          </cell>
          <cell r="I84">
            <v>0</v>
          </cell>
        </row>
        <row r="85">
          <cell r="B85">
            <v>6656</v>
          </cell>
          <cell r="I85">
            <v>0</v>
          </cell>
        </row>
        <row r="86">
          <cell r="B86">
            <v>6668</v>
          </cell>
          <cell r="I86">
            <v>0</v>
          </cell>
        </row>
        <row r="87">
          <cell r="B87">
            <v>6503</v>
          </cell>
          <cell r="I87">
            <v>0</v>
          </cell>
        </row>
        <row r="88">
          <cell r="B88">
            <v>6515</v>
          </cell>
        </row>
      </sheetData>
      <sheetData sheetId="11">
        <row r="3">
          <cell r="B3">
            <v>7936</v>
          </cell>
          <cell r="I3">
            <v>0</v>
          </cell>
        </row>
        <row r="4">
          <cell r="I4">
            <v>0</v>
          </cell>
        </row>
        <row r="5">
          <cell r="I5">
            <v>0</v>
          </cell>
        </row>
        <row r="6">
          <cell r="I6">
            <v>0</v>
          </cell>
        </row>
        <row r="7">
          <cell r="I7">
            <v>0</v>
          </cell>
        </row>
        <row r="8">
          <cell r="B8">
            <v>7936</v>
          </cell>
          <cell r="I8">
            <v>0</v>
          </cell>
        </row>
        <row r="9">
          <cell r="I9">
            <v>0</v>
          </cell>
        </row>
        <row r="10">
          <cell r="I10">
            <v>0</v>
          </cell>
        </row>
        <row r="11">
          <cell r="I11">
            <v>0</v>
          </cell>
        </row>
        <row r="12">
          <cell r="I12">
            <v>0</v>
          </cell>
        </row>
        <row r="13">
          <cell r="B13">
            <v>7936</v>
          </cell>
          <cell r="I13">
            <v>0</v>
          </cell>
        </row>
        <row r="14">
          <cell r="I14">
            <v>0</v>
          </cell>
        </row>
        <row r="15">
          <cell r="I15">
            <v>0</v>
          </cell>
        </row>
        <row r="16">
          <cell r="I16">
            <v>0</v>
          </cell>
        </row>
        <row r="17">
          <cell r="I17">
            <v>0</v>
          </cell>
        </row>
        <row r="18">
          <cell r="B18">
            <v>7488</v>
          </cell>
          <cell r="I18">
            <v>0</v>
          </cell>
        </row>
        <row r="19">
          <cell r="I19">
            <v>0</v>
          </cell>
        </row>
        <row r="20">
          <cell r="I20">
            <v>0</v>
          </cell>
        </row>
        <row r="21">
          <cell r="I21">
            <v>0</v>
          </cell>
        </row>
        <row r="22">
          <cell r="I22">
            <v>0</v>
          </cell>
        </row>
        <row r="23">
          <cell r="B23">
            <v>7488</v>
          </cell>
          <cell r="I23">
            <v>0</v>
          </cell>
        </row>
        <row r="24">
          <cell r="I24">
            <v>0</v>
          </cell>
        </row>
        <row r="25">
          <cell r="I25">
            <v>0</v>
          </cell>
        </row>
        <row r="26">
          <cell r="I26">
            <v>0</v>
          </cell>
        </row>
        <row r="27">
          <cell r="I27">
            <v>0</v>
          </cell>
        </row>
        <row r="28">
          <cell r="B28">
            <v>7936</v>
          </cell>
          <cell r="I28">
            <v>0</v>
          </cell>
        </row>
        <row r="29">
          <cell r="I29">
            <v>0</v>
          </cell>
        </row>
        <row r="30">
          <cell r="I30">
            <v>0</v>
          </cell>
        </row>
        <row r="31">
          <cell r="I31">
            <v>0</v>
          </cell>
        </row>
        <row r="32">
          <cell r="I32">
            <v>0</v>
          </cell>
        </row>
        <row r="33">
          <cell r="B33">
            <v>7936</v>
          </cell>
          <cell r="I33">
            <v>0</v>
          </cell>
        </row>
        <row r="34">
          <cell r="I34">
            <v>0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B38">
            <v>7872</v>
          </cell>
          <cell r="I38">
            <v>0</v>
          </cell>
        </row>
        <row r="39">
          <cell r="I39">
            <v>0</v>
          </cell>
        </row>
        <row r="40">
          <cell r="I40">
            <v>0</v>
          </cell>
        </row>
        <row r="41">
          <cell r="I41">
            <v>0</v>
          </cell>
        </row>
        <row r="42">
          <cell r="I42">
            <v>0</v>
          </cell>
        </row>
        <row r="43">
          <cell r="B43">
            <v>7744</v>
          </cell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  <row r="47">
          <cell r="I47">
            <v>0</v>
          </cell>
        </row>
        <row r="48">
          <cell r="B48">
            <v>7680</v>
          </cell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  <row r="51">
          <cell r="I51">
            <v>0</v>
          </cell>
        </row>
        <row r="52">
          <cell r="I52">
            <v>0</v>
          </cell>
        </row>
        <row r="53">
          <cell r="B53">
            <v>7680</v>
          </cell>
          <cell r="I53">
            <v>0</v>
          </cell>
        </row>
        <row r="54">
          <cell r="B54">
            <v>11584</v>
          </cell>
          <cell r="I54">
            <v>0</v>
          </cell>
        </row>
        <row r="55">
          <cell r="I55">
            <v>0</v>
          </cell>
        </row>
        <row r="56">
          <cell r="I56">
            <v>0</v>
          </cell>
        </row>
        <row r="57">
          <cell r="I57">
            <v>0</v>
          </cell>
        </row>
        <row r="58">
          <cell r="B58">
            <v>7680</v>
          </cell>
          <cell r="I58">
            <v>0</v>
          </cell>
        </row>
        <row r="59">
          <cell r="B59">
            <v>11499</v>
          </cell>
          <cell r="I59">
            <v>0</v>
          </cell>
        </row>
        <row r="60">
          <cell r="I60">
            <v>0</v>
          </cell>
        </row>
        <row r="61">
          <cell r="I61">
            <v>0</v>
          </cell>
        </row>
        <row r="62">
          <cell r="I62">
            <v>0</v>
          </cell>
        </row>
        <row r="63">
          <cell r="B63">
            <v>7680</v>
          </cell>
          <cell r="I63">
            <v>0</v>
          </cell>
        </row>
        <row r="64">
          <cell r="I64">
            <v>0</v>
          </cell>
        </row>
        <row r="65">
          <cell r="I65">
            <v>0</v>
          </cell>
        </row>
        <row r="66">
          <cell r="I66">
            <v>0</v>
          </cell>
        </row>
        <row r="67">
          <cell r="I67">
            <v>0</v>
          </cell>
        </row>
        <row r="68">
          <cell r="B68">
            <v>7936</v>
          </cell>
          <cell r="I68">
            <v>0</v>
          </cell>
        </row>
        <row r="69">
          <cell r="I69">
            <v>0</v>
          </cell>
        </row>
        <row r="70">
          <cell r="I70">
            <v>0</v>
          </cell>
        </row>
        <row r="71">
          <cell r="I71">
            <v>0</v>
          </cell>
        </row>
        <row r="72">
          <cell r="I72">
            <v>0</v>
          </cell>
        </row>
        <row r="73">
          <cell r="B73">
            <v>7936</v>
          </cell>
          <cell r="I73">
            <v>0</v>
          </cell>
        </row>
        <row r="74">
          <cell r="I74">
            <v>0</v>
          </cell>
        </row>
        <row r="75">
          <cell r="I75">
            <v>0</v>
          </cell>
        </row>
        <row r="76">
          <cell r="I76">
            <v>0</v>
          </cell>
        </row>
        <row r="77">
          <cell r="I77">
            <v>0</v>
          </cell>
        </row>
        <row r="78">
          <cell r="B78">
            <v>7936</v>
          </cell>
          <cell r="I78">
            <v>0</v>
          </cell>
        </row>
        <row r="79">
          <cell r="I79">
            <v>0</v>
          </cell>
        </row>
        <row r="80">
          <cell r="I80">
            <v>0</v>
          </cell>
        </row>
        <row r="81">
          <cell r="B81">
            <v>7936</v>
          </cell>
          <cell r="I81">
            <v>0</v>
          </cell>
        </row>
        <row r="82">
          <cell r="B82">
            <v>7748</v>
          </cell>
          <cell r="I82">
            <v>0</v>
          </cell>
        </row>
        <row r="83">
          <cell r="B83">
            <v>7936</v>
          </cell>
          <cell r="I83">
            <v>0</v>
          </cell>
        </row>
        <row r="84">
          <cell r="B84">
            <v>7748</v>
          </cell>
          <cell r="I84">
            <v>0</v>
          </cell>
        </row>
        <row r="85">
          <cell r="B85">
            <v>7936</v>
          </cell>
          <cell r="I85">
            <v>0</v>
          </cell>
        </row>
        <row r="86">
          <cell r="B86">
            <v>7936</v>
          </cell>
          <cell r="I86">
            <v>0</v>
          </cell>
        </row>
        <row r="87">
          <cell r="B87">
            <v>7936</v>
          </cell>
          <cell r="I87">
            <v>0</v>
          </cell>
        </row>
        <row r="88">
          <cell r="B88">
            <v>7936</v>
          </cell>
          <cell r="I88">
            <v>0</v>
          </cell>
        </row>
      </sheetData>
      <sheetData sheetId="12">
        <row r="2">
          <cell r="D2">
            <v>0.99941520467836253</v>
          </cell>
          <cell r="I2">
            <v>1.1689068722470016E-3</v>
          </cell>
        </row>
        <row r="7">
          <cell r="D7">
            <v>0.99707602339181289</v>
          </cell>
          <cell r="I7">
            <v>3.3895970175781458E-3</v>
          </cell>
        </row>
        <row r="12">
          <cell r="D12">
            <v>0.99883040935672518</v>
          </cell>
          <cell r="I12">
            <v>2.3364470038094265E-3</v>
          </cell>
        </row>
        <row r="17">
          <cell r="D17">
            <v>0.96842105263157896</v>
          </cell>
          <cell r="I17">
            <v>7.3624200739382745E-3</v>
          </cell>
        </row>
        <row r="22">
          <cell r="D22">
            <v>0.99005847953216375</v>
          </cell>
          <cell r="I22">
            <v>4.9083609156735392E-3</v>
          </cell>
        </row>
        <row r="27">
          <cell r="D27">
            <v>0.87192982456140355</v>
          </cell>
          <cell r="I27">
            <v>2.0922671649762425E-2</v>
          </cell>
        </row>
        <row r="32">
          <cell r="D32">
            <v>0.98128654970760232</v>
          </cell>
          <cell r="I32">
            <v>5.4596098577778737E-3</v>
          </cell>
        </row>
        <row r="37">
          <cell r="D37">
            <v>0.97836257309941521</v>
          </cell>
          <cell r="I37">
            <v>5.1230543965650691E-3</v>
          </cell>
        </row>
        <row r="42">
          <cell r="D42">
            <v>0.99122807017543857</v>
          </cell>
          <cell r="I42">
            <v>3.2293620896751093E-3</v>
          </cell>
        </row>
        <row r="47">
          <cell r="D47">
            <v>0.97894736842105268</v>
          </cell>
          <cell r="I47">
            <v>5.3123530247567345E-3</v>
          </cell>
        </row>
        <row r="52">
          <cell r="D52">
            <v>0.96842105263157896</v>
          </cell>
          <cell r="I52">
            <v>6.6012690448842525E-3</v>
          </cell>
        </row>
        <row r="53">
          <cell r="D53">
            <v>0.96783625730994149</v>
          </cell>
          <cell r="I53">
            <v>7.1167089358401894E-3</v>
          </cell>
        </row>
        <row r="57">
          <cell r="D57">
            <v>0.96081871345029235</v>
          </cell>
          <cell r="I57">
            <v>6.9926203030924389E-3</v>
          </cell>
        </row>
        <row r="58">
          <cell r="D58">
            <v>0.95672514619883042</v>
          </cell>
          <cell r="I58">
            <v>9.3577437787972662E-3</v>
          </cell>
        </row>
        <row r="62">
          <cell r="D62">
            <v>0.98538011695906436</v>
          </cell>
          <cell r="I62">
            <v>5.5194690099029716E-3</v>
          </cell>
        </row>
        <row r="67">
          <cell r="D67">
            <v>0.9555555555555556</v>
          </cell>
          <cell r="I67">
            <v>8.3207459863756279E-3</v>
          </cell>
        </row>
        <row r="72">
          <cell r="D72">
            <v>0.96608187134502921</v>
          </cell>
          <cell r="I72">
            <v>8.8975304795301073E-3</v>
          </cell>
        </row>
        <row r="77">
          <cell r="D77">
            <v>0.95906432748538006</v>
          </cell>
          <cell r="I77">
            <v>9.8673805803198029E-3</v>
          </cell>
        </row>
        <row r="80">
          <cell r="D80">
            <v>0.99883040935672518</v>
          </cell>
          <cell r="I80">
            <v>1.6233828496812859E-3</v>
          </cell>
        </row>
        <row r="81">
          <cell r="D81">
            <v>1</v>
          </cell>
          <cell r="I81">
            <v>0</v>
          </cell>
        </row>
        <row r="82">
          <cell r="D82">
            <v>0.7637426900584795</v>
          </cell>
          <cell r="I82">
            <v>4.0117308360824069E-2</v>
          </cell>
        </row>
        <row r="83">
          <cell r="D83">
            <v>0.75555555555555554</v>
          </cell>
          <cell r="I83">
            <v>3.8993862137819246E-2</v>
          </cell>
        </row>
        <row r="84">
          <cell r="D84">
            <v>0.93976608187134503</v>
          </cell>
          <cell r="I84">
            <v>1.3963183417411597E-2</v>
          </cell>
        </row>
        <row r="85">
          <cell r="D85">
            <v>0.92690058479532167</v>
          </cell>
          <cell r="I85">
            <v>1.3733154133235325E-2</v>
          </cell>
        </row>
        <row r="86">
          <cell r="D86">
            <v>0.65380116959064327</v>
          </cell>
          <cell r="I86">
            <v>5.3400592411837471E-2</v>
          </cell>
        </row>
        <row r="87">
          <cell r="D87">
            <v>0.52748538011695911</v>
          </cell>
          <cell r="I87">
            <v>5.8340379363201023E-2</v>
          </cell>
        </row>
      </sheetData>
      <sheetData sheetId="13">
        <row r="2">
          <cell r="D2">
            <v>0.99941520467836253</v>
          </cell>
          <cell r="I2">
            <v>1.1689068722470016E-3</v>
          </cell>
        </row>
        <row r="7">
          <cell r="D7">
            <v>0.99766081871345025</v>
          </cell>
          <cell r="I7">
            <v>3.2429705567125636E-3</v>
          </cell>
        </row>
        <row r="12">
          <cell r="D12">
            <v>0.99883040935672518</v>
          </cell>
          <cell r="I12">
            <v>2.3364470038094265E-3</v>
          </cell>
        </row>
        <row r="17">
          <cell r="D17">
            <v>0.98830409356725146</v>
          </cell>
          <cell r="I17">
            <v>5.3450495412778031E-3</v>
          </cell>
        </row>
        <row r="22">
          <cell r="D22">
            <v>0.99590643274853796</v>
          </cell>
          <cell r="I22">
            <v>3.2155349140239264E-3</v>
          </cell>
        </row>
        <row r="27">
          <cell r="D27">
            <v>0.93976608187134503</v>
          </cell>
          <cell r="I27">
            <v>1.7112951921793049E-2</v>
          </cell>
        </row>
        <row r="32">
          <cell r="D32">
            <v>0.99122807017543857</v>
          </cell>
          <cell r="I32">
            <v>4.9329320741189854E-3</v>
          </cell>
        </row>
        <row r="37">
          <cell r="D37">
            <v>0.98888888888888893</v>
          </cell>
          <cell r="I37">
            <v>4.8458357219003847E-3</v>
          </cell>
        </row>
        <row r="42">
          <cell r="D42">
            <v>0.99415204678362568</v>
          </cell>
          <cell r="I42">
            <v>3.0535863723132402E-3</v>
          </cell>
        </row>
        <row r="47">
          <cell r="D47">
            <v>0.99298245614035086</v>
          </cell>
          <cell r="I47">
            <v>4.2917547830716978E-3</v>
          </cell>
        </row>
        <row r="52">
          <cell r="D52">
            <v>0.98830409356725146</v>
          </cell>
          <cell r="I52">
            <v>5.3450495412778031E-3</v>
          </cell>
        </row>
        <row r="53">
          <cell r="D53">
            <v>0.9801169590643275</v>
          </cell>
          <cell r="I53">
            <v>6.1117512459439574E-3</v>
          </cell>
        </row>
        <row r="57">
          <cell r="D57">
            <v>0.98654970760233918</v>
          </cell>
          <cell r="I57">
            <v>6.3603669415590487E-3</v>
          </cell>
        </row>
        <row r="58">
          <cell r="D58">
            <v>0.98187134502923978</v>
          </cell>
          <cell r="I58">
            <v>7.8337455125904766E-3</v>
          </cell>
        </row>
        <row r="62">
          <cell r="D62">
            <v>0.99356725146198832</v>
          </cell>
          <cell r="I62">
            <v>4.2561414950481793E-3</v>
          </cell>
        </row>
        <row r="67">
          <cell r="D67">
            <v>0.98245614035087714</v>
          </cell>
          <cell r="I67">
            <v>7.2055927981490931E-3</v>
          </cell>
        </row>
        <row r="72">
          <cell r="D72">
            <v>0.98654970760233918</v>
          </cell>
          <cell r="I72">
            <v>6.5733843900553394E-3</v>
          </cell>
        </row>
        <row r="77">
          <cell r="D77">
            <v>0.98654970760233918</v>
          </cell>
          <cell r="I77">
            <v>6.5733843900553394E-3</v>
          </cell>
        </row>
        <row r="80">
          <cell r="D80">
            <v>0.99941520467836253</v>
          </cell>
          <cell r="I80">
            <v>1.1689068722470016E-3</v>
          </cell>
        </row>
        <row r="81">
          <cell r="D81">
            <v>1</v>
          </cell>
          <cell r="I81">
            <v>0</v>
          </cell>
        </row>
        <row r="82">
          <cell r="D82">
            <v>0.88771929824561402</v>
          </cell>
          <cell r="I82">
            <v>3.6365552271776166E-2</v>
          </cell>
        </row>
        <row r="83">
          <cell r="D83">
            <v>0.88771929824561402</v>
          </cell>
          <cell r="I83">
            <v>3.6334382683232719E-2</v>
          </cell>
        </row>
        <row r="84">
          <cell r="D84">
            <v>0.96959064327485378</v>
          </cell>
          <cell r="I84">
            <v>1.2843241390343088E-2</v>
          </cell>
        </row>
        <row r="85">
          <cell r="D85">
            <v>0.97251461988304089</v>
          </cell>
          <cell r="I85">
            <v>1.0693236980638203E-2</v>
          </cell>
        </row>
        <row r="86">
          <cell r="D86">
            <v>0.86549707602339176</v>
          </cell>
          <cell r="I86">
            <v>3.4911498914578808E-2</v>
          </cell>
        </row>
        <row r="87">
          <cell r="D87">
            <v>0.73216374269005846</v>
          </cell>
          <cell r="I87">
            <v>5.7871721599729545E-2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iobe.com/tiobe-index/" TargetMode="External"/><Relationship Id="rId1" Type="http://schemas.openxmlformats.org/officeDocument/2006/relationships/hyperlink" Target="https://www.softwareadvice.com/simulation/anylogic-profile/vs/matlab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1914-F13D-43DB-B845-891AB6D1503B}">
  <sheetPr codeName="Лист10"/>
  <dimension ref="A1:X88"/>
  <sheetViews>
    <sheetView workbookViewId="0">
      <pane xSplit="1" topLeftCell="L1" activePane="topRight" state="frozen"/>
      <selection pane="topRight" activeCell="T1" sqref="T1:T1048576"/>
    </sheetView>
  </sheetViews>
  <sheetFormatPr defaultRowHeight="14.4" x14ac:dyDescent="0.3"/>
  <cols>
    <col min="1" max="1" width="33.21875" style="98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8.5546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1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2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7">
        <v>1</v>
      </c>
      <c r="B3" s="70">
        <f>[1]Кг_s1!D2</f>
        <v>1</v>
      </c>
      <c r="C3" s="21">
        <f>[1]Кг_s1!I2</f>
        <v>0</v>
      </c>
      <c r="D3" s="22">
        <f>[2]Кг_s1!B2</f>
        <v>1</v>
      </c>
      <c r="E3" s="22">
        <f>[2]Кг_s1!$C$2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f>[3]Кг_s1!B2</f>
        <v>0.36261102831594633</v>
      </c>
      <c r="I3" s="23">
        <f>[3]Кг_s1!F2</f>
        <v>3.7160469338446439E-2</v>
      </c>
      <c r="J3" s="23" t="str">
        <f>ROUNDUP(ABS(B3-H3),3) &amp; " ± " &amp; ROUNDUP(ABS(C3-I3),3)</f>
        <v>0,638 ± 0,038</v>
      </c>
      <c r="K3" s="23" t="str">
        <f>ROUNDUP(ABS(B3-H3)/B3*100,3) &amp; " ± " &amp; ROUNDUP(ABS(C3-I3)/B3*100,3)</f>
        <v>63,739 ± 3,717</v>
      </c>
      <c r="L3" s="24">
        <f>[4]Кг_s1!D2</f>
        <v>0.99941520467836253</v>
      </c>
      <c r="M3" s="24">
        <f>[4]Кг_s1!I2</f>
        <v>1.1689068722470016E-3</v>
      </c>
      <c r="N3" s="24" t="str">
        <f>ROUNDUP(ABS(B3-L3),3) &amp; " ± " &amp; ROUNDUP(ABS(C3-M3),3)</f>
        <v>0,001 ± 0,002</v>
      </c>
      <c r="O3" s="24" t="str">
        <f>ROUNDUP(ABS(B3-L3)/B3*100,3) &amp; " ± " &amp; ROUNDUP(ABS(C3-M3)/B3*100,3)</f>
        <v>0,059 ± 0,117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T3" s="20">
        <v>4</v>
      </c>
      <c r="U3" s="20">
        <f>SUM(T:T)</f>
        <v>161</v>
      </c>
      <c r="V3" s="20">
        <f>SUM(Q:Q)</f>
        <v>118</v>
      </c>
      <c r="W3" s="20">
        <f>SUM(R:R)</f>
        <v>89</v>
      </c>
      <c r="X3" s="20">
        <f>SUM(S:S)</f>
        <v>129</v>
      </c>
    </row>
    <row r="4" spans="1:24" x14ac:dyDescent="0.3">
      <c r="A4" s="98">
        <f>A3+1</f>
        <v>2</v>
      </c>
      <c r="B4" s="70">
        <v>-1</v>
      </c>
      <c r="C4" s="21">
        <v>-1</v>
      </c>
      <c r="D4" s="22">
        <v>-1</v>
      </c>
      <c r="E4" s="22">
        <v>-1</v>
      </c>
      <c r="F4" s="22" t="str">
        <f>ROUNDUP(ABS(B4-D4),3) &amp; " ± " &amp; ROUNDUP(ABS(C4-E4),3)</f>
        <v>0 ± 0</v>
      </c>
      <c r="G4" s="22" t="str">
        <f t="shared" ref="G4:G67" si="0">ROUNDUP(ABS(B4-D4)/B4*100,3) &amp; " ± " &amp; ROUNDUP(ABS(C4-E4)/B4*100,3)</f>
        <v>0 ± 0</v>
      </c>
      <c r="H4" s="23">
        <v>-1</v>
      </c>
      <c r="I4" s="23">
        <v>-1</v>
      </c>
      <c r="J4" s="23" t="str">
        <f t="shared" ref="J4:J67" si="1">ROUNDUP(ABS(B4-H4),3) &amp; " ± " &amp; ROUNDUP(ABS(C4-I4),3)</f>
        <v>0 ± 0</v>
      </c>
      <c r="K4" s="23" t="str">
        <f t="shared" ref="K4:K67" si="2">ROUNDUP(ABS(B4-H4)/B4*100,3) &amp; " ± " &amp; ROUNDUP(ABS(C4-I4)/B4*100,3)</f>
        <v>0 ± 0</v>
      </c>
      <c r="L4" s="24">
        <v>-1</v>
      </c>
      <c r="M4" s="24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  <c r="T4" s="20">
        <v>1</v>
      </c>
    </row>
    <row r="5" spans="1:24" x14ac:dyDescent="0.3">
      <c r="A5" s="98">
        <f t="shared" ref="A5:A68" si="3">A4+1</f>
        <v>3</v>
      </c>
      <c r="B5" s="70">
        <v>-1</v>
      </c>
      <c r="C5" s="21">
        <v>-1</v>
      </c>
      <c r="D5" s="22">
        <v>-1</v>
      </c>
      <c r="E5" s="22">
        <v>-1</v>
      </c>
      <c r="F5" s="22" t="str">
        <f t="shared" ref="F5:F67" si="4">ROUNDUP(ABS(B5-D5),3) &amp; " ± " &amp; ROUNDUP(ABS(C5-E5),3)</f>
        <v>0 ± 0</v>
      </c>
      <c r="G5" s="22" t="str">
        <f t="shared" si="0"/>
        <v>0 ± 0</v>
      </c>
      <c r="H5" s="23">
        <v>-1</v>
      </c>
      <c r="I5" s="23">
        <v>-1</v>
      </c>
      <c r="J5" s="23" t="str">
        <f t="shared" si="1"/>
        <v>0 ± 0</v>
      </c>
      <c r="K5" s="23" t="str">
        <f t="shared" si="2"/>
        <v>0 ± 0</v>
      </c>
      <c r="L5" s="24">
        <v>-1</v>
      </c>
      <c r="M5" s="24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  <c r="T5" s="20">
        <v>1</v>
      </c>
    </row>
    <row r="6" spans="1:24" x14ac:dyDescent="0.3">
      <c r="A6" s="98">
        <f t="shared" si="3"/>
        <v>4</v>
      </c>
      <c r="B6" s="70">
        <v>-1</v>
      </c>
      <c r="C6" s="21">
        <v>-1</v>
      </c>
      <c r="D6" s="22">
        <v>-1</v>
      </c>
      <c r="E6" s="22">
        <v>-1</v>
      </c>
      <c r="F6" s="22" t="str">
        <f t="shared" si="4"/>
        <v>0 ± 0</v>
      </c>
      <c r="G6" s="22" t="str">
        <f t="shared" si="0"/>
        <v>0 ± 0</v>
      </c>
      <c r="H6" s="23">
        <v>-1</v>
      </c>
      <c r="I6" s="23">
        <v>-1</v>
      </c>
      <c r="J6" s="23" t="str">
        <f t="shared" si="1"/>
        <v>0 ± 0</v>
      </c>
      <c r="K6" s="23" t="str">
        <f t="shared" si="2"/>
        <v>0 ± 0</v>
      </c>
      <c r="L6" s="24">
        <v>-1</v>
      </c>
      <c r="M6" s="24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  <c r="T6" s="20">
        <v>1</v>
      </c>
    </row>
    <row r="7" spans="1:24" x14ac:dyDescent="0.3">
      <c r="A7" s="98">
        <f t="shared" si="3"/>
        <v>5</v>
      </c>
      <c r="B7" s="70">
        <v>-1</v>
      </c>
      <c r="C7" s="21">
        <v>-1</v>
      </c>
      <c r="D7" s="22">
        <v>-1</v>
      </c>
      <c r="E7" s="22">
        <v>-1</v>
      </c>
      <c r="F7" s="22" t="str">
        <f t="shared" si="4"/>
        <v>0 ± 0</v>
      </c>
      <c r="G7" s="22" t="str">
        <f t="shared" si="0"/>
        <v>0 ± 0</v>
      </c>
      <c r="H7" s="23">
        <v>-1</v>
      </c>
      <c r="I7" s="23">
        <v>-1</v>
      </c>
      <c r="J7" s="23" t="str">
        <f t="shared" si="1"/>
        <v>0 ± 0</v>
      </c>
      <c r="K7" s="23" t="str">
        <f t="shared" si="2"/>
        <v>0 ± 0</v>
      </c>
      <c r="L7" s="24">
        <v>-1</v>
      </c>
      <c r="M7" s="24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  <c r="T7" s="20">
        <v>1</v>
      </c>
    </row>
    <row r="8" spans="1:24" x14ac:dyDescent="0.3">
      <c r="A8" s="99">
        <f t="shared" si="3"/>
        <v>6</v>
      </c>
      <c r="B8" s="70">
        <f>[1]Кг_s1!D7</f>
        <v>1</v>
      </c>
      <c r="C8" s="21">
        <f>[1]Кг_s1!I7</f>
        <v>0</v>
      </c>
      <c r="D8" s="22">
        <f>[2]Кг_s1!B7</f>
        <v>1</v>
      </c>
      <c r="E8" s="22">
        <f>[2]Кг_s1!$C$2</f>
        <v>1E-3</v>
      </c>
      <c r="F8" s="22" t="str">
        <f t="shared" si="4"/>
        <v>0 ± 0,001</v>
      </c>
      <c r="G8" s="22" t="str">
        <f t="shared" si="0"/>
        <v>0 ± 0,1</v>
      </c>
      <c r="H8" s="23">
        <f>[3]Кг_s1!B7</f>
        <v>0.36261102831594633</v>
      </c>
      <c r="I8" s="23">
        <f>[3]Кг_s1!F7</f>
        <v>3.7160469338446439E-2</v>
      </c>
      <c r="J8" s="23" t="str">
        <f t="shared" si="1"/>
        <v>0,638 ± 0,038</v>
      </c>
      <c r="K8" s="23" t="str">
        <f t="shared" si="2"/>
        <v>63,739 ± 3,717</v>
      </c>
      <c r="L8" s="24">
        <f>[4]Кг_s1!D7</f>
        <v>0.99707602339181289</v>
      </c>
      <c r="M8" s="24">
        <f>[4]Кг_s1!I7</f>
        <v>3.3895970175781458E-3</v>
      </c>
      <c r="N8" s="24" t="str">
        <f t="shared" si="5"/>
        <v>0,003 ± 0,004</v>
      </c>
      <c r="O8" s="24" t="str">
        <f t="shared" si="6"/>
        <v>0,293 ± 0,339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2</v>
      </c>
      <c r="T8" s="20">
        <v>4</v>
      </c>
    </row>
    <row r="9" spans="1:24" x14ac:dyDescent="0.3">
      <c r="A9" s="98">
        <f t="shared" si="3"/>
        <v>7</v>
      </c>
      <c r="B9" s="70">
        <v>-1</v>
      </c>
      <c r="C9" s="21">
        <v>-1</v>
      </c>
      <c r="D9" s="22">
        <v>-1</v>
      </c>
      <c r="E9" s="22">
        <v>-1</v>
      </c>
      <c r="F9" s="22" t="str">
        <f t="shared" si="4"/>
        <v>0 ± 0</v>
      </c>
      <c r="G9" s="22" t="str">
        <f t="shared" si="0"/>
        <v>0 ± 0</v>
      </c>
      <c r="H9" s="23">
        <v>-1</v>
      </c>
      <c r="I9" s="23">
        <v>-1</v>
      </c>
      <c r="J9" s="23" t="str">
        <f t="shared" si="1"/>
        <v>0 ± 0</v>
      </c>
      <c r="K9" s="23" t="str">
        <f t="shared" si="2"/>
        <v>0 ± 0</v>
      </c>
      <c r="L9" s="24">
        <v>-1</v>
      </c>
      <c r="M9" s="24">
        <v>-1</v>
      </c>
      <c r="N9" s="24" t="str">
        <f t="shared" si="5"/>
        <v>0 ± 0</v>
      </c>
      <c r="O9" s="24" t="str">
        <f t="shared" si="6"/>
        <v>0 ± 0</v>
      </c>
      <c r="Q9" s="20" cm="1">
        <f t="array" ref="Q9">PointMin3(ABS(B9-D9)+ABS(C9-E9),ABS(B9-H9)+ABS(C9-I9),ABS(B9-L9)+ABS(C9-M9),ABS(B9-D9)+ABS(C9-E9))</f>
        <v>1</v>
      </c>
      <c r="R9" s="20" cm="1">
        <f t="array" ref="R9">PointMin3(ABS(B9-D9)+ABS(C9-E9),ABS(B9-H9)+ABS(C9-I9),ABS(B9-L9)+ABS(C9-M9),ABS(B9-H9)+ABS(C9-I9))</f>
        <v>1</v>
      </c>
      <c r="S9" s="20" cm="1">
        <f t="array" ref="S9">PointMin3(ABS(B9-D9)+ABS(C9-E9),ABS(B9-H9)+ABS(C9-I9),ABS(B9-L9)+ABS(C9-M9),ABS(B9-L9)+ABS(C9-M9))</f>
        <v>1</v>
      </c>
      <c r="T9" s="20">
        <v>1</v>
      </c>
    </row>
    <row r="10" spans="1:24" x14ac:dyDescent="0.3">
      <c r="A10" s="98">
        <f t="shared" si="3"/>
        <v>8</v>
      </c>
      <c r="B10" s="70">
        <v>-1</v>
      </c>
      <c r="C10" s="21">
        <v>-1</v>
      </c>
      <c r="D10" s="22">
        <v>-1</v>
      </c>
      <c r="E10" s="22">
        <v>-1</v>
      </c>
      <c r="F10" s="22" t="str">
        <f t="shared" si="4"/>
        <v>0 ± 0</v>
      </c>
      <c r="G10" s="22" t="str">
        <f t="shared" si="0"/>
        <v>0 ± 0</v>
      </c>
      <c r="H10" s="23">
        <v>-1</v>
      </c>
      <c r="I10" s="23">
        <v>-1</v>
      </c>
      <c r="J10" s="23" t="str">
        <f t="shared" si="1"/>
        <v>0 ± 0</v>
      </c>
      <c r="K10" s="23" t="str">
        <f t="shared" si="2"/>
        <v>0 ± 0</v>
      </c>
      <c r="L10" s="24">
        <v>-1</v>
      </c>
      <c r="M10" s="24">
        <v>-1</v>
      </c>
      <c r="N10" s="24" t="str">
        <f t="shared" si="5"/>
        <v>0 ± 0</v>
      </c>
      <c r="O10" s="24" t="str">
        <f t="shared" si="6"/>
        <v>0 ± 0</v>
      </c>
      <c r="Q10" s="20" cm="1">
        <f t="array" ref="Q10">PointMin3(ABS(B10-D10)+ABS(C10-E10),ABS(B10-H10)+ABS(C10-I10),ABS(B10-L10)+ABS(C10-M10),ABS(B10-D10)+ABS(C10-E10))</f>
        <v>1</v>
      </c>
      <c r="R10" s="20" cm="1">
        <f t="array" ref="R10">PointMin3(ABS(B10-D10)+ABS(C10-E10),ABS(B10-H10)+ABS(C10-I10),ABS(B10-L10)+ABS(C10-M10),ABS(B10-H10)+ABS(C10-I10))</f>
        <v>1</v>
      </c>
      <c r="S10" s="20" cm="1">
        <f t="array" ref="S10">PointMin3(ABS(B10-D10)+ABS(C10-E10),ABS(B10-H10)+ABS(C10-I10),ABS(B10-L10)+ABS(C10-M10),ABS(B10-L10)+ABS(C10-M10))</f>
        <v>1</v>
      </c>
      <c r="T10" s="20">
        <v>1</v>
      </c>
      <c r="U10" s="36"/>
    </row>
    <row r="11" spans="1:24" x14ac:dyDescent="0.3">
      <c r="A11" s="98">
        <f t="shared" si="3"/>
        <v>9</v>
      </c>
      <c r="B11" s="70">
        <v>-1</v>
      </c>
      <c r="C11" s="21">
        <v>-1</v>
      </c>
      <c r="D11" s="22">
        <v>-1</v>
      </c>
      <c r="E11" s="22">
        <v>-1</v>
      </c>
      <c r="F11" s="22" t="str">
        <f t="shared" si="4"/>
        <v>0 ± 0</v>
      </c>
      <c r="G11" s="22" t="str">
        <f t="shared" si="0"/>
        <v>0 ± 0</v>
      </c>
      <c r="H11" s="23">
        <v>-1</v>
      </c>
      <c r="I11" s="23">
        <v>-1</v>
      </c>
      <c r="J11" s="23" t="str">
        <f t="shared" si="1"/>
        <v>0 ± 0</v>
      </c>
      <c r="K11" s="23" t="str">
        <f t="shared" si="2"/>
        <v>0 ± 0</v>
      </c>
      <c r="L11" s="24">
        <v>-1</v>
      </c>
      <c r="M11" s="24">
        <v>-1</v>
      </c>
      <c r="N11" s="24" t="str">
        <f t="shared" si="5"/>
        <v>0 ± 0</v>
      </c>
      <c r="O11" s="24" t="str">
        <f t="shared" si="6"/>
        <v>0 ± 0</v>
      </c>
      <c r="Q11" s="20" cm="1">
        <f t="array" ref="Q11">PointMin3(ABS(B11-D11)+ABS(C11-E11),ABS(B11-H11)+ABS(C11-I11),ABS(B11-L11)+ABS(C11-M11),ABS(B11-D11)+ABS(C11-E11))</f>
        <v>1</v>
      </c>
      <c r="R11" s="20" cm="1">
        <f t="array" ref="R11">PointMin3(ABS(B11-D11)+ABS(C11-E11),ABS(B11-H11)+ABS(C11-I11),ABS(B11-L11)+ABS(C11-M11),ABS(B11-H11)+ABS(C11-I11))</f>
        <v>1</v>
      </c>
      <c r="S11" s="20" cm="1">
        <f t="array" ref="S11">PointMin3(ABS(B11-D11)+ABS(C11-E11),ABS(B11-H11)+ABS(C11-I11),ABS(B11-L11)+ABS(C11-M11),ABS(B11-L11)+ABS(C11-M11))</f>
        <v>1</v>
      </c>
      <c r="T11" s="20">
        <v>1</v>
      </c>
    </row>
    <row r="12" spans="1:24" x14ac:dyDescent="0.3">
      <c r="A12" s="98">
        <f t="shared" si="3"/>
        <v>10</v>
      </c>
      <c r="B12" s="70">
        <v>-1</v>
      </c>
      <c r="C12" s="21">
        <v>-1</v>
      </c>
      <c r="D12" s="22">
        <v>-1</v>
      </c>
      <c r="E12" s="22">
        <v>-1</v>
      </c>
      <c r="F12" s="22" t="str">
        <f t="shared" si="4"/>
        <v>0 ± 0</v>
      </c>
      <c r="G12" s="22" t="str">
        <f t="shared" si="0"/>
        <v>0 ± 0</v>
      </c>
      <c r="H12" s="23">
        <v>-1</v>
      </c>
      <c r="I12" s="23">
        <v>-1</v>
      </c>
      <c r="J12" s="23" t="str">
        <f t="shared" si="1"/>
        <v>0 ± 0</v>
      </c>
      <c r="K12" s="23" t="str">
        <f t="shared" si="2"/>
        <v>0 ± 0</v>
      </c>
      <c r="L12" s="24">
        <v>-1</v>
      </c>
      <c r="M12" s="24">
        <v>-1</v>
      </c>
      <c r="N12" s="24" t="str">
        <f t="shared" si="5"/>
        <v>0 ± 0</v>
      </c>
      <c r="O12" s="24" t="str">
        <f t="shared" si="6"/>
        <v>0 ± 0</v>
      </c>
      <c r="Q12" s="20" cm="1">
        <f t="array" ref="Q12">PointMin3(ABS(B12-D12)+ABS(C12-E12),ABS(B12-H12)+ABS(C12-I12),ABS(B12-L12)+ABS(C12-M12),ABS(B12-D12)+ABS(C12-E12))</f>
        <v>1</v>
      </c>
      <c r="R12" s="20" cm="1">
        <f t="array" ref="R12">PointMin3(ABS(B12-D12)+ABS(C12-E12),ABS(B12-H12)+ABS(C12-I12),ABS(B12-L12)+ABS(C12-M12),ABS(B12-H12)+ABS(C12-I12))</f>
        <v>1</v>
      </c>
      <c r="S12" s="20" cm="1">
        <f t="array" ref="S12">PointMin3(ABS(B12-D12)+ABS(C12-E12),ABS(B12-H12)+ABS(C12-I12),ABS(B12-L12)+ABS(C12-M12),ABS(B12-L12)+ABS(C12-M12))</f>
        <v>1</v>
      </c>
      <c r="T12" s="20">
        <v>1</v>
      </c>
    </row>
    <row r="13" spans="1:24" x14ac:dyDescent="0.3">
      <c r="A13" s="99">
        <f t="shared" si="3"/>
        <v>11</v>
      </c>
      <c r="B13" s="70">
        <f>[1]Кг_s1!D12</f>
        <v>1</v>
      </c>
      <c r="C13" s="21">
        <f>[1]Кг_s1!I12</f>
        <v>0</v>
      </c>
      <c r="D13" s="22">
        <f>[2]Кг_s1!B12</f>
        <v>0.5</v>
      </c>
      <c r="E13" s="22">
        <f>[2]Кг_s1!$C$2</f>
        <v>1E-3</v>
      </c>
      <c r="F13" s="22" t="str">
        <f t="shared" si="4"/>
        <v>0,5 ± 0,001</v>
      </c>
      <c r="G13" s="22" t="str">
        <f t="shared" si="0"/>
        <v>50 ± 0,1</v>
      </c>
      <c r="H13" s="23">
        <f>[3]Кг_s1!B12</f>
        <v>0.36261102831594633</v>
      </c>
      <c r="I13" s="23">
        <f>[3]Кг_s1!F12</f>
        <v>3.7160469338446439E-2</v>
      </c>
      <c r="J13" s="23" t="str">
        <f t="shared" si="1"/>
        <v>0,638 ± 0,038</v>
      </c>
      <c r="K13" s="23" t="str">
        <f t="shared" si="2"/>
        <v>63,739 ± 3,717</v>
      </c>
      <c r="L13" s="24">
        <f>[4]Кг_s1!D12</f>
        <v>0.99883040935672518</v>
      </c>
      <c r="M13" s="24">
        <f>[4]Кг_s1!I12</f>
        <v>2.3364470038094265E-3</v>
      </c>
      <c r="N13" s="24" t="str">
        <f t="shared" si="5"/>
        <v>0,002 ± 0,003</v>
      </c>
      <c r="O13" s="24" t="str">
        <f t="shared" si="6"/>
        <v>0,117 ± 0,234</v>
      </c>
      <c r="Q13" s="20" cm="1">
        <f t="array" ref="Q13">PointMin3(ABS(B13-D13)+ABS(C13-E13),ABS(B13-H13)+ABS(C13-I13),ABS(B13-L13)+ABS(C13-M13),ABS(B13-D13)+ABS(C13-E13))</f>
        <v>2</v>
      </c>
      <c r="R13" s="20" cm="1">
        <f t="array" ref="R13">PointMin3(ABS(B13-D13)+ABS(C13-E13),ABS(B13-H13)+ABS(C13-I13),ABS(B13-L13)+ABS(C13-M13),ABS(B13-H13)+ABS(C13-I13))</f>
        <v>1</v>
      </c>
      <c r="S13" s="20" cm="1">
        <f t="array" ref="S13">PointMin3(ABS(B13-D13)+ABS(C13-E13),ABS(B13-H13)+ABS(C13-I13),ABS(B13-L13)+ABS(C13-M13),ABS(B13-L13)+ABS(C13-M13))</f>
        <v>3</v>
      </c>
      <c r="T13" s="20">
        <v>4</v>
      </c>
    </row>
    <row r="14" spans="1:24" x14ac:dyDescent="0.3">
      <c r="A14" s="98">
        <f t="shared" si="3"/>
        <v>12</v>
      </c>
      <c r="B14" s="70">
        <v>-1</v>
      </c>
      <c r="C14" s="21">
        <v>-1</v>
      </c>
      <c r="D14" s="22">
        <v>-1</v>
      </c>
      <c r="E14" s="22">
        <v>-1</v>
      </c>
      <c r="F14" s="22" t="str">
        <f t="shared" si="4"/>
        <v>0 ± 0</v>
      </c>
      <c r="G14" s="22" t="str">
        <f t="shared" si="0"/>
        <v>0 ± 0</v>
      </c>
      <c r="H14" s="23">
        <v>-1</v>
      </c>
      <c r="I14" s="23">
        <v>-1</v>
      </c>
      <c r="J14" s="23" t="str">
        <f t="shared" si="1"/>
        <v>0 ± 0</v>
      </c>
      <c r="K14" s="23" t="str">
        <f t="shared" si="2"/>
        <v>0 ± 0</v>
      </c>
      <c r="L14" s="24">
        <v>-1</v>
      </c>
      <c r="M14" s="24">
        <v>-1</v>
      </c>
      <c r="N14" s="24" t="str">
        <f t="shared" si="5"/>
        <v>0 ± 0</v>
      </c>
      <c r="O14" s="24" t="str">
        <f t="shared" si="6"/>
        <v>0 ± 0</v>
      </c>
      <c r="P14" s="30"/>
      <c r="Q14" s="20" cm="1">
        <f t="array" ref="Q14">PointMin3(ABS(B14-D14)+ABS(C14-E14),ABS(B14-H14)+ABS(C14-I14),ABS(B14-L14)+ABS(C14-M14),ABS(B14-D14)+ABS(C14-E14))</f>
        <v>1</v>
      </c>
      <c r="R14" s="20" cm="1">
        <f t="array" ref="R14">PointMin3(ABS(B14-D14)+ABS(C14-E14),ABS(B14-H14)+ABS(C14-I14),ABS(B14-L14)+ABS(C14-M14),ABS(B14-H14)+ABS(C14-I14))</f>
        <v>1</v>
      </c>
      <c r="S14" s="20" cm="1">
        <f t="array" ref="S14">PointMin3(ABS(B14-D14)+ABS(C14-E14),ABS(B14-H14)+ABS(C14-I14),ABS(B14-L14)+ABS(C14-M14),ABS(B14-L14)+ABS(C14-M14))</f>
        <v>1</v>
      </c>
      <c r="T14" s="20">
        <v>1</v>
      </c>
    </row>
    <row r="15" spans="1:24" x14ac:dyDescent="0.3">
      <c r="A15" s="98">
        <f t="shared" si="3"/>
        <v>13</v>
      </c>
      <c r="B15" s="70">
        <v>-1</v>
      </c>
      <c r="C15" s="21">
        <v>-1</v>
      </c>
      <c r="D15" s="22">
        <v>-1</v>
      </c>
      <c r="E15" s="22">
        <v>-1</v>
      </c>
      <c r="F15" s="22" t="str">
        <f t="shared" si="4"/>
        <v>0 ± 0</v>
      </c>
      <c r="G15" s="22" t="str">
        <f t="shared" si="0"/>
        <v>0 ± 0</v>
      </c>
      <c r="H15" s="23">
        <v>-1</v>
      </c>
      <c r="I15" s="23">
        <v>-1</v>
      </c>
      <c r="J15" s="23" t="str">
        <f t="shared" si="1"/>
        <v>0 ± 0</v>
      </c>
      <c r="K15" s="23" t="str">
        <f t="shared" si="2"/>
        <v>0 ± 0</v>
      </c>
      <c r="L15" s="24">
        <v>-1</v>
      </c>
      <c r="M15" s="24">
        <v>-1</v>
      </c>
      <c r="N15" s="24" t="str">
        <f t="shared" si="5"/>
        <v>0 ± 0</v>
      </c>
      <c r="O15" s="24" t="str">
        <f t="shared" si="6"/>
        <v>0 ± 0</v>
      </c>
      <c r="Q15" s="20" cm="1">
        <f t="array" ref="Q15">PointMin3(ABS(B15-D15)+ABS(C15-E15),ABS(B15-H15)+ABS(C15-I15),ABS(B15-L15)+ABS(C15-M15),ABS(B15-D15)+ABS(C15-E15))</f>
        <v>1</v>
      </c>
      <c r="R15" s="20" cm="1">
        <f t="array" ref="R15">PointMin3(ABS(B15-D15)+ABS(C15-E15),ABS(B15-H15)+ABS(C15-I15),ABS(B15-L15)+ABS(C15-M15),ABS(B15-H15)+ABS(C15-I15))</f>
        <v>1</v>
      </c>
      <c r="S15" s="20" cm="1">
        <f t="array" ref="S15">PointMin3(ABS(B15-D15)+ABS(C15-E15),ABS(B15-H15)+ABS(C15-I15),ABS(B15-L15)+ABS(C15-M15),ABS(B15-L15)+ABS(C15-M15))</f>
        <v>1</v>
      </c>
      <c r="T15" s="20">
        <v>1</v>
      </c>
    </row>
    <row r="16" spans="1:24" x14ac:dyDescent="0.3">
      <c r="A16" s="98">
        <f t="shared" si="3"/>
        <v>14</v>
      </c>
      <c r="B16" s="70">
        <v>-1</v>
      </c>
      <c r="C16" s="21">
        <v>-1</v>
      </c>
      <c r="D16" s="22">
        <v>-1</v>
      </c>
      <c r="E16" s="22">
        <v>-1</v>
      </c>
      <c r="F16" s="22" t="str">
        <f t="shared" si="4"/>
        <v>0 ± 0</v>
      </c>
      <c r="G16" s="22" t="str">
        <f t="shared" si="0"/>
        <v>0 ± 0</v>
      </c>
      <c r="H16" s="23">
        <v>-1</v>
      </c>
      <c r="I16" s="23">
        <v>-1</v>
      </c>
      <c r="J16" s="23" t="str">
        <f t="shared" si="1"/>
        <v>0 ± 0</v>
      </c>
      <c r="K16" s="23" t="str">
        <f t="shared" si="2"/>
        <v>0 ± 0</v>
      </c>
      <c r="L16" s="24">
        <v>-1</v>
      </c>
      <c r="M16" s="24">
        <v>-1</v>
      </c>
      <c r="N16" s="24" t="str">
        <f t="shared" si="5"/>
        <v>0 ± 0</v>
      </c>
      <c r="O16" s="24" t="str">
        <f t="shared" si="6"/>
        <v>0 ± 0</v>
      </c>
      <c r="Q16" s="20" cm="1">
        <f t="array" ref="Q16">PointMin3(ABS(B16-D16)+ABS(C16-E16),ABS(B16-H16)+ABS(C16-I16),ABS(B16-L16)+ABS(C16-M16),ABS(B16-D16)+ABS(C16-E16))</f>
        <v>1</v>
      </c>
      <c r="R16" s="20" cm="1">
        <f t="array" ref="R16">PointMin3(ABS(B16-D16)+ABS(C16-E16),ABS(B16-H16)+ABS(C16-I16),ABS(B16-L16)+ABS(C16-M16),ABS(B16-H16)+ABS(C16-I16))</f>
        <v>1</v>
      </c>
      <c r="S16" s="20" cm="1">
        <f t="array" ref="S16">PointMin3(ABS(B16-D16)+ABS(C16-E16),ABS(B16-H16)+ABS(C16-I16),ABS(B16-L16)+ABS(C16-M16),ABS(B16-L16)+ABS(C16-M16))</f>
        <v>1</v>
      </c>
      <c r="T16" s="20">
        <v>1</v>
      </c>
    </row>
    <row r="17" spans="1:20" x14ac:dyDescent="0.3">
      <c r="A17" s="98">
        <f t="shared" si="3"/>
        <v>15</v>
      </c>
      <c r="B17" s="70">
        <v>-1</v>
      </c>
      <c r="C17" s="21">
        <v>-1</v>
      </c>
      <c r="D17" s="22">
        <v>-1</v>
      </c>
      <c r="E17" s="22">
        <v>-1</v>
      </c>
      <c r="F17" s="22" t="str">
        <f t="shared" si="4"/>
        <v>0 ± 0</v>
      </c>
      <c r="G17" s="22" t="str">
        <f t="shared" si="0"/>
        <v>0 ± 0</v>
      </c>
      <c r="H17" s="23">
        <v>-1</v>
      </c>
      <c r="I17" s="23">
        <v>-1</v>
      </c>
      <c r="J17" s="23" t="str">
        <f t="shared" si="1"/>
        <v>0 ± 0</v>
      </c>
      <c r="K17" s="23" t="str">
        <f t="shared" si="2"/>
        <v>0 ± 0</v>
      </c>
      <c r="L17" s="24">
        <v>-1</v>
      </c>
      <c r="M17" s="24">
        <v>-1</v>
      </c>
      <c r="N17" s="24" t="str">
        <f t="shared" si="5"/>
        <v>0 ± 0</v>
      </c>
      <c r="O17" s="24" t="str">
        <f t="shared" si="6"/>
        <v>0 ± 0</v>
      </c>
      <c r="Q17" s="20" cm="1">
        <f t="array" ref="Q17">PointMin3(ABS(B17-D17)+ABS(C17-E17),ABS(B17-H17)+ABS(C17-I17),ABS(B17-L17)+ABS(C17-M17),ABS(B17-D17)+ABS(C17-E17))</f>
        <v>1</v>
      </c>
      <c r="R17" s="20" cm="1">
        <f t="array" ref="R17">PointMin3(ABS(B17-D17)+ABS(C17-E17),ABS(B17-H17)+ABS(C17-I17),ABS(B17-L17)+ABS(C17-M17),ABS(B17-H17)+ABS(C17-I17))</f>
        <v>1</v>
      </c>
      <c r="S17" s="20" cm="1">
        <f t="array" ref="S17">PointMin3(ABS(B17-D17)+ABS(C17-E17),ABS(B17-H17)+ABS(C17-I17),ABS(B17-L17)+ABS(C17-M17),ABS(B17-L17)+ABS(C17-M17))</f>
        <v>1</v>
      </c>
      <c r="T17" s="20">
        <v>1</v>
      </c>
    </row>
    <row r="18" spans="1:20" x14ac:dyDescent="0.3">
      <c r="A18" s="99">
        <f t="shared" si="3"/>
        <v>16</v>
      </c>
      <c r="B18" s="70">
        <f>[1]Кг_s1!D17</f>
        <v>0.93407780964224163</v>
      </c>
      <c r="C18" s="21">
        <f>[1]Кг_s1!I17</f>
        <v>0.27029839581291781</v>
      </c>
      <c r="D18" s="22">
        <f>[2]Кг_s1!B17</f>
        <v>0.5</v>
      </c>
      <c r="E18" s="22">
        <f>[2]Кг_s1!$C$2</f>
        <v>1E-3</v>
      </c>
      <c r="F18" s="22" t="str">
        <f t="shared" si="4"/>
        <v>0,435 ± 0,27</v>
      </c>
      <c r="G18" s="22" t="str">
        <f t="shared" si="0"/>
        <v>46,472 ± 28,831</v>
      </c>
      <c r="H18" s="23">
        <f>[3]Кг_s1!B17</f>
        <v>0.49807528207073093</v>
      </c>
      <c r="I18" s="23">
        <f>[3]Кг_s1!F17</f>
        <v>0.49807532712325897</v>
      </c>
      <c r="J18" s="23" t="str">
        <f t="shared" si="1"/>
        <v>0,437 ± 0,228</v>
      </c>
      <c r="K18" s="23" t="str">
        <f t="shared" si="2"/>
        <v>46,678 ± 24,386</v>
      </c>
      <c r="L18" s="24">
        <f>[4]Кг_s1!D17</f>
        <v>0.96842105263157896</v>
      </c>
      <c r="M18" s="24">
        <f>[4]Кг_s1!I17</f>
        <v>7.3624200739382745E-3</v>
      </c>
      <c r="N18" s="24" t="str">
        <f t="shared" si="5"/>
        <v>0,035 ± 0,263</v>
      </c>
      <c r="O18" s="24" t="str">
        <f t="shared" si="6"/>
        <v>3,677 ± 28,15</v>
      </c>
      <c r="Q18" s="20" cm="1">
        <f t="array" ref="Q18">PointMin3(ABS(B18-D18)+ABS(C18-E18),ABS(B18-H18)+ABS(C18-I18),ABS(B18-L18)+ABS(C18-M18),ABS(B18-D18)+ABS(C18-E18))</f>
        <v>1</v>
      </c>
      <c r="R18" s="20" cm="1">
        <f t="array" ref="R18">PointMin3(ABS(B18-D18)+ABS(C18-E18),ABS(B18-H18)+ABS(C18-I18),ABS(B18-L18)+ABS(C18-M18),ABS(B18-H18)+ABS(C18-I18))</f>
        <v>2</v>
      </c>
      <c r="S18" s="20" cm="1">
        <f t="array" ref="S18">PointMin3(ABS(B18-D18)+ABS(C18-E18),ABS(B18-H18)+ABS(C18-I18),ABS(B18-L18)+ABS(C18-M18),ABS(B18-L18)+ABS(C18-M18))</f>
        <v>3</v>
      </c>
      <c r="T18" s="20">
        <v>4</v>
      </c>
    </row>
    <row r="19" spans="1:20" x14ac:dyDescent="0.3">
      <c r="A19" s="98">
        <f t="shared" si="3"/>
        <v>17</v>
      </c>
      <c r="B19" s="70">
        <v>-1</v>
      </c>
      <c r="C19" s="21">
        <v>-1</v>
      </c>
      <c r="D19" s="22">
        <v>-1</v>
      </c>
      <c r="E19" s="22">
        <v>-1</v>
      </c>
      <c r="F19" s="22" t="str">
        <f t="shared" si="4"/>
        <v>0 ± 0</v>
      </c>
      <c r="G19" s="22" t="str">
        <f t="shared" si="0"/>
        <v>0 ± 0</v>
      </c>
      <c r="H19" s="23">
        <v>-1</v>
      </c>
      <c r="I19" s="23">
        <v>-1</v>
      </c>
      <c r="J19" s="23" t="str">
        <f t="shared" si="1"/>
        <v>0 ± 0</v>
      </c>
      <c r="K19" s="23" t="str">
        <f t="shared" si="2"/>
        <v>0 ± 0</v>
      </c>
      <c r="L19" s="24">
        <v>-1</v>
      </c>
      <c r="M19" s="24">
        <v>-1</v>
      </c>
      <c r="N19" s="24" t="str">
        <f t="shared" si="5"/>
        <v>0 ± 0</v>
      </c>
      <c r="O19" s="24" t="str">
        <f t="shared" si="6"/>
        <v>0 ± 0</v>
      </c>
      <c r="Q19" s="20" cm="1">
        <f t="array" ref="Q19">PointMin3(ABS(B19-D19)+ABS(C19-E19),ABS(B19-H19)+ABS(C19-I19),ABS(B19-L19)+ABS(C19-M19),ABS(B19-D19)+ABS(C19-E19))</f>
        <v>1</v>
      </c>
      <c r="R19" s="20" cm="1">
        <f t="array" ref="R19">PointMin3(ABS(B19-D19)+ABS(C19-E19),ABS(B19-H19)+ABS(C19-I19),ABS(B19-L19)+ABS(C19-M19),ABS(B19-H19)+ABS(C19-I19))</f>
        <v>1</v>
      </c>
      <c r="S19" s="20" cm="1">
        <f t="array" ref="S19">PointMin3(ABS(B19-D19)+ABS(C19-E19),ABS(B19-H19)+ABS(C19-I19),ABS(B19-L19)+ABS(C19-M19),ABS(B19-L19)+ABS(C19-M19))</f>
        <v>1</v>
      </c>
      <c r="T19" s="20">
        <v>1</v>
      </c>
    </row>
    <row r="20" spans="1:20" x14ac:dyDescent="0.3">
      <c r="A20" s="98">
        <f t="shared" si="3"/>
        <v>18</v>
      </c>
      <c r="B20" s="70">
        <v>-1</v>
      </c>
      <c r="C20" s="21">
        <v>-1</v>
      </c>
      <c r="D20" s="22">
        <v>-1</v>
      </c>
      <c r="E20" s="22">
        <v>-1</v>
      </c>
      <c r="F20" s="22" t="str">
        <f t="shared" si="4"/>
        <v>0 ± 0</v>
      </c>
      <c r="G20" s="22" t="str">
        <f t="shared" si="0"/>
        <v>0 ± 0</v>
      </c>
      <c r="H20" s="23">
        <v>-1</v>
      </c>
      <c r="I20" s="23">
        <v>-1</v>
      </c>
      <c r="J20" s="23" t="str">
        <f t="shared" si="1"/>
        <v>0 ± 0</v>
      </c>
      <c r="K20" s="23" t="str">
        <f t="shared" si="2"/>
        <v>0 ± 0</v>
      </c>
      <c r="L20" s="24">
        <v>-1</v>
      </c>
      <c r="M20" s="24">
        <v>-1</v>
      </c>
      <c r="N20" s="24" t="str">
        <f t="shared" si="5"/>
        <v>0 ± 0</v>
      </c>
      <c r="O20" s="24" t="str">
        <f t="shared" si="6"/>
        <v>0 ± 0</v>
      </c>
      <c r="Q20" s="20" cm="1">
        <f t="array" ref="Q20">PointMin3(ABS(B20-D20)+ABS(C20-E20),ABS(B20-H20)+ABS(C20-I20),ABS(B20-L20)+ABS(C20-M20),ABS(B20-D20)+ABS(C20-E20))</f>
        <v>1</v>
      </c>
      <c r="R20" s="20" cm="1">
        <f t="array" ref="R20">PointMin3(ABS(B20-D20)+ABS(C20-E20),ABS(B20-H20)+ABS(C20-I20),ABS(B20-L20)+ABS(C20-M20),ABS(B20-H20)+ABS(C20-I20))</f>
        <v>1</v>
      </c>
      <c r="S20" s="20" cm="1">
        <f t="array" ref="S20">PointMin3(ABS(B20-D20)+ABS(C20-E20),ABS(B20-H20)+ABS(C20-I20),ABS(B20-L20)+ABS(C20-M20),ABS(B20-L20)+ABS(C20-M20))</f>
        <v>1</v>
      </c>
      <c r="T20" s="20">
        <v>1</v>
      </c>
    </row>
    <row r="21" spans="1:20" x14ac:dyDescent="0.3">
      <c r="A21" s="98">
        <f t="shared" si="3"/>
        <v>19</v>
      </c>
      <c r="B21" s="70">
        <v>-1</v>
      </c>
      <c r="C21" s="21">
        <v>-1</v>
      </c>
      <c r="D21" s="22">
        <v>-1</v>
      </c>
      <c r="E21" s="22">
        <v>-1</v>
      </c>
      <c r="F21" s="22" t="str">
        <f t="shared" si="4"/>
        <v>0 ± 0</v>
      </c>
      <c r="G21" s="22" t="str">
        <f t="shared" si="0"/>
        <v>0 ± 0</v>
      </c>
      <c r="H21" s="23">
        <v>-1</v>
      </c>
      <c r="I21" s="23">
        <v>-1</v>
      </c>
      <c r="J21" s="23" t="str">
        <f t="shared" si="1"/>
        <v>0 ± 0</v>
      </c>
      <c r="K21" s="23" t="str">
        <f t="shared" si="2"/>
        <v>0 ± 0</v>
      </c>
      <c r="L21" s="24">
        <v>-1</v>
      </c>
      <c r="M21" s="24">
        <v>-1</v>
      </c>
      <c r="N21" s="24" t="str">
        <f t="shared" si="5"/>
        <v>0 ± 0</v>
      </c>
      <c r="O21" s="24" t="str">
        <f t="shared" si="6"/>
        <v>0 ± 0</v>
      </c>
      <c r="Q21" s="20" cm="1">
        <f t="array" ref="Q21">PointMin3(ABS(B21-D21)+ABS(C21-E21),ABS(B21-H21)+ABS(C21-I21),ABS(B21-L21)+ABS(C21-M21),ABS(B21-D21)+ABS(C21-E21))</f>
        <v>1</v>
      </c>
      <c r="R21" s="20" cm="1">
        <f t="array" ref="R21">PointMin3(ABS(B21-D21)+ABS(C21-E21),ABS(B21-H21)+ABS(C21-I21),ABS(B21-L21)+ABS(C21-M21),ABS(B21-H21)+ABS(C21-I21))</f>
        <v>1</v>
      </c>
      <c r="S21" s="20" cm="1">
        <f t="array" ref="S21">PointMin3(ABS(B21-D21)+ABS(C21-E21),ABS(B21-H21)+ABS(C21-I21),ABS(B21-L21)+ABS(C21-M21),ABS(B21-L21)+ABS(C21-M21))</f>
        <v>1</v>
      </c>
      <c r="T21" s="20">
        <v>1</v>
      </c>
    </row>
    <row r="22" spans="1:20" x14ac:dyDescent="0.3">
      <c r="A22" s="98">
        <f t="shared" si="3"/>
        <v>20</v>
      </c>
      <c r="B22" s="70">
        <v>-1</v>
      </c>
      <c r="C22" s="21">
        <v>-1</v>
      </c>
      <c r="D22" s="22">
        <v>-1</v>
      </c>
      <c r="E22" s="22">
        <v>-1</v>
      </c>
      <c r="F22" s="22" t="str">
        <f t="shared" si="4"/>
        <v>0 ± 0</v>
      </c>
      <c r="G22" s="22" t="str">
        <f t="shared" si="0"/>
        <v>0 ± 0</v>
      </c>
      <c r="H22" s="23">
        <v>-1</v>
      </c>
      <c r="I22" s="23">
        <v>-1</v>
      </c>
      <c r="J22" s="23" t="str">
        <f t="shared" si="1"/>
        <v>0 ± 0</v>
      </c>
      <c r="K22" s="23" t="str">
        <f t="shared" si="2"/>
        <v>0 ± 0</v>
      </c>
      <c r="L22" s="24">
        <v>-1</v>
      </c>
      <c r="M22" s="24">
        <v>-1</v>
      </c>
      <c r="N22" s="24" t="str">
        <f t="shared" si="5"/>
        <v>0 ± 0</v>
      </c>
      <c r="O22" s="24" t="str">
        <f t="shared" si="6"/>
        <v>0 ± 0</v>
      </c>
      <c r="Q22" s="20" cm="1">
        <f t="array" ref="Q22">PointMin3(ABS(B22-D22)+ABS(C22-E22),ABS(B22-H22)+ABS(C22-I22),ABS(B22-L22)+ABS(C22-M22),ABS(B22-D22)+ABS(C22-E22))</f>
        <v>1</v>
      </c>
      <c r="R22" s="20" cm="1">
        <f t="array" ref="R22">PointMin3(ABS(B22-D22)+ABS(C22-E22),ABS(B22-H22)+ABS(C22-I22),ABS(B22-L22)+ABS(C22-M22),ABS(B22-H22)+ABS(C22-I22))</f>
        <v>1</v>
      </c>
      <c r="S22" s="20" cm="1">
        <f t="array" ref="S22">PointMin3(ABS(B22-D22)+ABS(C22-E22),ABS(B22-H22)+ABS(C22-I22),ABS(B22-L22)+ABS(C22-M22),ABS(B22-L22)+ABS(C22-M22))</f>
        <v>1</v>
      </c>
      <c r="T22" s="20">
        <v>1</v>
      </c>
    </row>
    <row r="23" spans="1:20" x14ac:dyDescent="0.3">
      <c r="A23" s="99">
        <f t="shared" si="3"/>
        <v>21</v>
      </c>
      <c r="B23" s="70">
        <f>[1]Кг_s1!D22</f>
        <v>0.98406122288656095</v>
      </c>
      <c r="C23" s="21">
        <f>[1]Кг_s1!I22</f>
        <v>3.792456734900173E-2</v>
      </c>
      <c r="D23" s="22">
        <f>[2]Кг_s1!B22</f>
        <v>0.5</v>
      </c>
      <c r="E23" s="22">
        <f>[2]Кг_s1!$C$2</f>
        <v>1E-3</v>
      </c>
      <c r="F23" s="22" t="str">
        <f t="shared" si="4"/>
        <v>0,485 ± 0,037</v>
      </c>
      <c r="G23" s="22" t="str">
        <f t="shared" si="0"/>
        <v>49,191 ± 3,753</v>
      </c>
      <c r="H23" s="23">
        <f>[3]Кг_s1!B22</f>
        <v>0.49837644160788269</v>
      </c>
      <c r="I23" s="23">
        <f>[3]Кг_s1!F22</f>
        <v>0.49837647365306215</v>
      </c>
      <c r="J23" s="23" t="str">
        <f t="shared" si="1"/>
        <v>0,486 ± 0,461</v>
      </c>
      <c r="K23" s="23" t="str">
        <f t="shared" si="2"/>
        <v>49,356 ± 46,791</v>
      </c>
      <c r="L23" s="24">
        <f>[4]Кг_s1!D22</f>
        <v>0.99005847953216375</v>
      </c>
      <c r="M23" s="24">
        <f>[4]Кг_s1!I22</f>
        <v>4.9083609156735392E-3</v>
      </c>
      <c r="N23" s="24" t="str">
        <f t="shared" si="5"/>
        <v>0,006 ± 0,034</v>
      </c>
      <c r="O23" s="24" t="str">
        <f t="shared" si="6"/>
        <v>0,61 ± 3,356</v>
      </c>
      <c r="Q23" s="20" cm="1">
        <f t="array" ref="Q23">PointMin3(ABS(B23-D23)+ABS(C23-E23),ABS(B23-H23)+ABS(C23-I23),ABS(B23-L23)+ABS(C23-M23),ABS(B23-D23)+ABS(C23-E23))</f>
        <v>2</v>
      </c>
      <c r="R23" s="20" cm="1">
        <f t="array" ref="R23">PointMin3(ABS(B23-D23)+ABS(C23-E23),ABS(B23-H23)+ABS(C23-I23),ABS(B23-L23)+ABS(C23-M23),ABS(B23-H23)+ABS(C23-I23))</f>
        <v>1</v>
      </c>
      <c r="S23" s="20" cm="1">
        <f t="array" ref="S23">PointMin3(ABS(B23-D23)+ABS(C23-E23),ABS(B23-H23)+ABS(C23-I23),ABS(B23-L23)+ABS(C23-M23),ABS(B23-L23)+ABS(C23-M23))</f>
        <v>3</v>
      </c>
      <c r="T23" s="20">
        <v>4</v>
      </c>
    </row>
    <row r="24" spans="1:20" x14ac:dyDescent="0.3">
      <c r="A24" s="67">
        <f t="shared" si="3"/>
        <v>22</v>
      </c>
      <c r="B24" s="70">
        <v>-1</v>
      </c>
      <c r="C24" s="21">
        <v>-1</v>
      </c>
      <c r="D24" s="22">
        <v>-1</v>
      </c>
      <c r="E24" s="22">
        <v>-1</v>
      </c>
      <c r="F24" s="22" t="str">
        <f t="shared" si="4"/>
        <v>0 ± 0</v>
      </c>
      <c r="G24" s="22" t="str">
        <f t="shared" si="0"/>
        <v>0 ± 0</v>
      </c>
      <c r="H24" s="23">
        <v>-1</v>
      </c>
      <c r="I24" s="23">
        <v>-1</v>
      </c>
      <c r="J24" s="23" t="str">
        <f t="shared" si="1"/>
        <v>0 ± 0</v>
      </c>
      <c r="K24" s="23" t="str">
        <f t="shared" si="2"/>
        <v>0 ± 0</v>
      </c>
      <c r="L24" s="24">
        <v>-1</v>
      </c>
      <c r="M24" s="24">
        <v>-1</v>
      </c>
      <c r="N24" s="24" t="str">
        <f t="shared" si="5"/>
        <v>0 ± 0</v>
      </c>
      <c r="O24" s="24" t="str">
        <f t="shared" si="6"/>
        <v>0 ± 0</v>
      </c>
      <c r="Q24" s="20" cm="1">
        <f t="array" ref="Q24">PointMin3(ABS(B24-D24)+ABS(C24-E24),ABS(B24-H24)+ABS(C24-I24),ABS(B24-L24)+ABS(C24-M24),ABS(B24-D24)+ABS(C24-E24))</f>
        <v>1</v>
      </c>
      <c r="R24" s="20" cm="1">
        <f t="array" ref="R24">PointMin3(ABS(B24-D24)+ABS(C24-E24),ABS(B24-H24)+ABS(C24-I24),ABS(B24-L24)+ABS(C24-M24),ABS(B24-H24)+ABS(C24-I24))</f>
        <v>1</v>
      </c>
      <c r="S24" s="20" cm="1">
        <f t="array" ref="S24">PointMin3(ABS(B24-D24)+ABS(C24-E24),ABS(B24-H24)+ABS(C24-I24),ABS(B24-L24)+ABS(C24-M24),ABS(B24-L24)+ABS(C24-M24))</f>
        <v>1</v>
      </c>
      <c r="T24" s="20">
        <v>1</v>
      </c>
    </row>
    <row r="25" spans="1:20" x14ac:dyDescent="0.3">
      <c r="A25" s="67">
        <f t="shared" si="3"/>
        <v>23</v>
      </c>
      <c r="B25" s="70">
        <v>-1</v>
      </c>
      <c r="C25" s="21">
        <v>-1</v>
      </c>
      <c r="D25" s="22">
        <v>-1</v>
      </c>
      <c r="E25" s="22">
        <v>-1</v>
      </c>
      <c r="F25" s="22" t="str">
        <f t="shared" si="4"/>
        <v>0 ± 0</v>
      </c>
      <c r="G25" s="22" t="str">
        <f t="shared" si="0"/>
        <v>0 ± 0</v>
      </c>
      <c r="H25" s="23">
        <v>-1</v>
      </c>
      <c r="I25" s="23">
        <v>-1</v>
      </c>
      <c r="J25" s="23" t="str">
        <f t="shared" si="1"/>
        <v>0 ± 0</v>
      </c>
      <c r="K25" s="23" t="str">
        <f t="shared" si="2"/>
        <v>0 ± 0</v>
      </c>
      <c r="L25" s="24">
        <v>-1</v>
      </c>
      <c r="M25" s="24">
        <v>-1</v>
      </c>
      <c r="N25" s="24" t="str">
        <f t="shared" si="5"/>
        <v>0 ± 0</v>
      </c>
      <c r="O25" s="24" t="str">
        <f t="shared" si="6"/>
        <v>0 ± 0</v>
      </c>
      <c r="Q25" s="20" cm="1">
        <f t="array" ref="Q25">PointMin3(ABS(B25-D25)+ABS(C25-E25),ABS(B25-H25)+ABS(C25-I25),ABS(B25-L25)+ABS(C25-M25),ABS(B25-D25)+ABS(C25-E25))</f>
        <v>1</v>
      </c>
      <c r="R25" s="20" cm="1">
        <f t="array" ref="R25">PointMin3(ABS(B25-D25)+ABS(C25-E25),ABS(B25-H25)+ABS(C25-I25),ABS(B25-L25)+ABS(C25-M25),ABS(B25-H25)+ABS(C25-I25))</f>
        <v>1</v>
      </c>
      <c r="S25" s="20" cm="1">
        <f t="array" ref="S25">PointMin3(ABS(B25-D25)+ABS(C25-E25),ABS(B25-H25)+ABS(C25-I25),ABS(B25-L25)+ABS(C25-M25),ABS(B25-L25)+ABS(C25-M25))</f>
        <v>1</v>
      </c>
      <c r="T25" s="20">
        <v>1</v>
      </c>
    </row>
    <row r="26" spans="1:20" x14ac:dyDescent="0.3">
      <c r="A26" s="67">
        <f t="shared" si="3"/>
        <v>24</v>
      </c>
      <c r="B26" s="70">
        <v>-1</v>
      </c>
      <c r="C26" s="21">
        <v>-1</v>
      </c>
      <c r="D26" s="22">
        <v>-1</v>
      </c>
      <c r="E26" s="22">
        <v>-1</v>
      </c>
      <c r="F26" s="22" t="str">
        <f t="shared" si="4"/>
        <v>0 ± 0</v>
      </c>
      <c r="G26" s="22" t="str">
        <f t="shared" si="0"/>
        <v>0 ± 0</v>
      </c>
      <c r="H26" s="23">
        <v>-1</v>
      </c>
      <c r="I26" s="23">
        <v>-1</v>
      </c>
      <c r="J26" s="23" t="str">
        <f t="shared" si="1"/>
        <v>0 ± 0</v>
      </c>
      <c r="K26" s="23" t="str">
        <f t="shared" si="2"/>
        <v>0 ± 0</v>
      </c>
      <c r="L26" s="24">
        <v>-1</v>
      </c>
      <c r="M26" s="24">
        <v>-1</v>
      </c>
      <c r="N26" s="24" t="str">
        <f t="shared" si="5"/>
        <v>0 ± 0</v>
      </c>
      <c r="O26" s="24" t="str">
        <f t="shared" si="6"/>
        <v>0 ± 0</v>
      </c>
      <c r="Q26" s="20" cm="1">
        <f t="array" ref="Q26">PointMin3(ABS(B26-D26)+ABS(C26-E26),ABS(B26-H26)+ABS(C26-I26),ABS(B26-L26)+ABS(C26-M26),ABS(B26-D26)+ABS(C26-E26))</f>
        <v>1</v>
      </c>
      <c r="R26" s="20" cm="1">
        <f t="array" ref="R26">PointMin3(ABS(B26-D26)+ABS(C26-E26),ABS(B26-H26)+ABS(C26-I26),ABS(B26-L26)+ABS(C26-M26),ABS(B26-H26)+ABS(C26-I26))</f>
        <v>1</v>
      </c>
      <c r="S26" s="20" cm="1">
        <f t="array" ref="S26">PointMin3(ABS(B26-D26)+ABS(C26-E26),ABS(B26-H26)+ABS(C26-I26),ABS(B26-L26)+ABS(C26-M26),ABS(B26-L26)+ABS(C26-M26))</f>
        <v>1</v>
      </c>
      <c r="T26" s="20">
        <v>1</v>
      </c>
    </row>
    <row r="27" spans="1:20" x14ac:dyDescent="0.3">
      <c r="A27" s="67">
        <f t="shared" si="3"/>
        <v>25</v>
      </c>
      <c r="B27" s="70">
        <v>-1</v>
      </c>
      <c r="C27" s="21">
        <v>-1</v>
      </c>
      <c r="D27" s="22">
        <v>-1</v>
      </c>
      <c r="E27" s="22">
        <v>-1</v>
      </c>
      <c r="F27" s="22" t="str">
        <f t="shared" si="4"/>
        <v>0 ± 0</v>
      </c>
      <c r="G27" s="22" t="str">
        <f t="shared" si="0"/>
        <v>0 ± 0</v>
      </c>
      <c r="H27" s="23">
        <v>-1</v>
      </c>
      <c r="I27" s="23">
        <v>-1</v>
      </c>
      <c r="J27" s="23" t="str">
        <f t="shared" si="1"/>
        <v>0 ± 0</v>
      </c>
      <c r="K27" s="23" t="str">
        <f t="shared" si="2"/>
        <v>0 ± 0</v>
      </c>
      <c r="L27" s="24">
        <v>-1</v>
      </c>
      <c r="M27" s="24">
        <v>-1</v>
      </c>
      <c r="N27" s="24" t="str">
        <f t="shared" si="5"/>
        <v>0 ± 0</v>
      </c>
      <c r="O27" s="24" t="str">
        <f t="shared" si="6"/>
        <v>0 ± 0</v>
      </c>
      <c r="Q27" s="20" cm="1">
        <f t="array" ref="Q27">PointMin3(ABS(B27-D27)+ABS(C27-E27),ABS(B27-H27)+ABS(C27-I27),ABS(B27-L27)+ABS(C27-M27),ABS(B27-D27)+ABS(C27-E27))</f>
        <v>1</v>
      </c>
      <c r="R27" s="20" cm="1">
        <f t="array" ref="R27">PointMin3(ABS(B27-D27)+ABS(C27-E27),ABS(B27-H27)+ABS(C27-I27),ABS(B27-L27)+ABS(C27-M27),ABS(B27-H27)+ABS(C27-I27))</f>
        <v>1</v>
      </c>
      <c r="S27" s="20" cm="1">
        <f t="array" ref="S27">PointMin3(ABS(B27-D27)+ABS(C27-E27),ABS(B27-H27)+ABS(C27-I27),ABS(B27-L27)+ABS(C27-M27),ABS(B27-L27)+ABS(C27-M27))</f>
        <v>1</v>
      </c>
      <c r="T27" s="20">
        <v>1</v>
      </c>
    </row>
    <row r="28" spans="1:20" x14ac:dyDescent="0.3">
      <c r="A28" s="99">
        <f t="shared" si="3"/>
        <v>26</v>
      </c>
      <c r="B28" s="70">
        <f>[1]Кг_s1!D27</f>
        <v>0.99509801661048369</v>
      </c>
      <c r="C28" s="21">
        <f>[1]Кг_s1!I27</f>
        <v>2.1409305045132269E-2</v>
      </c>
      <c r="D28" s="22">
        <f>[2]Кг_s1!B27</f>
        <v>0.5</v>
      </c>
      <c r="E28" s="22">
        <f>[2]Кг_s1!$C$2</f>
        <v>1E-3</v>
      </c>
      <c r="F28" s="22" t="str">
        <f t="shared" si="4"/>
        <v>0,496 ± 0,021</v>
      </c>
      <c r="G28" s="22" t="str">
        <f t="shared" si="0"/>
        <v>49,754 ± 2,051</v>
      </c>
      <c r="H28" s="23">
        <f>[3]Кг_s1!B27</f>
        <v>0.49807528207073093</v>
      </c>
      <c r="I28" s="23">
        <f>[3]Кг_s1!F27</f>
        <v>0.49807532712325897</v>
      </c>
      <c r="J28" s="23" t="str">
        <f t="shared" si="1"/>
        <v>0,498 ± 0,477</v>
      </c>
      <c r="K28" s="23" t="str">
        <f t="shared" si="2"/>
        <v>49,948 ± 47,902</v>
      </c>
      <c r="L28" s="24">
        <f>[4]Кг_s1!D27</f>
        <v>0.87192982456140355</v>
      </c>
      <c r="M28" s="24">
        <f>[4]Кг_s1!I27</f>
        <v>2.0922671649762425E-2</v>
      </c>
      <c r="N28" s="24" t="str">
        <f t="shared" si="5"/>
        <v>0,124 ± 0,001</v>
      </c>
      <c r="O28" s="24" t="str">
        <f t="shared" si="6"/>
        <v>12,378 ± 0,049</v>
      </c>
      <c r="Q28" s="20" cm="1">
        <f t="array" ref="Q28">PointMin3(ABS(B28-D28)+ABS(C28-E28),ABS(B28-H28)+ABS(C28-I28),ABS(B28-L28)+ABS(C28-M28),ABS(B28-D28)+ABS(C28-E28))</f>
        <v>2</v>
      </c>
      <c r="R28" s="20" cm="1">
        <f t="array" ref="R28">PointMin3(ABS(B28-D28)+ABS(C28-E28),ABS(B28-H28)+ABS(C28-I28),ABS(B28-L28)+ABS(C28-M28),ABS(B28-H28)+ABS(C28-I28))</f>
        <v>1</v>
      </c>
      <c r="S28" s="20" cm="1">
        <f t="array" ref="S28">PointMin3(ABS(B28-D28)+ABS(C28-E28),ABS(B28-H28)+ABS(C28-I28),ABS(B28-L28)+ABS(C28-M28),ABS(B28-L28)+ABS(C28-M28))</f>
        <v>3</v>
      </c>
      <c r="T28" s="20">
        <v>4</v>
      </c>
    </row>
    <row r="29" spans="1:20" x14ac:dyDescent="0.3">
      <c r="A29" s="67">
        <f t="shared" si="3"/>
        <v>27</v>
      </c>
      <c r="B29" s="70">
        <v>-1</v>
      </c>
      <c r="C29" s="21">
        <v>-1</v>
      </c>
      <c r="D29" s="22">
        <v>-1</v>
      </c>
      <c r="E29" s="22">
        <v>-1</v>
      </c>
      <c r="F29" s="22" t="str">
        <f t="shared" si="4"/>
        <v>0 ± 0</v>
      </c>
      <c r="G29" s="22" t="str">
        <f t="shared" si="0"/>
        <v>0 ± 0</v>
      </c>
      <c r="H29" s="23">
        <v>-1</v>
      </c>
      <c r="I29" s="23">
        <v>-1</v>
      </c>
      <c r="J29" s="23" t="str">
        <f t="shared" si="1"/>
        <v>0 ± 0</v>
      </c>
      <c r="K29" s="23" t="str">
        <f t="shared" si="2"/>
        <v>0 ± 0</v>
      </c>
      <c r="L29" s="24">
        <v>-1</v>
      </c>
      <c r="M29" s="24">
        <v>-1</v>
      </c>
      <c r="N29" s="24" t="str">
        <f t="shared" si="5"/>
        <v>0 ± 0</v>
      </c>
      <c r="O29" s="24" t="str">
        <f t="shared" si="6"/>
        <v>0 ± 0</v>
      </c>
      <c r="Q29" s="20" cm="1">
        <f t="array" ref="Q29">PointMin3(ABS(B29-D29)+ABS(C29-E29),ABS(B29-H29)+ABS(C29-I29),ABS(B29-L29)+ABS(C29-M29),ABS(B29-D29)+ABS(C29-E29))</f>
        <v>1</v>
      </c>
      <c r="R29" s="20" cm="1">
        <f t="array" ref="R29">PointMin3(ABS(B29-D29)+ABS(C29-E29),ABS(B29-H29)+ABS(C29-I29),ABS(B29-L29)+ABS(C29-M29),ABS(B29-H29)+ABS(C29-I29))</f>
        <v>1</v>
      </c>
      <c r="S29" s="20" cm="1">
        <f t="array" ref="S29">PointMin3(ABS(B29-D29)+ABS(C29-E29),ABS(B29-H29)+ABS(C29-I29),ABS(B29-L29)+ABS(C29-M29),ABS(B29-L29)+ABS(C29-M29))</f>
        <v>1</v>
      </c>
      <c r="T29" s="20">
        <v>1</v>
      </c>
    </row>
    <row r="30" spans="1:20" x14ac:dyDescent="0.3">
      <c r="A30" s="67">
        <f t="shared" si="3"/>
        <v>28</v>
      </c>
      <c r="B30" s="70">
        <v>-1</v>
      </c>
      <c r="C30" s="21">
        <v>-1</v>
      </c>
      <c r="D30" s="22">
        <v>-1</v>
      </c>
      <c r="E30" s="22">
        <v>-1</v>
      </c>
      <c r="F30" s="22" t="str">
        <f t="shared" si="4"/>
        <v>0 ± 0</v>
      </c>
      <c r="G30" s="22" t="str">
        <f t="shared" si="0"/>
        <v>0 ± 0</v>
      </c>
      <c r="H30" s="23">
        <v>-1</v>
      </c>
      <c r="I30" s="23">
        <v>-1</v>
      </c>
      <c r="J30" s="23" t="str">
        <f t="shared" si="1"/>
        <v>0 ± 0</v>
      </c>
      <c r="K30" s="23" t="str">
        <f t="shared" si="2"/>
        <v>0 ± 0</v>
      </c>
      <c r="L30" s="24">
        <v>-1</v>
      </c>
      <c r="M30" s="24">
        <v>-1</v>
      </c>
      <c r="N30" s="24" t="str">
        <f t="shared" si="5"/>
        <v>0 ± 0</v>
      </c>
      <c r="O30" s="24" t="str">
        <f t="shared" si="6"/>
        <v>0 ± 0</v>
      </c>
      <c r="Q30" s="20" cm="1">
        <f t="array" ref="Q30">PointMin3(ABS(B30-D30)+ABS(C30-E30),ABS(B30-H30)+ABS(C30-I30),ABS(B30-L30)+ABS(C30-M30),ABS(B30-D30)+ABS(C30-E30))</f>
        <v>1</v>
      </c>
      <c r="R30" s="20" cm="1">
        <f t="array" ref="R30">PointMin3(ABS(B30-D30)+ABS(C30-E30),ABS(B30-H30)+ABS(C30-I30),ABS(B30-L30)+ABS(C30-M30),ABS(B30-H30)+ABS(C30-I30))</f>
        <v>1</v>
      </c>
      <c r="S30" s="20" cm="1">
        <f t="array" ref="S30">PointMin3(ABS(B30-D30)+ABS(C30-E30),ABS(B30-H30)+ABS(C30-I30),ABS(B30-L30)+ABS(C30-M30),ABS(B30-L30)+ABS(C30-M30))</f>
        <v>1</v>
      </c>
      <c r="T30" s="20">
        <v>1</v>
      </c>
    </row>
    <row r="31" spans="1:20" x14ac:dyDescent="0.3">
      <c r="A31" s="67">
        <f t="shared" si="3"/>
        <v>29</v>
      </c>
      <c r="B31" s="70">
        <v>-1</v>
      </c>
      <c r="C31" s="21">
        <v>-1</v>
      </c>
      <c r="D31" s="22">
        <v>-1</v>
      </c>
      <c r="E31" s="22">
        <v>-1</v>
      </c>
      <c r="F31" s="22" t="str">
        <f t="shared" si="4"/>
        <v>0 ± 0</v>
      </c>
      <c r="G31" s="22" t="str">
        <f t="shared" si="0"/>
        <v>0 ± 0</v>
      </c>
      <c r="H31" s="23">
        <v>-1</v>
      </c>
      <c r="I31" s="23">
        <v>-1</v>
      </c>
      <c r="J31" s="23" t="str">
        <f t="shared" si="1"/>
        <v>0 ± 0</v>
      </c>
      <c r="K31" s="23" t="str">
        <f t="shared" si="2"/>
        <v>0 ± 0</v>
      </c>
      <c r="L31" s="24">
        <v>-1</v>
      </c>
      <c r="M31" s="24">
        <v>-1</v>
      </c>
      <c r="N31" s="24" t="str">
        <f t="shared" si="5"/>
        <v>0 ± 0</v>
      </c>
      <c r="O31" s="24" t="str">
        <f t="shared" si="6"/>
        <v>0 ± 0</v>
      </c>
      <c r="Q31" s="20" cm="1">
        <f t="array" ref="Q31">PointMin3(ABS(B31-D31)+ABS(C31-E31),ABS(B31-H31)+ABS(C31-I31),ABS(B31-L31)+ABS(C31-M31),ABS(B31-D31)+ABS(C31-E31))</f>
        <v>1</v>
      </c>
      <c r="R31" s="20" cm="1">
        <f t="array" ref="R31">PointMin3(ABS(B31-D31)+ABS(C31-E31),ABS(B31-H31)+ABS(C31-I31),ABS(B31-L31)+ABS(C31-M31),ABS(B31-H31)+ABS(C31-I31))</f>
        <v>1</v>
      </c>
      <c r="S31" s="20" cm="1">
        <f t="array" ref="S31">PointMin3(ABS(B31-D31)+ABS(C31-E31),ABS(B31-H31)+ABS(C31-I31),ABS(B31-L31)+ABS(C31-M31),ABS(B31-L31)+ABS(C31-M31))</f>
        <v>1</v>
      </c>
      <c r="T31" s="20">
        <v>1</v>
      </c>
    </row>
    <row r="32" spans="1:20" x14ac:dyDescent="0.3">
      <c r="A32" s="67">
        <f t="shared" si="3"/>
        <v>30</v>
      </c>
      <c r="B32" s="70">
        <v>-1</v>
      </c>
      <c r="C32" s="21">
        <v>-1</v>
      </c>
      <c r="D32" s="22">
        <v>-1</v>
      </c>
      <c r="E32" s="22">
        <v>-1</v>
      </c>
      <c r="F32" s="22" t="str">
        <f t="shared" si="4"/>
        <v>0 ± 0</v>
      </c>
      <c r="G32" s="22" t="str">
        <f t="shared" si="0"/>
        <v>0 ± 0</v>
      </c>
      <c r="H32" s="23">
        <v>-1</v>
      </c>
      <c r="I32" s="23">
        <v>-1</v>
      </c>
      <c r="J32" s="23" t="str">
        <f t="shared" si="1"/>
        <v>0 ± 0</v>
      </c>
      <c r="K32" s="23" t="str">
        <f t="shared" si="2"/>
        <v>0 ± 0</v>
      </c>
      <c r="L32" s="24">
        <v>-1</v>
      </c>
      <c r="M32" s="24">
        <v>-1</v>
      </c>
      <c r="N32" s="24" t="str">
        <f t="shared" si="5"/>
        <v>0 ± 0</v>
      </c>
      <c r="O32" s="24" t="str">
        <f t="shared" si="6"/>
        <v>0 ± 0</v>
      </c>
      <c r="Q32" s="20" cm="1">
        <f t="array" ref="Q32">PointMin3(ABS(B32-D32)+ABS(C32-E32),ABS(B32-H32)+ABS(C32-I32),ABS(B32-L32)+ABS(C32-M32),ABS(B32-D32)+ABS(C32-E32))</f>
        <v>1</v>
      </c>
      <c r="R32" s="20" cm="1">
        <f t="array" ref="R32">PointMin3(ABS(B32-D32)+ABS(C32-E32),ABS(B32-H32)+ABS(C32-I32),ABS(B32-L32)+ABS(C32-M32),ABS(B32-H32)+ABS(C32-I32))</f>
        <v>1</v>
      </c>
      <c r="S32" s="20" cm="1">
        <f t="array" ref="S32">PointMin3(ABS(B32-D32)+ABS(C32-E32),ABS(B32-H32)+ABS(C32-I32),ABS(B32-L32)+ABS(C32-M32),ABS(B32-L32)+ABS(C32-M32))</f>
        <v>1</v>
      </c>
      <c r="T32" s="20">
        <v>1</v>
      </c>
    </row>
    <row r="33" spans="1:20" x14ac:dyDescent="0.3">
      <c r="A33" s="99">
        <f t="shared" si="3"/>
        <v>31</v>
      </c>
      <c r="B33" s="70">
        <f>[1]Кг_s1!D32</f>
        <v>0.99233058249835704</v>
      </c>
      <c r="C33" s="21">
        <f>[1]Кг_s1!I32</f>
        <v>3.3408837392875514E-2</v>
      </c>
      <c r="D33" s="22">
        <f>[2]Кг_s1!B32</f>
        <v>0.5</v>
      </c>
      <c r="E33" s="22">
        <f>[2]Кг_s1!$C$2</f>
        <v>1E-3</v>
      </c>
      <c r="F33" s="22" t="str">
        <f t="shared" si="4"/>
        <v>0,493 ± 0,033</v>
      </c>
      <c r="G33" s="22" t="str">
        <f t="shared" si="0"/>
        <v>49,614 ± 3,266</v>
      </c>
      <c r="H33" s="23">
        <f>[3]Кг_s1!B32</f>
        <v>0.49807528207073093</v>
      </c>
      <c r="I33" s="23">
        <f>[3]Кг_s1!F32</f>
        <v>0.49807532712325897</v>
      </c>
      <c r="J33" s="23" t="str">
        <f t="shared" si="1"/>
        <v>0,495 ± 0,465</v>
      </c>
      <c r="K33" s="23" t="str">
        <f t="shared" si="2"/>
        <v>49,808 ± 46,826</v>
      </c>
      <c r="L33" s="24">
        <f>[4]Кг_s1!D32</f>
        <v>0.98128654970760232</v>
      </c>
      <c r="M33" s="24">
        <f>[4]Кг_s1!I32</f>
        <v>5.4596098577778737E-3</v>
      </c>
      <c r="N33" s="24" t="str">
        <f t="shared" si="5"/>
        <v>0,012 ± 0,028</v>
      </c>
      <c r="O33" s="24" t="str">
        <f t="shared" si="6"/>
        <v>1,113 ± 2,817</v>
      </c>
      <c r="Q33" s="20" cm="1">
        <f t="array" ref="Q33">PointMin3(ABS(B33-D33)+ABS(C33-E33),ABS(B33-H33)+ABS(C33-I33),ABS(B33-L33)+ABS(C33-M33),ABS(B33-D33)+ABS(C33-E33))</f>
        <v>2</v>
      </c>
      <c r="R33" s="20" cm="1">
        <f t="array" ref="R33">PointMin3(ABS(B33-D33)+ABS(C33-E33),ABS(B33-H33)+ABS(C33-I33),ABS(B33-L33)+ABS(C33-M33),ABS(B33-H33)+ABS(C33-I33))</f>
        <v>1</v>
      </c>
      <c r="S33" s="20" cm="1">
        <f t="array" ref="S33">PointMin3(ABS(B33-D33)+ABS(C33-E33),ABS(B33-H33)+ABS(C33-I33),ABS(B33-L33)+ABS(C33-M33),ABS(B33-L33)+ABS(C33-M33))</f>
        <v>3</v>
      </c>
      <c r="T33" s="20">
        <v>4</v>
      </c>
    </row>
    <row r="34" spans="1:20" x14ac:dyDescent="0.3">
      <c r="A34" s="67">
        <f t="shared" si="3"/>
        <v>32</v>
      </c>
      <c r="B34" s="70">
        <v>-1</v>
      </c>
      <c r="C34" s="21">
        <v>-1</v>
      </c>
      <c r="D34" s="22">
        <v>-1</v>
      </c>
      <c r="E34" s="22">
        <v>-1</v>
      </c>
      <c r="F34" s="22" t="str">
        <f t="shared" si="4"/>
        <v>0 ± 0</v>
      </c>
      <c r="G34" s="22" t="str">
        <f t="shared" si="0"/>
        <v>0 ± 0</v>
      </c>
      <c r="H34" s="23">
        <v>-1</v>
      </c>
      <c r="I34" s="23">
        <v>-1</v>
      </c>
      <c r="J34" s="23" t="str">
        <f t="shared" si="1"/>
        <v>0 ± 0</v>
      </c>
      <c r="K34" s="23" t="str">
        <f t="shared" si="2"/>
        <v>0 ± 0</v>
      </c>
      <c r="L34" s="24">
        <v>-1</v>
      </c>
      <c r="M34" s="24">
        <v>-1</v>
      </c>
      <c r="N34" s="24" t="str">
        <f t="shared" si="5"/>
        <v>0 ± 0</v>
      </c>
      <c r="O34" s="24" t="str">
        <f t="shared" si="6"/>
        <v>0 ± 0</v>
      </c>
      <c r="Q34" s="20" cm="1">
        <f t="array" ref="Q34">PointMin3(ABS(B34-D34)+ABS(C34-E34),ABS(B34-H34)+ABS(C34-I34),ABS(B34-L34)+ABS(C34-M34),ABS(B34-D34)+ABS(C34-E34))</f>
        <v>1</v>
      </c>
      <c r="R34" s="20" cm="1">
        <f t="array" ref="R34">PointMin3(ABS(B34-D34)+ABS(C34-E34),ABS(B34-H34)+ABS(C34-I34),ABS(B34-L34)+ABS(C34-M34),ABS(B34-H34)+ABS(C34-I34))</f>
        <v>1</v>
      </c>
      <c r="S34" s="20" cm="1">
        <f t="array" ref="S34">PointMin3(ABS(B34-D34)+ABS(C34-E34),ABS(B34-H34)+ABS(C34-I34),ABS(B34-L34)+ABS(C34-M34),ABS(B34-L34)+ABS(C34-M34))</f>
        <v>1</v>
      </c>
      <c r="T34" s="20">
        <v>1</v>
      </c>
    </row>
    <row r="35" spans="1:20" x14ac:dyDescent="0.3">
      <c r="A35" s="67">
        <f t="shared" si="3"/>
        <v>33</v>
      </c>
      <c r="B35" s="70">
        <v>-1</v>
      </c>
      <c r="C35" s="21">
        <v>-1</v>
      </c>
      <c r="D35" s="22">
        <v>-1</v>
      </c>
      <c r="E35" s="22">
        <v>-1</v>
      </c>
      <c r="F35" s="22" t="str">
        <f t="shared" si="4"/>
        <v>0 ± 0</v>
      </c>
      <c r="G35" s="22" t="str">
        <f t="shared" si="0"/>
        <v>0 ± 0</v>
      </c>
      <c r="H35" s="23">
        <v>-1</v>
      </c>
      <c r="I35" s="23">
        <v>-1</v>
      </c>
      <c r="J35" s="23" t="str">
        <f t="shared" si="1"/>
        <v>0 ± 0</v>
      </c>
      <c r="K35" s="23" t="str">
        <f t="shared" si="2"/>
        <v>0 ± 0</v>
      </c>
      <c r="L35" s="24">
        <v>-1</v>
      </c>
      <c r="M35" s="24">
        <v>-1</v>
      </c>
      <c r="N35" s="24" t="str">
        <f t="shared" si="5"/>
        <v>0 ± 0</v>
      </c>
      <c r="O35" s="24" t="str">
        <f t="shared" si="6"/>
        <v>0 ± 0</v>
      </c>
      <c r="Q35" s="20" cm="1">
        <f t="array" ref="Q35">PointMin3(ABS(B35-D35)+ABS(C35-E35),ABS(B35-H35)+ABS(C35-I35),ABS(B35-L35)+ABS(C35-M35),ABS(B35-D35)+ABS(C35-E35))</f>
        <v>1</v>
      </c>
      <c r="R35" s="20" cm="1">
        <f t="array" ref="R35">PointMin3(ABS(B35-D35)+ABS(C35-E35),ABS(B35-H35)+ABS(C35-I35),ABS(B35-L35)+ABS(C35-M35),ABS(B35-H35)+ABS(C35-I35))</f>
        <v>1</v>
      </c>
      <c r="S35" s="20" cm="1">
        <f t="array" ref="S35">PointMin3(ABS(B35-D35)+ABS(C35-E35),ABS(B35-H35)+ABS(C35-I35),ABS(B35-L35)+ABS(C35-M35),ABS(B35-L35)+ABS(C35-M35))</f>
        <v>1</v>
      </c>
      <c r="T35" s="20">
        <v>1</v>
      </c>
    </row>
    <row r="36" spans="1:20" x14ac:dyDescent="0.3">
      <c r="A36" s="67">
        <f t="shared" si="3"/>
        <v>34</v>
      </c>
      <c r="B36" s="70">
        <v>-1</v>
      </c>
      <c r="C36" s="21">
        <v>-1</v>
      </c>
      <c r="D36" s="22">
        <v>-1</v>
      </c>
      <c r="E36" s="22">
        <v>-1</v>
      </c>
      <c r="F36" s="22" t="str">
        <f t="shared" si="4"/>
        <v>0 ± 0</v>
      </c>
      <c r="G36" s="22" t="str">
        <f t="shared" si="0"/>
        <v>0 ± 0</v>
      </c>
      <c r="H36" s="23">
        <v>-1</v>
      </c>
      <c r="I36" s="23">
        <v>-1</v>
      </c>
      <c r="J36" s="23" t="str">
        <f t="shared" si="1"/>
        <v>0 ± 0</v>
      </c>
      <c r="K36" s="23" t="str">
        <f t="shared" si="2"/>
        <v>0 ± 0</v>
      </c>
      <c r="L36" s="24">
        <v>-1</v>
      </c>
      <c r="M36" s="24">
        <v>-1</v>
      </c>
      <c r="N36" s="24" t="str">
        <f t="shared" si="5"/>
        <v>0 ± 0</v>
      </c>
      <c r="O36" s="24" t="str">
        <f t="shared" si="6"/>
        <v>0 ± 0</v>
      </c>
      <c r="Q36" s="20" cm="1">
        <f t="array" ref="Q36">PointMin3(ABS(B36-D36)+ABS(C36-E36),ABS(B36-H36)+ABS(C36-I36),ABS(B36-L36)+ABS(C36-M36),ABS(B36-D36)+ABS(C36-E36))</f>
        <v>1</v>
      </c>
      <c r="R36" s="20" cm="1">
        <f t="array" ref="R36">PointMin3(ABS(B36-D36)+ABS(C36-E36),ABS(B36-H36)+ABS(C36-I36),ABS(B36-L36)+ABS(C36-M36),ABS(B36-H36)+ABS(C36-I36))</f>
        <v>1</v>
      </c>
      <c r="S36" s="20" cm="1">
        <f t="array" ref="S36">PointMin3(ABS(B36-D36)+ABS(C36-E36),ABS(B36-H36)+ABS(C36-I36),ABS(B36-L36)+ABS(C36-M36),ABS(B36-L36)+ABS(C36-M36))</f>
        <v>1</v>
      </c>
      <c r="T36" s="20">
        <v>1</v>
      </c>
    </row>
    <row r="37" spans="1:20" x14ac:dyDescent="0.3">
      <c r="A37" s="67">
        <f t="shared" si="3"/>
        <v>35</v>
      </c>
      <c r="B37" s="70">
        <v>-1</v>
      </c>
      <c r="C37" s="21">
        <v>-1</v>
      </c>
      <c r="D37" s="22">
        <v>-1</v>
      </c>
      <c r="E37" s="22">
        <v>-1</v>
      </c>
      <c r="F37" s="22" t="str">
        <f t="shared" si="4"/>
        <v>0 ± 0</v>
      </c>
      <c r="G37" s="22" t="str">
        <f t="shared" si="0"/>
        <v>0 ± 0</v>
      </c>
      <c r="H37" s="23">
        <v>-1</v>
      </c>
      <c r="I37" s="23">
        <v>-1</v>
      </c>
      <c r="J37" s="23" t="str">
        <f t="shared" si="1"/>
        <v>0 ± 0</v>
      </c>
      <c r="K37" s="23" t="str">
        <f t="shared" si="2"/>
        <v>0 ± 0</v>
      </c>
      <c r="L37" s="24">
        <v>-1</v>
      </c>
      <c r="M37" s="24">
        <v>-1</v>
      </c>
      <c r="N37" s="24" t="str">
        <f t="shared" si="5"/>
        <v>0 ± 0</v>
      </c>
      <c r="O37" s="24" t="str">
        <f t="shared" si="6"/>
        <v>0 ± 0</v>
      </c>
      <c r="Q37" s="20" cm="1">
        <f t="array" ref="Q37">PointMin3(ABS(B37-D37)+ABS(C37-E37),ABS(B37-H37)+ABS(C37-I37),ABS(B37-L37)+ABS(C37-M37),ABS(B37-D37)+ABS(C37-E37))</f>
        <v>1</v>
      </c>
      <c r="R37" s="20" cm="1">
        <f t="array" ref="R37">PointMin3(ABS(B37-D37)+ABS(C37-E37),ABS(B37-H37)+ABS(C37-I37),ABS(B37-L37)+ABS(C37-M37),ABS(B37-H37)+ABS(C37-I37))</f>
        <v>1</v>
      </c>
      <c r="S37" s="20" cm="1">
        <f t="array" ref="S37">PointMin3(ABS(B37-D37)+ABS(C37-E37),ABS(B37-H37)+ABS(C37-I37),ABS(B37-L37)+ABS(C37-M37),ABS(B37-L37)+ABS(C37-M37))</f>
        <v>1</v>
      </c>
      <c r="T37" s="20">
        <v>1</v>
      </c>
    </row>
    <row r="38" spans="1:20" x14ac:dyDescent="0.3">
      <c r="A38" s="99">
        <f t="shared" si="3"/>
        <v>36</v>
      </c>
      <c r="B38" s="70">
        <f>[1]Кг_s1!D37</f>
        <v>0.96625504971354281</v>
      </c>
      <c r="C38" s="21">
        <f>[1]Кг_s1!I37</f>
        <v>8.8082117426413389E-3</v>
      </c>
      <c r="D38" s="22">
        <f>[2]Кг_s1!B37</f>
        <v>0.5</v>
      </c>
      <c r="E38" s="22">
        <f>[2]Кг_s1!$C$2</f>
        <v>1E-3</v>
      </c>
      <c r="F38" s="22" t="str">
        <f t="shared" si="4"/>
        <v>0,467 ± 0,008</v>
      </c>
      <c r="G38" s="22" t="str">
        <f t="shared" si="0"/>
        <v>48,254 ± 0,809</v>
      </c>
      <c r="H38" s="23">
        <f>[3]Кг_s1!B37</f>
        <v>0.49664251047137825</v>
      </c>
      <c r="I38" s="23">
        <f>[3]Кг_s1!F37</f>
        <v>0.49664264916564171</v>
      </c>
      <c r="J38" s="23" t="str">
        <f t="shared" si="1"/>
        <v>0,47 ± 0,488</v>
      </c>
      <c r="K38" s="23" t="str">
        <f t="shared" si="2"/>
        <v>48,602 ± 50,488</v>
      </c>
      <c r="L38" s="24">
        <f>[4]Кг_s1!D37</f>
        <v>0.97836257309941521</v>
      </c>
      <c r="M38" s="24">
        <f>[4]Кг_s1!I37</f>
        <v>5.1230543965650691E-3</v>
      </c>
      <c r="N38" s="24" t="str">
        <f t="shared" si="5"/>
        <v>0,013 ± 0,004</v>
      </c>
      <c r="O38" s="24" t="str">
        <f t="shared" si="6"/>
        <v>1,254 ± 0,382</v>
      </c>
      <c r="Q38" s="20" cm="1">
        <f t="array" ref="Q38">PointMin3(ABS(B38-D38)+ABS(C38-E38),ABS(B38-H38)+ABS(C38-I38),ABS(B38-L38)+ABS(C38-M38),ABS(B38-D38)+ABS(C38-E38))</f>
        <v>2</v>
      </c>
      <c r="R38" s="20" cm="1">
        <f t="array" ref="R38">PointMin3(ABS(B38-D38)+ABS(C38-E38),ABS(B38-H38)+ABS(C38-I38),ABS(B38-L38)+ABS(C38-M38),ABS(B38-H38)+ABS(C38-I38))</f>
        <v>1</v>
      </c>
      <c r="S38" s="20" cm="1">
        <f t="array" ref="S38">PointMin3(ABS(B38-D38)+ABS(C38-E38),ABS(B38-H38)+ABS(C38-I38),ABS(B38-L38)+ABS(C38-M38),ABS(B38-L38)+ABS(C38-M38))</f>
        <v>3</v>
      </c>
      <c r="T38" s="20">
        <v>4</v>
      </c>
    </row>
    <row r="39" spans="1:20" x14ac:dyDescent="0.3">
      <c r="A39" s="67">
        <f t="shared" si="3"/>
        <v>37</v>
      </c>
      <c r="B39" s="70">
        <v>-1</v>
      </c>
      <c r="C39" s="21">
        <v>-1</v>
      </c>
      <c r="D39" s="22">
        <v>-1</v>
      </c>
      <c r="E39" s="22">
        <v>-1</v>
      </c>
      <c r="F39" s="22" t="str">
        <f t="shared" si="4"/>
        <v>0 ± 0</v>
      </c>
      <c r="G39" s="22" t="str">
        <f t="shared" si="0"/>
        <v>0 ± 0</v>
      </c>
      <c r="H39" s="23">
        <v>-1</v>
      </c>
      <c r="I39" s="23">
        <v>-1</v>
      </c>
      <c r="J39" s="23" t="str">
        <f t="shared" si="1"/>
        <v>0 ± 0</v>
      </c>
      <c r="K39" s="23" t="str">
        <f t="shared" si="2"/>
        <v>0 ± 0</v>
      </c>
      <c r="L39" s="24">
        <v>-1</v>
      </c>
      <c r="M39" s="24">
        <v>-1</v>
      </c>
      <c r="N39" s="24" t="str">
        <f t="shared" si="5"/>
        <v>0 ± 0</v>
      </c>
      <c r="O39" s="24" t="str">
        <f t="shared" si="6"/>
        <v>0 ± 0</v>
      </c>
      <c r="Q39" s="20" cm="1">
        <f t="array" ref="Q39">PointMin3(ABS(B39-D39)+ABS(C39-E39),ABS(B39-H39)+ABS(C39-I39),ABS(B39-L39)+ABS(C39-M39),ABS(B39-D39)+ABS(C39-E39))</f>
        <v>1</v>
      </c>
      <c r="R39" s="20" cm="1">
        <f t="array" ref="R39">PointMin3(ABS(B39-D39)+ABS(C39-E39),ABS(B39-H39)+ABS(C39-I39),ABS(B39-L39)+ABS(C39-M39),ABS(B39-H39)+ABS(C39-I39))</f>
        <v>1</v>
      </c>
      <c r="S39" s="20" cm="1">
        <f t="array" ref="S39">PointMin3(ABS(B39-D39)+ABS(C39-E39),ABS(B39-H39)+ABS(C39-I39),ABS(B39-L39)+ABS(C39-M39),ABS(B39-L39)+ABS(C39-M39))</f>
        <v>1</v>
      </c>
      <c r="T39" s="20">
        <v>1</v>
      </c>
    </row>
    <row r="40" spans="1:20" x14ac:dyDescent="0.3">
      <c r="A40" s="67">
        <f t="shared" si="3"/>
        <v>38</v>
      </c>
      <c r="B40" s="70">
        <v>-1</v>
      </c>
      <c r="C40" s="21">
        <v>-1</v>
      </c>
      <c r="D40" s="22">
        <v>-1</v>
      </c>
      <c r="E40" s="22">
        <v>-1</v>
      </c>
      <c r="F40" s="22" t="str">
        <f t="shared" si="4"/>
        <v>0 ± 0</v>
      </c>
      <c r="G40" s="22" t="str">
        <f t="shared" si="0"/>
        <v>0 ± 0</v>
      </c>
      <c r="H40" s="23">
        <v>-1</v>
      </c>
      <c r="I40" s="23">
        <v>-1</v>
      </c>
      <c r="J40" s="23" t="str">
        <f t="shared" si="1"/>
        <v>0 ± 0</v>
      </c>
      <c r="K40" s="23" t="str">
        <f t="shared" si="2"/>
        <v>0 ± 0</v>
      </c>
      <c r="L40" s="24">
        <v>-1</v>
      </c>
      <c r="M40" s="24">
        <v>-1</v>
      </c>
      <c r="N40" s="24" t="str">
        <f t="shared" si="5"/>
        <v>0 ± 0</v>
      </c>
      <c r="O40" s="24" t="str">
        <f t="shared" si="6"/>
        <v>0 ± 0</v>
      </c>
      <c r="Q40" s="20" cm="1">
        <f t="array" ref="Q40">PointMin3(ABS(B40-D40)+ABS(C40-E40),ABS(B40-H40)+ABS(C40-I40),ABS(B40-L40)+ABS(C40-M40),ABS(B40-D40)+ABS(C40-E40))</f>
        <v>1</v>
      </c>
      <c r="R40" s="20" cm="1">
        <f t="array" ref="R40">PointMin3(ABS(B40-D40)+ABS(C40-E40),ABS(B40-H40)+ABS(C40-I40),ABS(B40-L40)+ABS(C40-M40),ABS(B40-H40)+ABS(C40-I40))</f>
        <v>1</v>
      </c>
      <c r="S40" s="20" cm="1">
        <f t="array" ref="S40">PointMin3(ABS(B40-D40)+ABS(C40-E40),ABS(B40-H40)+ABS(C40-I40),ABS(B40-L40)+ABS(C40-M40),ABS(B40-L40)+ABS(C40-M40))</f>
        <v>1</v>
      </c>
      <c r="T40" s="20">
        <v>1</v>
      </c>
    </row>
    <row r="41" spans="1:20" x14ac:dyDescent="0.3">
      <c r="A41" s="67">
        <f t="shared" si="3"/>
        <v>39</v>
      </c>
      <c r="B41" s="70">
        <v>-1</v>
      </c>
      <c r="C41" s="21">
        <v>-1</v>
      </c>
      <c r="D41" s="22">
        <v>-1</v>
      </c>
      <c r="E41" s="22">
        <v>-1</v>
      </c>
      <c r="F41" s="22" t="str">
        <f t="shared" si="4"/>
        <v>0 ± 0</v>
      </c>
      <c r="G41" s="22" t="str">
        <f t="shared" si="0"/>
        <v>0 ± 0</v>
      </c>
      <c r="H41" s="23">
        <v>-1</v>
      </c>
      <c r="I41" s="23">
        <v>-1</v>
      </c>
      <c r="J41" s="23" t="str">
        <f t="shared" si="1"/>
        <v>0 ± 0</v>
      </c>
      <c r="K41" s="23" t="str">
        <f t="shared" si="2"/>
        <v>0 ± 0</v>
      </c>
      <c r="L41" s="24">
        <v>-1</v>
      </c>
      <c r="M41" s="24">
        <v>-1</v>
      </c>
      <c r="N41" s="24" t="str">
        <f t="shared" si="5"/>
        <v>0 ± 0</v>
      </c>
      <c r="O41" s="24" t="str">
        <f t="shared" si="6"/>
        <v>0 ± 0</v>
      </c>
      <c r="Q41" s="20" cm="1">
        <f t="array" ref="Q41">PointMin3(ABS(B41-D41)+ABS(C41-E41),ABS(B41-H41)+ABS(C41-I41),ABS(B41-L41)+ABS(C41-M41),ABS(B41-D41)+ABS(C41-E41))</f>
        <v>1</v>
      </c>
      <c r="R41" s="20" cm="1">
        <f t="array" ref="R41">PointMin3(ABS(B41-D41)+ABS(C41-E41),ABS(B41-H41)+ABS(C41-I41),ABS(B41-L41)+ABS(C41-M41),ABS(B41-H41)+ABS(C41-I41))</f>
        <v>1</v>
      </c>
      <c r="S41" s="20" cm="1">
        <f t="array" ref="S41">PointMin3(ABS(B41-D41)+ABS(C41-E41),ABS(B41-H41)+ABS(C41-I41),ABS(B41-L41)+ABS(C41-M41),ABS(B41-L41)+ABS(C41-M41))</f>
        <v>1</v>
      </c>
      <c r="T41" s="20">
        <v>1</v>
      </c>
    </row>
    <row r="42" spans="1:20" x14ac:dyDescent="0.3">
      <c r="A42" s="67">
        <f t="shared" si="3"/>
        <v>40</v>
      </c>
      <c r="B42" s="70">
        <v>-1</v>
      </c>
      <c r="C42" s="21">
        <v>-1</v>
      </c>
      <c r="D42" s="22">
        <v>-1</v>
      </c>
      <c r="E42" s="22">
        <v>-1</v>
      </c>
      <c r="F42" s="22" t="str">
        <f t="shared" si="4"/>
        <v>0 ± 0</v>
      </c>
      <c r="G42" s="22" t="str">
        <f t="shared" si="0"/>
        <v>0 ± 0</v>
      </c>
      <c r="H42" s="23">
        <v>-1</v>
      </c>
      <c r="I42" s="23">
        <v>-1</v>
      </c>
      <c r="J42" s="23" t="str">
        <f t="shared" si="1"/>
        <v>0 ± 0</v>
      </c>
      <c r="K42" s="23" t="str">
        <f t="shared" si="2"/>
        <v>0 ± 0</v>
      </c>
      <c r="L42" s="24">
        <v>-1</v>
      </c>
      <c r="M42" s="24">
        <v>-1</v>
      </c>
      <c r="N42" s="24" t="str">
        <f t="shared" si="5"/>
        <v>0 ± 0</v>
      </c>
      <c r="O42" s="24" t="str">
        <f t="shared" si="6"/>
        <v>0 ± 0</v>
      </c>
      <c r="Q42" s="20" cm="1">
        <f t="array" ref="Q42">PointMin3(ABS(B42-D42)+ABS(C42-E42),ABS(B42-H42)+ABS(C42-I42),ABS(B42-L42)+ABS(C42-M42),ABS(B42-D42)+ABS(C42-E42))</f>
        <v>1</v>
      </c>
      <c r="R42" s="20" cm="1">
        <f t="array" ref="R42">PointMin3(ABS(B42-D42)+ABS(C42-E42),ABS(B42-H42)+ABS(C42-I42),ABS(B42-L42)+ABS(C42-M42),ABS(B42-H42)+ABS(C42-I42))</f>
        <v>1</v>
      </c>
      <c r="S42" s="20" cm="1">
        <f t="array" ref="S42">PointMin3(ABS(B42-D42)+ABS(C42-E42),ABS(B42-H42)+ABS(C42-I42),ABS(B42-L42)+ABS(C42-M42),ABS(B42-L42)+ABS(C42-M42))</f>
        <v>1</v>
      </c>
      <c r="T42" s="20">
        <v>1</v>
      </c>
    </row>
    <row r="43" spans="1:20" x14ac:dyDescent="0.3">
      <c r="A43" s="99">
        <f t="shared" si="3"/>
        <v>41</v>
      </c>
      <c r="B43" s="70">
        <f>[1]Кг_s1!D42</f>
        <v>1</v>
      </c>
      <c r="C43" s="21">
        <f>[1]Кг_s1!I42</f>
        <v>0</v>
      </c>
      <c r="D43" s="22">
        <f>[2]Кг_s1!B42</f>
        <v>1</v>
      </c>
      <c r="E43" s="22">
        <f>[2]Кг_s1!$C$2</f>
        <v>1E-3</v>
      </c>
      <c r="F43" s="22" t="str">
        <f t="shared" si="4"/>
        <v>0 ± 0,001</v>
      </c>
      <c r="G43" s="22" t="str">
        <f t="shared" si="0"/>
        <v>0 ± 0,1</v>
      </c>
      <c r="H43" s="23">
        <f>[3]Кг_s1!B42</f>
        <v>0.36261102831594633</v>
      </c>
      <c r="I43" s="23">
        <f>[3]Кг_s1!F42</f>
        <v>3.7160469338446439E-2</v>
      </c>
      <c r="J43" s="23" t="str">
        <f t="shared" si="1"/>
        <v>0,638 ± 0,038</v>
      </c>
      <c r="K43" s="23" t="str">
        <f t="shared" si="2"/>
        <v>63,739 ± 3,717</v>
      </c>
      <c r="L43" s="24">
        <f>[4]Кг_s1!D42</f>
        <v>0.99122807017543857</v>
      </c>
      <c r="M43" s="24">
        <f>[4]Кг_s1!I42</f>
        <v>3.2293620896751093E-3</v>
      </c>
      <c r="N43" s="24" t="str">
        <f t="shared" si="5"/>
        <v>0,009 ± 0,004</v>
      </c>
      <c r="O43" s="24" t="str">
        <f t="shared" si="6"/>
        <v>0,878 ± 0,323</v>
      </c>
      <c r="Q43" s="20" cm="1">
        <f t="array" ref="Q43">PointMin3(ABS(B43-D43)+ABS(C43-E43),ABS(B43-H43)+ABS(C43-I43),ABS(B43-L43)+ABS(C43-M43),ABS(B43-D43)+ABS(C43-E43))</f>
        <v>3</v>
      </c>
      <c r="R43" s="20" cm="1">
        <f t="array" ref="R43">PointMin3(ABS(B43-D43)+ABS(C43-E43),ABS(B43-H43)+ABS(C43-I43),ABS(B43-L43)+ABS(C43-M43),ABS(B43-H43)+ABS(C43-I43))</f>
        <v>1</v>
      </c>
      <c r="S43" s="20" cm="1">
        <f t="array" ref="S43">PointMin3(ABS(B43-D43)+ABS(C43-E43),ABS(B43-H43)+ABS(C43-I43),ABS(B43-L43)+ABS(C43-M43),ABS(B43-L43)+ABS(C43-M43))</f>
        <v>2</v>
      </c>
      <c r="T43" s="20">
        <v>4</v>
      </c>
    </row>
    <row r="44" spans="1:20" x14ac:dyDescent="0.3">
      <c r="A44" s="98">
        <f t="shared" si="3"/>
        <v>42</v>
      </c>
      <c r="B44" s="70">
        <v>-1</v>
      </c>
      <c r="C44" s="21">
        <v>-1</v>
      </c>
      <c r="D44" s="22">
        <v>-1</v>
      </c>
      <c r="E44" s="22">
        <v>-1</v>
      </c>
      <c r="F44" s="22" t="str">
        <f t="shared" si="4"/>
        <v>0 ± 0</v>
      </c>
      <c r="G44" s="22" t="str">
        <f t="shared" si="0"/>
        <v>0 ± 0</v>
      </c>
      <c r="H44" s="23">
        <v>-1</v>
      </c>
      <c r="I44" s="23">
        <v>-1</v>
      </c>
      <c r="J44" s="23" t="str">
        <f t="shared" si="1"/>
        <v>0 ± 0</v>
      </c>
      <c r="K44" s="23" t="str">
        <f t="shared" si="2"/>
        <v>0 ± 0</v>
      </c>
      <c r="L44" s="24">
        <v>-1</v>
      </c>
      <c r="M44" s="24">
        <v>-1</v>
      </c>
      <c r="N44" s="24" t="str">
        <f t="shared" si="5"/>
        <v>0 ± 0</v>
      </c>
      <c r="O44" s="24" t="str">
        <f t="shared" si="6"/>
        <v>0 ± 0</v>
      </c>
      <c r="Q44" s="20" cm="1">
        <f t="array" ref="Q44">PointMin3(ABS(B44-D44)+ABS(C44-E44),ABS(B44-H44)+ABS(C44-I44),ABS(B44-L44)+ABS(C44-M44),ABS(B44-D44)+ABS(C44-E44))</f>
        <v>1</v>
      </c>
      <c r="R44" s="20" cm="1">
        <f t="array" ref="R44">PointMin3(ABS(B44-D44)+ABS(C44-E44),ABS(B44-H44)+ABS(C44-I44),ABS(B44-L44)+ABS(C44-M44),ABS(B44-H44)+ABS(C44-I44))</f>
        <v>1</v>
      </c>
      <c r="S44" s="20" cm="1">
        <f t="array" ref="S44">PointMin3(ABS(B44-D44)+ABS(C44-E44),ABS(B44-H44)+ABS(C44-I44),ABS(B44-L44)+ABS(C44-M44),ABS(B44-L44)+ABS(C44-M44))</f>
        <v>1</v>
      </c>
      <c r="T44" s="20">
        <v>1</v>
      </c>
    </row>
    <row r="45" spans="1:20" x14ac:dyDescent="0.3">
      <c r="A45" s="98">
        <f t="shared" si="3"/>
        <v>43</v>
      </c>
      <c r="B45" s="70">
        <v>-1</v>
      </c>
      <c r="C45" s="21">
        <v>-1</v>
      </c>
      <c r="D45" s="22">
        <v>-1</v>
      </c>
      <c r="E45" s="22">
        <v>-1</v>
      </c>
      <c r="F45" s="22" t="str">
        <f t="shared" si="4"/>
        <v>0 ± 0</v>
      </c>
      <c r="G45" s="22" t="str">
        <f t="shared" si="0"/>
        <v>0 ± 0</v>
      </c>
      <c r="H45" s="23">
        <v>-1</v>
      </c>
      <c r="I45" s="23">
        <v>-1</v>
      </c>
      <c r="J45" s="23" t="str">
        <f t="shared" si="1"/>
        <v>0 ± 0</v>
      </c>
      <c r="K45" s="23" t="str">
        <f t="shared" si="2"/>
        <v>0 ± 0</v>
      </c>
      <c r="L45" s="24">
        <v>-1</v>
      </c>
      <c r="M45" s="24">
        <v>-1</v>
      </c>
      <c r="N45" s="24" t="str">
        <f t="shared" si="5"/>
        <v>0 ± 0</v>
      </c>
      <c r="O45" s="24" t="str">
        <f t="shared" si="6"/>
        <v>0 ± 0</v>
      </c>
      <c r="Q45" s="20" cm="1">
        <f t="array" ref="Q45">PointMin3(ABS(B45-D45)+ABS(C45-E45),ABS(B45-H45)+ABS(C45-I45),ABS(B45-L45)+ABS(C45-M45),ABS(B45-D45)+ABS(C45-E45))</f>
        <v>1</v>
      </c>
      <c r="R45" s="20" cm="1">
        <f t="array" ref="R45">PointMin3(ABS(B45-D45)+ABS(C45-E45),ABS(B45-H45)+ABS(C45-I45),ABS(B45-L45)+ABS(C45-M45),ABS(B45-H45)+ABS(C45-I45))</f>
        <v>1</v>
      </c>
      <c r="S45" s="20" cm="1">
        <f t="array" ref="S45">PointMin3(ABS(B45-D45)+ABS(C45-E45),ABS(B45-H45)+ABS(C45-I45),ABS(B45-L45)+ABS(C45-M45),ABS(B45-L45)+ABS(C45-M45))</f>
        <v>1</v>
      </c>
      <c r="T45" s="20">
        <v>1</v>
      </c>
    </row>
    <row r="46" spans="1:20" x14ac:dyDescent="0.3">
      <c r="A46" s="98">
        <f t="shared" si="3"/>
        <v>44</v>
      </c>
      <c r="B46" s="70">
        <v>-1</v>
      </c>
      <c r="C46" s="21">
        <v>-1</v>
      </c>
      <c r="D46" s="22">
        <v>-1</v>
      </c>
      <c r="E46" s="22">
        <v>-1</v>
      </c>
      <c r="F46" s="22" t="str">
        <f t="shared" si="4"/>
        <v>0 ± 0</v>
      </c>
      <c r="G46" s="22" t="str">
        <f t="shared" si="0"/>
        <v>0 ± 0</v>
      </c>
      <c r="H46" s="23">
        <v>-1</v>
      </c>
      <c r="I46" s="23">
        <v>-1</v>
      </c>
      <c r="J46" s="23" t="str">
        <f t="shared" si="1"/>
        <v>0 ± 0</v>
      </c>
      <c r="K46" s="23" t="str">
        <f t="shared" si="2"/>
        <v>0 ± 0</v>
      </c>
      <c r="L46" s="24">
        <v>-1</v>
      </c>
      <c r="M46" s="24">
        <v>-1</v>
      </c>
      <c r="N46" s="24" t="str">
        <f t="shared" si="5"/>
        <v>0 ± 0</v>
      </c>
      <c r="O46" s="24" t="str">
        <f t="shared" si="6"/>
        <v>0 ± 0</v>
      </c>
      <c r="Q46" s="20" cm="1">
        <f t="array" ref="Q46">PointMin3(ABS(B46-D46)+ABS(C46-E46),ABS(B46-H46)+ABS(C46-I46),ABS(B46-L46)+ABS(C46-M46),ABS(B46-D46)+ABS(C46-E46))</f>
        <v>1</v>
      </c>
      <c r="R46" s="20" cm="1">
        <f t="array" ref="R46">PointMin3(ABS(B46-D46)+ABS(C46-E46),ABS(B46-H46)+ABS(C46-I46),ABS(B46-L46)+ABS(C46-M46),ABS(B46-H46)+ABS(C46-I46))</f>
        <v>1</v>
      </c>
      <c r="S46" s="20" cm="1">
        <f t="array" ref="S46">PointMin3(ABS(B46-D46)+ABS(C46-E46),ABS(B46-H46)+ABS(C46-I46),ABS(B46-L46)+ABS(C46-M46),ABS(B46-L46)+ABS(C46-M46))</f>
        <v>1</v>
      </c>
      <c r="T46" s="20">
        <v>1</v>
      </c>
    </row>
    <row r="47" spans="1:20" x14ac:dyDescent="0.3">
      <c r="A47" s="98">
        <f t="shared" si="3"/>
        <v>45</v>
      </c>
      <c r="B47" s="70">
        <v>-1</v>
      </c>
      <c r="C47" s="21">
        <v>-1</v>
      </c>
      <c r="D47" s="22">
        <v>-1</v>
      </c>
      <c r="E47" s="22">
        <v>-1</v>
      </c>
      <c r="F47" s="22" t="str">
        <f t="shared" si="4"/>
        <v>0 ± 0</v>
      </c>
      <c r="G47" s="22" t="str">
        <f t="shared" si="0"/>
        <v>0 ± 0</v>
      </c>
      <c r="H47" s="23">
        <v>-1</v>
      </c>
      <c r="I47" s="23">
        <v>-1</v>
      </c>
      <c r="J47" s="23" t="str">
        <f t="shared" si="1"/>
        <v>0 ± 0</v>
      </c>
      <c r="K47" s="23" t="str">
        <f t="shared" si="2"/>
        <v>0 ± 0</v>
      </c>
      <c r="L47" s="24">
        <v>-1</v>
      </c>
      <c r="M47" s="24">
        <v>-1</v>
      </c>
      <c r="N47" s="24" t="str">
        <f t="shared" si="5"/>
        <v>0 ± 0</v>
      </c>
      <c r="O47" s="24" t="str">
        <f t="shared" si="6"/>
        <v>0 ± 0</v>
      </c>
      <c r="Q47" s="20" cm="1">
        <f t="array" ref="Q47">PointMin3(ABS(B47-D47)+ABS(C47-E47),ABS(B47-H47)+ABS(C47-I47),ABS(B47-L47)+ABS(C47-M47),ABS(B47-D47)+ABS(C47-E47))</f>
        <v>1</v>
      </c>
      <c r="R47" s="20" cm="1">
        <f t="array" ref="R47">PointMin3(ABS(B47-D47)+ABS(C47-E47),ABS(B47-H47)+ABS(C47-I47),ABS(B47-L47)+ABS(C47-M47),ABS(B47-H47)+ABS(C47-I47))</f>
        <v>1</v>
      </c>
      <c r="S47" s="20" cm="1">
        <f t="array" ref="S47">PointMin3(ABS(B47-D47)+ABS(C47-E47),ABS(B47-H47)+ABS(C47-I47),ABS(B47-L47)+ABS(C47-M47),ABS(B47-L47)+ABS(C47-M47))</f>
        <v>1</v>
      </c>
      <c r="T47" s="20">
        <v>1</v>
      </c>
    </row>
    <row r="48" spans="1:20" x14ac:dyDescent="0.3">
      <c r="A48" s="99">
        <f t="shared" si="3"/>
        <v>46</v>
      </c>
      <c r="B48" s="70">
        <f>[1]Кг_s1!D47</f>
        <v>1</v>
      </c>
      <c r="C48" s="21">
        <f>[1]Кг_s1!I47</f>
        <v>0</v>
      </c>
      <c r="D48" s="22">
        <f>[2]Кг_s1!B47</f>
        <v>1</v>
      </c>
      <c r="E48" s="22">
        <f>[2]Кг_s1!$C$2</f>
        <v>1E-3</v>
      </c>
      <c r="F48" s="22" t="str">
        <f t="shared" si="4"/>
        <v>0 ± 0,001</v>
      </c>
      <c r="G48" s="22" t="str">
        <f t="shared" si="0"/>
        <v>0 ± 0,1</v>
      </c>
      <c r="H48" s="23">
        <f>[3]Кг_s1!B47</f>
        <v>0.36261102831594633</v>
      </c>
      <c r="I48" s="23">
        <f>[3]Кг_s1!F47</f>
        <v>3.7160469338446439E-2</v>
      </c>
      <c r="J48" s="23" t="str">
        <f t="shared" si="1"/>
        <v>0,638 ± 0,038</v>
      </c>
      <c r="K48" s="23" t="str">
        <f t="shared" si="2"/>
        <v>63,739 ± 3,717</v>
      </c>
      <c r="L48" s="24">
        <f>[4]Кг_s1!D47</f>
        <v>0.97894736842105268</v>
      </c>
      <c r="M48" s="24">
        <f>[4]Кг_s1!I47</f>
        <v>5.3123530247567345E-3</v>
      </c>
      <c r="N48" s="24" t="str">
        <f t="shared" si="5"/>
        <v>0,022 ± 0,006</v>
      </c>
      <c r="O48" s="24" t="str">
        <f t="shared" si="6"/>
        <v>2,106 ± 0,532</v>
      </c>
      <c r="Q48" s="20" cm="1">
        <f t="array" ref="Q48">PointMin3(ABS(B48-D48)+ABS(C48-E48),ABS(B48-H48)+ABS(C48-I48),ABS(B48-L48)+ABS(C48-M48),ABS(B48-D48)+ABS(C48-E48))</f>
        <v>3</v>
      </c>
      <c r="R48" s="20" cm="1">
        <f t="array" ref="R48">PointMin3(ABS(B48-D48)+ABS(C48-E48),ABS(B48-H48)+ABS(C48-I48),ABS(B48-L48)+ABS(C48-M48),ABS(B48-H48)+ABS(C48-I48))</f>
        <v>1</v>
      </c>
      <c r="S48" s="20" cm="1">
        <f t="array" ref="S48">PointMin3(ABS(B48-D48)+ABS(C48-E48),ABS(B48-H48)+ABS(C48-I48),ABS(B48-L48)+ABS(C48-M48),ABS(B48-L48)+ABS(C48-M48))</f>
        <v>2</v>
      </c>
      <c r="T48" s="20">
        <v>4</v>
      </c>
    </row>
    <row r="49" spans="1:20" x14ac:dyDescent="0.3">
      <c r="A49" s="98">
        <f t="shared" si="3"/>
        <v>47</v>
      </c>
      <c r="B49" s="70">
        <v>-1</v>
      </c>
      <c r="C49" s="21">
        <v>-1</v>
      </c>
      <c r="D49" s="22">
        <v>-1</v>
      </c>
      <c r="E49" s="22">
        <v>-1</v>
      </c>
      <c r="F49" s="22" t="str">
        <f t="shared" si="4"/>
        <v>0 ± 0</v>
      </c>
      <c r="G49" s="22" t="str">
        <f t="shared" si="0"/>
        <v>0 ± 0</v>
      </c>
      <c r="H49" s="23">
        <v>-1</v>
      </c>
      <c r="I49" s="23">
        <v>-1</v>
      </c>
      <c r="J49" s="23" t="str">
        <f t="shared" si="1"/>
        <v>0 ± 0</v>
      </c>
      <c r="K49" s="23" t="str">
        <f t="shared" si="2"/>
        <v>0 ± 0</v>
      </c>
      <c r="L49" s="24">
        <v>-1</v>
      </c>
      <c r="M49" s="24">
        <v>-1</v>
      </c>
      <c r="N49" s="24" t="str">
        <f t="shared" si="5"/>
        <v>0 ± 0</v>
      </c>
      <c r="O49" s="24" t="str">
        <f t="shared" si="6"/>
        <v>0 ± 0</v>
      </c>
      <c r="Q49" s="20" cm="1">
        <f t="array" ref="Q49">PointMin3(ABS(B49-D49)+ABS(C49-E49),ABS(B49-H49)+ABS(C49-I49),ABS(B49-L49)+ABS(C49-M49),ABS(B49-D49)+ABS(C49-E49))</f>
        <v>1</v>
      </c>
      <c r="R49" s="20" cm="1">
        <f t="array" ref="R49">PointMin3(ABS(B49-D49)+ABS(C49-E49),ABS(B49-H49)+ABS(C49-I49),ABS(B49-L49)+ABS(C49-M49),ABS(B49-H49)+ABS(C49-I49))</f>
        <v>1</v>
      </c>
      <c r="S49" s="20" cm="1">
        <f t="array" ref="S49">PointMin3(ABS(B49-D49)+ABS(C49-E49),ABS(B49-H49)+ABS(C49-I49),ABS(B49-L49)+ABS(C49-M49),ABS(B49-L49)+ABS(C49-M49))</f>
        <v>1</v>
      </c>
      <c r="T49" s="20">
        <v>1</v>
      </c>
    </row>
    <row r="50" spans="1:20" x14ac:dyDescent="0.3">
      <c r="A50" s="67">
        <f t="shared" si="3"/>
        <v>48</v>
      </c>
      <c r="B50" s="70">
        <v>-1</v>
      </c>
      <c r="C50" s="21">
        <v>-1</v>
      </c>
      <c r="D50" s="22">
        <v>-1</v>
      </c>
      <c r="E50" s="22">
        <v>-1</v>
      </c>
      <c r="F50" s="22" t="str">
        <f t="shared" si="4"/>
        <v>0 ± 0</v>
      </c>
      <c r="G50" s="22" t="str">
        <f t="shared" si="0"/>
        <v>0 ± 0</v>
      </c>
      <c r="H50" s="23">
        <v>-1</v>
      </c>
      <c r="I50" s="23">
        <v>-1</v>
      </c>
      <c r="J50" s="23" t="str">
        <f t="shared" si="1"/>
        <v>0 ± 0</v>
      </c>
      <c r="K50" s="23" t="str">
        <f t="shared" si="2"/>
        <v>0 ± 0</v>
      </c>
      <c r="L50" s="24">
        <v>-1</v>
      </c>
      <c r="M50" s="24">
        <v>-1</v>
      </c>
      <c r="N50" s="24" t="str">
        <f t="shared" si="5"/>
        <v>0 ± 0</v>
      </c>
      <c r="O50" s="24" t="str">
        <f t="shared" si="6"/>
        <v>0 ± 0</v>
      </c>
      <c r="Q50" s="20" cm="1">
        <f t="array" ref="Q50">PointMin3(ABS(B50-D50)+ABS(C50-E50),ABS(B50-H50)+ABS(C50-I50),ABS(B50-L50)+ABS(C50-M50),ABS(B50-D50)+ABS(C50-E50))</f>
        <v>1</v>
      </c>
      <c r="R50" s="20" cm="1">
        <f t="array" ref="R50">PointMin3(ABS(B50-D50)+ABS(C50-E50),ABS(B50-H50)+ABS(C50-I50),ABS(B50-L50)+ABS(C50-M50),ABS(B50-H50)+ABS(C50-I50))</f>
        <v>1</v>
      </c>
      <c r="S50" s="20" cm="1">
        <f t="array" ref="S50">PointMin3(ABS(B50-D50)+ABS(C50-E50),ABS(B50-H50)+ABS(C50-I50),ABS(B50-L50)+ABS(C50-M50),ABS(B50-L50)+ABS(C50-M50))</f>
        <v>1</v>
      </c>
      <c r="T50" s="20">
        <v>1</v>
      </c>
    </row>
    <row r="51" spans="1:20" x14ac:dyDescent="0.3">
      <c r="A51" s="67">
        <f t="shared" si="3"/>
        <v>49</v>
      </c>
      <c r="B51" s="70">
        <v>-1</v>
      </c>
      <c r="C51" s="21">
        <v>-1</v>
      </c>
      <c r="D51" s="22">
        <v>-1</v>
      </c>
      <c r="E51" s="22">
        <v>-1</v>
      </c>
      <c r="F51" s="22" t="str">
        <f t="shared" si="4"/>
        <v>0 ± 0</v>
      </c>
      <c r="G51" s="22" t="str">
        <f t="shared" si="0"/>
        <v>0 ± 0</v>
      </c>
      <c r="H51" s="23">
        <v>-1</v>
      </c>
      <c r="I51" s="23">
        <v>-1</v>
      </c>
      <c r="J51" s="23" t="str">
        <f t="shared" si="1"/>
        <v>0 ± 0</v>
      </c>
      <c r="K51" s="23" t="str">
        <f t="shared" si="2"/>
        <v>0 ± 0</v>
      </c>
      <c r="L51" s="24">
        <v>-1</v>
      </c>
      <c r="M51" s="24">
        <v>-1</v>
      </c>
      <c r="N51" s="24" t="str">
        <f t="shared" si="5"/>
        <v>0 ± 0</v>
      </c>
      <c r="O51" s="24" t="str">
        <f t="shared" si="6"/>
        <v>0 ± 0</v>
      </c>
      <c r="Q51" s="20" cm="1">
        <f t="array" ref="Q51">PointMin3(ABS(B51-D51)+ABS(C51-E51),ABS(B51-H51)+ABS(C51-I51),ABS(B51-L51)+ABS(C51-M51),ABS(B51-D51)+ABS(C51-E51))</f>
        <v>1</v>
      </c>
      <c r="R51" s="20" cm="1">
        <f t="array" ref="R51">PointMin3(ABS(B51-D51)+ABS(C51-E51),ABS(B51-H51)+ABS(C51-I51),ABS(B51-L51)+ABS(C51-M51),ABS(B51-H51)+ABS(C51-I51))</f>
        <v>1</v>
      </c>
      <c r="S51" s="20" cm="1">
        <f t="array" ref="S51">PointMin3(ABS(B51-D51)+ABS(C51-E51),ABS(B51-H51)+ABS(C51-I51),ABS(B51-L51)+ABS(C51-M51),ABS(B51-L51)+ABS(C51-M51))</f>
        <v>1</v>
      </c>
      <c r="T51" s="20">
        <v>1</v>
      </c>
    </row>
    <row r="52" spans="1:20" x14ac:dyDescent="0.3">
      <c r="A52" s="67">
        <f t="shared" si="3"/>
        <v>50</v>
      </c>
      <c r="B52" s="70">
        <v>-1</v>
      </c>
      <c r="C52" s="21">
        <v>-1</v>
      </c>
      <c r="D52" s="22">
        <v>-1</v>
      </c>
      <c r="E52" s="22">
        <v>-1</v>
      </c>
      <c r="F52" s="22" t="str">
        <f t="shared" si="4"/>
        <v>0 ± 0</v>
      </c>
      <c r="G52" s="22" t="str">
        <f t="shared" si="0"/>
        <v>0 ± 0</v>
      </c>
      <c r="H52" s="23">
        <v>-1</v>
      </c>
      <c r="I52" s="23">
        <v>-1</v>
      </c>
      <c r="J52" s="23" t="str">
        <f t="shared" si="1"/>
        <v>0 ± 0</v>
      </c>
      <c r="K52" s="23" t="str">
        <f t="shared" si="2"/>
        <v>0 ± 0</v>
      </c>
      <c r="L52" s="24">
        <v>-1</v>
      </c>
      <c r="M52" s="24">
        <v>-1</v>
      </c>
      <c r="N52" s="24" t="str">
        <f t="shared" si="5"/>
        <v>0 ± 0</v>
      </c>
      <c r="O52" s="24" t="str">
        <f t="shared" si="6"/>
        <v>0 ± 0</v>
      </c>
      <c r="Q52" s="20" cm="1">
        <f t="array" ref="Q52">PointMin3(ABS(B52-D52)+ABS(C52-E52),ABS(B52-H52)+ABS(C52-I52),ABS(B52-L52)+ABS(C52-M52),ABS(B52-D52)+ABS(C52-E52))</f>
        <v>1</v>
      </c>
      <c r="R52" s="20" cm="1">
        <f t="array" ref="R52">PointMin3(ABS(B52-D52)+ABS(C52-E52),ABS(B52-H52)+ABS(C52-I52),ABS(B52-L52)+ABS(C52-M52),ABS(B52-H52)+ABS(C52-I52))</f>
        <v>1</v>
      </c>
      <c r="S52" s="20" cm="1">
        <f t="array" ref="S52">PointMin3(ABS(B52-D52)+ABS(C52-E52),ABS(B52-H52)+ABS(C52-I52),ABS(B52-L52)+ABS(C52-M52),ABS(B52-L52)+ABS(C52-M52))</f>
        <v>1</v>
      </c>
      <c r="T52" s="20">
        <v>1</v>
      </c>
    </row>
    <row r="53" spans="1:20" x14ac:dyDescent="0.3">
      <c r="A53" s="99">
        <f t="shared" si="3"/>
        <v>51</v>
      </c>
      <c r="B53" s="70">
        <f>[1]Кг_s1!D52</f>
        <v>1</v>
      </c>
      <c r="C53" s="21">
        <f>[1]Кг_s1!I52</f>
        <v>0</v>
      </c>
      <c r="D53" s="22">
        <f>[2]Кг_s1!B52</f>
        <v>1</v>
      </c>
      <c r="E53" s="22">
        <f>[2]Кг_s1!$C$2</f>
        <v>1E-3</v>
      </c>
      <c r="F53" s="22" t="str">
        <f t="shared" si="4"/>
        <v>0 ± 0,001</v>
      </c>
      <c r="G53" s="22" t="str">
        <f t="shared" si="0"/>
        <v>0 ± 0,1</v>
      </c>
      <c r="H53" s="23">
        <f>[3]Кг_s1!B52</f>
        <v>0.36261102831594633</v>
      </c>
      <c r="I53" s="23">
        <f>[3]Кг_s1!F52</f>
        <v>3.7160469338446439E-2</v>
      </c>
      <c r="J53" s="23" t="str">
        <f t="shared" si="1"/>
        <v>0,638 ± 0,038</v>
      </c>
      <c r="K53" s="23" t="str">
        <f t="shared" si="2"/>
        <v>63,739 ± 3,717</v>
      </c>
      <c r="L53" s="24">
        <f>[4]Кг_s1!D52</f>
        <v>0.96842105263157896</v>
      </c>
      <c r="M53" s="24">
        <f>[4]Кг_s1!I52</f>
        <v>6.6012690448842525E-3</v>
      </c>
      <c r="N53" s="24" t="str">
        <f t="shared" si="5"/>
        <v>0,032 ± 0,007</v>
      </c>
      <c r="O53" s="24" t="str">
        <f t="shared" si="6"/>
        <v>3,158 ± 0,661</v>
      </c>
      <c r="Q53" s="20" cm="1">
        <f t="array" ref="Q53">PointMin3(ABS(B53-D53)+ABS(C53-E53),ABS(B53-H53)+ABS(C53-I53),ABS(B53-L53)+ABS(C53-M53),ABS(B53-D53)+ABS(C53-E53))</f>
        <v>3</v>
      </c>
      <c r="R53" s="20" cm="1">
        <f t="array" ref="R53">PointMin3(ABS(B53-D53)+ABS(C53-E53),ABS(B53-H53)+ABS(C53-I53),ABS(B53-L53)+ABS(C53-M53),ABS(B53-H53)+ABS(C53-I53))</f>
        <v>1</v>
      </c>
      <c r="S53" s="20" cm="1">
        <f t="array" ref="S53">PointMin3(ABS(B53-D53)+ABS(C53-E53),ABS(B53-H53)+ABS(C53-I53),ABS(B53-L53)+ABS(C53-M53),ABS(B53-L53)+ABS(C53-M53))</f>
        <v>2</v>
      </c>
      <c r="T53" s="20">
        <v>4</v>
      </c>
    </row>
    <row r="54" spans="1:20" x14ac:dyDescent="0.3">
      <c r="A54" s="99">
        <f t="shared" si="3"/>
        <v>52</v>
      </c>
      <c r="B54" s="70">
        <f>[1]Кг_s1!D53</f>
        <v>1</v>
      </c>
      <c r="C54" s="21">
        <f>[1]Кг_s1!I53</f>
        <v>0</v>
      </c>
      <c r="D54" s="22">
        <f>[2]Кг_s1!B53</f>
        <v>1</v>
      </c>
      <c r="E54" s="22">
        <f>[2]Кг_s1!$C$2</f>
        <v>1E-3</v>
      </c>
      <c r="F54" s="22" t="str">
        <f t="shared" si="4"/>
        <v>0 ± 0,001</v>
      </c>
      <c r="G54" s="22" t="str">
        <f t="shared" si="0"/>
        <v>0 ± 0,1</v>
      </c>
      <c r="H54" s="23">
        <f>[3]Кг_s1!B53</f>
        <v>0.36261102831594633</v>
      </c>
      <c r="I54" s="23">
        <f>[3]Кг_s1!F53</f>
        <v>3.7160469338446439E-2</v>
      </c>
      <c r="J54" s="23" t="str">
        <f t="shared" si="1"/>
        <v>0,638 ± 0,038</v>
      </c>
      <c r="K54" s="23" t="str">
        <f t="shared" si="2"/>
        <v>63,739 ± 3,717</v>
      </c>
      <c r="L54" s="24">
        <f>[4]Кг_s1!D53</f>
        <v>0.96783625730994149</v>
      </c>
      <c r="M54" s="24">
        <f>[4]Кг_s1!I53</f>
        <v>7.1167089358401894E-3</v>
      </c>
      <c r="N54" s="24" t="str">
        <f t="shared" si="5"/>
        <v>0,033 ± 0,008</v>
      </c>
      <c r="O54" s="24" t="str">
        <f t="shared" si="6"/>
        <v>3,217 ± 0,712</v>
      </c>
      <c r="Q54" s="20" cm="1">
        <f t="array" ref="Q54">PointMin3(ABS(B54-D54)+ABS(C54-E54),ABS(B54-H54)+ABS(C54-I54),ABS(B54-L54)+ABS(C54-M54),ABS(B54-D54)+ABS(C54-E54))</f>
        <v>3</v>
      </c>
      <c r="R54" s="20" cm="1">
        <f t="array" ref="R54">PointMin3(ABS(B54-D54)+ABS(C54-E54),ABS(B54-H54)+ABS(C54-I54),ABS(B54-L54)+ABS(C54-M54),ABS(B54-H54)+ABS(C54-I54))</f>
        <v>1</v>
      </c>
      <c r="S54" s="20" cm="1">
        <f t="array" ref="S54">PointMin3(ABS(B54-D54)+ABS(C54-E54),ABS(B54-H54)+ABS(C54-I54),ABS(B54-L54)+ABS(C54-M54),ABS(B54-L54)+ABS(C54-M54))</f>
        <v>2</v>
      </c>
      <c r="T54" s="20">
        <v>4</v>
      </c>
    </row>
    <row r="55" spans="1:20" x14ac:dyDescent="0.3">
      <c r="A55" s="67">
        <f t="shared" si="3"/>
        <v>53</v>
      </c>
      <c r="B55" s="70">
        <v>-1</v>
      </c>
      <c r="C55" s="21">
        <v>-1</v>
      </c>
      <c r="D55" s="22">
        <v>-1</v>
      </c>
      <c r="E55" s="22">
        <v>-1</v>
      </c>
      <c r="F55" s="22" t="str">
        <f t="shared" si="4"/>
        <v>0 ± 0</v>
      </c>
      <c r="G55" s="22" t="str">
        <f t="shared" si="0"/>
        <v>0 ± 0</v>
      </c>
      <c r="H55" s="23">
        <v>-1</v>
      </c>
      <c r="I55" s="23">
        <v>-1</v>
      </c>
      <c r="J55" s="23" t="str">
        <f t="shared" si="1"/>
        <v>0 ± 0</v>
      </c>
      <c r="K55" s="23" t="str">
        <f t="shared" si="2"/>
        <v>0 ± 0</v>
      </c>
      <c r="L55" s="24">
        <v>-1</v>
      </c>
      <c r="M55" s="24">
        <v>-1</v>
      </c>
      <c r="N55" s="24" t="str">
        <f t="shared" si="5"/>
        <v>0 ± 0</v>
      </c>
      <c r="O55" s="24" t="str">
        <f t="shared" si="6"/>
        <v>0 ± 0</v>
      </c>
      <c r="Q55" s="20" cm="1">
        <f t="array" ref="Q55">PointMin3(ABS(B55-D55)+ABS(C55-E55),ABS(B55-H55)+ABS(C55-I55),ABS(B55-L55)+ABS(C55-M55),ABS(B55-D55)+ABS(C55-E55))</f>
        <v>1</v>
      </c>
      <c r="R55" s="20" cm="1">
        <f t="array" ref="R55">PointMin3(ABS(B55-D55)+ABS(C55-E55),ABS(B55-H55)+ABS(C55-I55),ABS(B55-L55)+ABS(C55-M55),ABS(B55-H55)+ABS(C55-I55))</f>
        <v>1</v>
      </c>
      <c r="S55" s="20" cm="1">
        <f t="array" ref="S55">PointMin3(ABS(B55-D55)+ABS(C55-E55),ABS(B55-H55)+ABS(C55-I55),ABS(B55-L55)+ABS(C55-M55),ABS(B55-L55)+ABS(C55-M55))</f>
        <v>1</v>
      </c>
      <c r="T55" s="20">
        <v>1</v>
      </c>
    </row>
    <row r="56" spans="1:20" x14ac:dyDescent="0.3">
      <c r="A56" s="67">
        <f t="shared" si="3"/>
        <v>54</v>
      </c>
      <c r="B56" s="70">
        <v>-1</v>
      </c>
      <c r="C56" s="21">
        <v>-1</v>
      </c>
      <c r="D56" s="22">
        <v>-1</v>
      </c>
      <c r="E56" s="22">
        <v>-1</v>
      </c>
      <c r="F56" s="22" t="str">
        <f t="shared" si="4"/>
        <v>0 ± 0</v>
      </c>
      <c r="G56" s="22" t="str">
        <f t="shared" si="0"/>
        <v>0 ± 0</v>
      </c>
      <c r="H56" s="23">
        <v>-1</v>
      </c>
      <c r="I56" s="23">
        <v>-1</v>
      </c>
      <c r="J56" s="23" t="str">
        <f t="shared" si="1"/>
        <v>0 ± 0</v>
      </c>
      <c r="K56" s="23" t="str">
        <f t="shared" si="2"/>
        <v>0 ± 0</v>
      </c>
      <c r="L56" s="24">
        <v>-1</v>
      </c>
      <c r="M56" s="24">
        <v>-1</v>
      </c>
      <c r="N56" s="24" t="str">
        <f t="shared" si="5"/>
        <v>0 ± 0</v>
      </c>
      <c r="O56" s="24" t="str">
        <f t="shared" si="6"/>
        <v>0 ± 0</v>
      </c>
      <c r="Q56" s="20" cm="1">
        <f t="array" ref="Q56">PointMin3(ABS(B56-D56)+ABS(C56-E56),ABS(B56-H56)+ABS(C56-I56),ABS(B56-L56)+ABS(C56-M56),ABS(B56-D56)+ABS(C56-E56))</f>
        <v>1</v>
      </c>
      <c r="R56" s="20" cm="1">
        <f t="array" ref="R56">PointMin3(ABS(B56-D56)+ABS(C56-E56),ABS(B56-H56)+ABS(C56-I56),ABS(B56-L56)+ABS(C56-M56),ABS(B56-H56)+ABS(C56-I56))</f>
        <v>1</v>
      </c>
      <c r="S56" s="20" cm="1">
        <f t="array" ref="S56">PointMin3(ABS(B56-D56)+ABS(C56-E56),ABS(B56-H56)+ABS(C56-I56),ABS(B56-L56)+ABS(C56-M56),ABS(B56-L56)+ABS(C56-M56))</f>
        <v>1</v>
      </c>
      <c r="T56" s="20">
        <v>1</v>
      </c>
    </row>
    <row r="57" spans="1:20" x14ac:dyDescent="0.3">
      <c r="A57" s="67">
        <f t="shared" si="3"/>
        <v>55</v>
      </c>
      <c r="B57" s="70">
        <v>-1</v>
      </c>
      <c r="C57" s="21">
        <v>-1</v>
      </c>
      <c r="D57" s="22">
        <v>-1</v>
      </c>
      <c r="E57" s="22">
        <v>-1</v>
      </c>
      <c r="F57" s="22" t="str">
        <f t="shared" si="4"/>
        <v>0 ± 0</v>
      </c>
      <c r="G57" s="22" t="str">
        <f t="shared" si="0"/>
        <v>0 ± 0</v>
      </c>
      <c r="H57" s="23">
        <v>-1</v>
      </c>
      <c r="I57" s="23">
        <v>-1</v>
      </c>
      <c r="J57" s="23" t="str">
        <f t="shared" si="1"/>
        <v>0 ± 0</v>
      </c>
      <c r="K57" s="23" t="str">
        <f t="shared" si="2"/>
        <v>0 ± 0</v>
      </c>
      <c r="L57" s="24">
        <v>-1</v>
      </c>
      <c r="M57" s="24">
        <v>-1</v>
      </c>
      <c r="N57" s="24" t="str">
        <f t="shared" si="5"/>
        <v>0 ± 0</v>
      </c>
      <c r="O57" s="24" t="str">
        <f t="shared" si="6"/>
        <v>0 ± 0</v>
      </c>
      <c r="Q57" s="20" cm="1">
        <f t="array" ref="Q57">PointMin3(ABS(B57-D57)+ABS(C57-E57),ABS(B57-H57)+ABS(C57-I57),ABS(B57-L57)+ABS(C57-M57),ABS(B57-D57)+ABS(C57-E57))</f>
        <v>1</v>
      </c>
      <c r="R57" s="20" cm="1">
        <f t="array" ref="R57">PointMin3(ABS(B57-D57)+ABS(C57-E57),ABS(B57-H57)+ABS(C57-I57),ABS(B57-L57)+ABS(C57-M57),ABS(B57-H57)+ABS(C57-I57))</f>
        <v>1</v>
      </c>
      <c r="S57" s="20" cm="1">
        <f t="array" ref="S57">PointMin3(ABS(B57-D57)+ABS(C57-E57),ABS(B57-H57)+ABS(C57-I57),ABS(B57-L57)+ABS(C57-M57),ABS(B57-L57)+ABS(C57-M57))</f>
        <v>1</v>
      </c>
      <c r="T57" s="20">
        <v>1</v>
      </c>
    </row>
    <row r="58" spans="1:20" x14ac:dyDescent="0.3">
      <c r="A58" s="99">
        <f t="shared" si="3"/>
        <v>56</v>
      </c>
      <c r="B58" s="70">
        <f>[1]Кг_s1!D57</f>
        <v>1</v>
      </c>
      <c r="C58" s="21">
        <f>[1]Кг_s1!I57</f>
        <v>0</v>
      </c>
      <c r="D58" s="22">
        <f>[2]Кг_s1!B57</f>
        <v>1</v>
      </c>
      <c r="E58" s="22">
        <f>[2]Кг_s1!$C$2</f>
        <v>1E-3</v>
      </c>
      <c r="F58" s="22" t="str">
        <f t="shared" si="4"/>
        <v>0 ± 0,001</v>
      </c>
      <c r="G58" s="22" t="str">
        <f t="shared" si="0"/>
        <v>0 ± 0,1</v>
      </c>
      <c r="H58" s="23">
        <f>[3]Кг_s1!B57</f>
        <v>0.36261102831594633</v>
      </c>
      <c r="I58" s="23">
        <f>[3]Кг_s1!F57</f>
        <v>3.7160469338446439E-2</v>
      </c>
      <c r="J58" s="23" t="str">
        <f t="shared" si="1"/>
        <v>0,638 ± 0,038</v>
      </c>
      <c r="K58" s="23" t="str">
        <f t="shared" si="2"/>
        <v>63,739 ± 3,717</v>
      </c>
      <c r="L58" s="24">
        <f>[4]Кг_s1!D57</f>
        <v>0.96081871345029235</v>
      </c>
      <c r="M58" s="24">
        <f>[4]Кг_s1!I57</f>
        <v>6.9926203030924389E-3</v>
      </c>
      <c r="N58" s="24" t="str">
        <f t="shared" si="5"/>
        <v>0,04 ± 0,007</v>
      </c>
      <c r="O58" s="24" t="str">
        <f t="shared" si="6"/>
        <v>3,919 ± 0,7</v>
      </c>
      <c r="Q58" s="20" cm="1">
        <f t="array" ref="Q58">PointMin3(ABS(B58-D58)+ABS(C58-E58),ABS(B58-H58)+ABS(C58-I58),ABS(B58-L58)+ABS(C58-M58),ABS(B58-D58)+ABS(C58-E58))</f>
        <v>3</v>
      </c>
      <c r="R58" s="20" cm="1">
        <f t="array" ref="R58">PointMin3(ABS(B58-D58)+ABS(C58-E58),ABS(B58-H58)+ABS(C58-I58),ABS(B58-L58)+ABS(C58-M58),ABS(B58-H58)+ABS(C58-I58))</f>
        <v>1</v>
      </c>
      <c r="S58" s="20" cm="1">
        <f t="array" ref="S58">PointMin3(ABS(B58-D58)+ABS(C58-E58),ABS(B58-H58)+ABS(C58-I58),ABS(B58-L58)+ABS(C58-M58),ABS(B58-L58)+ABS(C58-M58))</f>
        <v>2</v>
      </c>
      <c r="T58" s="20">
        <v>4</v>
      </c>
    </row>
    <row r="59" spans="1:20" x14ac:dyDescent="0.3">
      <c r="A59" s="99">
        <f t="shared" si="3"/>
        <v>57</v>
      </c>
      <c r="B59" s="70">
        <f>[1]Кг_s1!D58</f>
        <v>1</v>
      </c>
      <c r="C59" s="21">
        <f>[1]Кг_s1!I58</f>
        <v>0</v>
      </c>
      <c r="D59" s="22">
        <f>[2]Кг_s1!B58</f>
        <v>1</v>
      </c>
      <c r="E59" s="22">
        <f>[2]Кг_s1!$C$2</f>
        <v>1E-3</v>
      </c>
      <c r="F59" s="22" t="str">
        <f t="shared" si="4"/>
        <v>0 ± 0,001</v>
      </c>
      <c r="G59" s="22" t="str">
        <f t="shared" si="0"/>
        <v>0 ± 0,1</v>
      </c>
      <c r="H59" s="23">
        <f>[3]Кг_s1!B58</f>
        <v>0.36261102831594633</v>
      </c>
      <c r="I59" s="23">
        <f>[3]Кг_s1!F58</f>
        <v>3.7160469338446439E-2</v>
      </c>
      <c r="J59" s="23" t="str">
        <f t="shared" si="1"/>
        <v>0,638 ± 0,038</v>
      </c>
      <c r="K59" s="23" t="str">
        <f t="shared" si="2"/>
        <v>63,739 ± 3,717</v>
      </c>
      <c r="L59" s="24">
        <f>[4]Кг_s1!D58</f>
        <v>0.95672514619883042</v>
      </c>
      <c r="M59" s="24">
        <f>[4]Кг_s1!I58</f>
        <v>9.3577437787972662E-3</v>
      </c>
      <c r="N59" s="24" t="str">
        <f t="shared" si="5"/>
        <v>0,044 ± 0,01</v>
      </c>
      <c r="O59" s="24" t="str">
        <f t="shared" si="6"/>
        <v>4,328 ± 0,936</v>
      </c>
      <c r="Q59" s="20" cm="1">
        <f t="array" ref="Q59">PointMin3(ABS(B59-D59)+ABS(C59-E59),ABS(B59-H59)+ABS(C59-I59),ABS(B59-L59)+ABS(C59-M59),ABS(B59-D59)+ABS(C59-E59))</f>
        <v>3</v>
      </c>
      <c r="R59" s="20" cm="1">
        <f t="array" ref="R59">PointMin3(ABS(B59-D59)+ABS(C59-E59),ABS(B59-H59)+ABS(C59-I59),ABS(B59-L59)+ABS(C59-M59),ABS(B59-H59)+ABS(C59-I59))</f>
        <v>1</v>
      </c>
      <c r="S59" s="20" cm="1">
        <f t="array" ref="S59">PointMin3(ABS(B59-D59)+ABS(C59-E59),ABS(B59-H59)+ABS(C59-I59),ABS(B59-L59)+ABS(C59-M59),ABS(B59-L59)+ABS(C59-M59))</f>
        <v>2</v>
      </c>
      <c r="T59" s="20">
        <v>4</v>
      </c>
    </row>
    <row r="60" spans="1:20" x14ac:dyDescent="0.3">
      <c r="A60" s="67">
        <f t="shared" si="3"/>
        <v>58</v>
      </c>
      <c r="B60" s="70">
        <v>-1</v>
      </c>
      <c r="C60" s="21">
        <v>-1</v>
      </c>
      <c r="D60" s="22">
        <v>-1</v>
      </c>
      <c r="E60" s="22">
        <v>-1</v>
      </c>
      <c r="F60" s="22" t="e">
        <f>ROUNDUP(ABS(#REF!-D60),3) &amp; " ± " &amp; ROUNDUP(ABS(#REF!-E60),3)</f>
        <v>#REF!</v>
      </c>
      <c r="G60" s="22" t="e">
        <f>ROUNDUP(ABS(#REF!-D60)/#REF!*100,3) &amp; " ± " &amp; ROUNDUP(ABS(#REF!-E60)/#REF!*100,3)</f>
        <v>#REF!</v>
      </c>
      <c r="H60" s="23">
        <v>-1</v>
      </c>
      <c r="I60" s="23">
        <v>-1</v>
      </c>
      <c r="J60" s="23" t="str">
        <f t="shared" si="1"/>
        <v>0 ± 0</v>
      </c>
      <c r="K60" s="23" t="str">
        <f t="shared" si="2"/>
        <v>0 ± 0</v>
      </c>
      <c r="L60" s="24">
        <v>-1</v>
      </c>
      <c r="M60" s="24">
        <v>-1</v>
      </c>
      <c r="N60" s="24" t="str">
        <f t="shared" si="5"/>
        <v>0 ± 0</v>
      </c>
      <c r="O60" s="24" t="str">
        <f t="shared" si="6"/>
        <v>0 ± 0</v>
      </c>
      <c r="Q60" s="20" cm="1">
        <f t="array" ref="Q60">PointMin3(ABS(B60-D60)+ABS(C60-E60),ABS(B60-H60)+ABS(C60-I60),ABS(B60-L60)+ABS(C60-M60),ABS(B60-D60)+ABS(C60-E60))</f>
        <v>1</v>
      </c>
      <c r="R60" s="20" cm="1">
        <f t="array" ref="R60">PointMin3(ABS(B60-D60)+ABS(C60-E60),ABS(B60-H60)+ABS(C60-I60),ABS(B60-L60)+ABS(C60-M60),ABS(B60-H60)+ABS(C60-I60))</f>
        <v>1</v>
      </c>
      <c r="S60" s="20" cm="1">
        <f t="array" ref="S60">PointMin3(ABS(B60-D60)+ABS(C60-E60),ABS(B60-H60)+ABS(C60-I60),ABS(B60-L60)+ABS(C60-M60),ABS(B60-L60)+ABS(C60-M60))</f>
        <v>1</v>
      </c>
      <c r="T60" s="20">
        <v>1</v>
      </c>
    </row>
    <row r="61" spans="1:20" x14ac:dyDescent="0.3">
      <c r="A61" s="67">
        <f t="shared" si="3"/>
        <v>59</v>
      </c>
      <c r="B61" s="70">
        <v>-1</v>
      </c>
      <c r="C61" s="21">
        <v>-1</v>
      </c>
      <c r="D61" s="22">
        <v>-1</v>
      </c>
      <c r="E61" s="22">
        <v>-1</v>
      </c>
      <c r="F61" s="22" t="e">
        <f>ROUNDUP(ABS(#REF!-D61),3) &amp; " ± " &amp; ROUNDUP(ABS(#REF!-E61),3)</f>
        <v>#REF!</v>
      </c>
      <c r="G61" s="22" t="e">
        <f>ROUNDUP(ABS(#REF!-D61)/#REF!*100,3) &amp; " ± " &amp; ROUNDUP(ABS(#REF!-E61)/#REF!*100,3)</f>
        <v>#REF!</v>
      </c>
      <c r="H61" s="23">
        <v>-1</v>
      </c>
      <c r="I61" s="23">
        <v>-1</v>
      </c>
      <c r="J61" s="23" t="str">
        <f t="shared" si="1"/>
        <v>0 ± 0</v>
      </c>
      <c r="K61" s="23" t="str">
        <f t="shared" si="2"/>
        <v>0 ± 0</v>
      </c>
      <c r="L61" s="24">
        <v>-1</v>
      </c>
      <c r="M61" s="24">
        <v>-1</v>
      </c>
      <c r="N61" s="24" t="str">
        <f t="shared" si="5"/>
        <v>0 ± 0</v>
      </c>
      <c r="O61" s="24" t="str">
        <f t="shared" si="6"/>
        <v>0 ± 0</v>
      </c>
      <c r="Q61" s="20" cm="1">
        <f t="array" ref="Q61">PointMin3(ABS(B61-D61)+ABS(C61-E61),ABS(B61-H61)+ABS(C61-I61),ABS(B61-L61)+ABS(C61-M61),ABS(B61-D61)+ABS(C61-E61))</f>
        <v>1</v>
      </c>
      <c r="R61" s="20" cm="1">
        <f t="array" ref="R61">PointMin3(ABS(B61-D61)+ABS(C61-E61),ABS(B61-H61)+ABS(C61-I61),ABS(B61-L61)+ABS(C61-M61),ABS(B61-H61)+ABS(C61-I61))</f>
        <v>1</v>
      </c>
      <c r="S61" s="20" cm="1">
        <f t="array" ref="S61">PointMin3(ABS(B61-D61)+ABS(C61-E61),ABS(B61-H61)+ABS(C61-I61),ABS(B61-L61)+ABS(C61-M61),ABS(B61-L61)+ABS(C61-M61))</f>
        <v>1</v>
      </c>
      <c r="T61" s="20">
        <v>1</v>
      </c>
    </row>
    <row r="62" spans="1:20" x14ac:dyDescent="0.3">
      <c r="A62" s="67">
        <f t="shared" si="3"/>
        <v>60</v>
      </c>
      <c r="B62" s="70">
        <v>-1</v>
      </c>
      <c r="C62" s="21">
        <v>-1</v>
      </c>
      <c r="D62" s="22">
        <v>-1</v>
      </c>
      <c r="E62" s="22">
        <v>-1</v>
      </c>
      <c r="F62" s="22" t="e">
        <f>ROUNDUP(ABS(#REF!-D62),3) &amp; " ± " &amp; ROUNDUP(ABS(#REF!-E62),3)</f>
        <v>#REF!</v>
      </c>
      <c r="G62" s="22" t="e">
        <f>ROUNDUP(ABS(#REF!-D62)/#REF!*100,3) &amp; " ± " &amp; ROUNDUP(ABS(#REF!-E62)/#REF!*100,3)</f>
        <v>#REF!</v>
      </c>
      <c r="H62" s="23">
        <v>-1</v>
      </c>
      <c r="I62" s="23">
        <v>-1</v>
      </c>
      <c r="J62" s="23" t="str">
        <f t="shared" si="1"/>
        <v>0 ± 0</v>
      </c>
      <c r="K62" s="23" t="str">
        <f t="shared" si="2"/>
        <v>0 ± 0</v>
      </c>
      <c r="L62" s="24">
        <v>-1</v>
      </c>
      <c r="M62" s="24">
        <v>-1</v>
      </c>
      <c r="N62" s="24" t="str">
        <f t="shared" si="5"/>
        <v>0 ± 0</v>
      </c>
      <c r="O62" s="24" t="str">
        <f t="shared" si="6"/>
        <v>0 ± 0</v>
      </c>
      <c r="Q62" s="20" cm="1">
        <f t="array" ref="Q62">PointMin3(ABS(B62-D62)+ABS(C62-E62),ABS(B62-H62)+ABS(C62-I62),ABS(B62-L62)+ABS(C62-M62),ABS(B62-D62)+ABS(C62-E62))</f>
        <v>1</v>
      </c>
      <c r="R62" s="20" cm="1">
        <f t="array" ref="R62">PointMin3(ABS(B62-D62)+ABS(C62-E62),ABS(B62-H62)+ABS(C62-I62),ABS(B62-L62)+ABS(C62-M62),ABS(B62-H62)+ABS(C62-I62))</f>
        <v>1</v>
      </c>
      <c r="S62" s="20" cm="1">
        <f t="array" ref="S62">PointMin3(ABS(B62-D62)+ABS(C62-E62),ABS(B62-H62)+ABS(C62-I62),ABS(B62-L62)+ABS(C62-M62),ABS(B62-L62)+ABS(C62-M62))</f>
        <v>1</v>
      </c>
      <c r="T62" s="20">
        <v>1</v>
      </c>
    </row>
    <row r="63" spans="1:20" x14ac:dyDescent="0.3">
      <c r="A63" s="100">
        <f t="shared" si="3"/>
        <v>61</v>
      </c>
      <c r="B63" s="70">
        <f>[1]Кг_s1!D62</f>
        <v>0.99363158520063111</v>
      </c>
      <c r="C63" s="21">
        <f>[1]Кг_s1!I62</f>
        <v>2.7773566292601932E-2</v>
      </c>
      <c r="D63" s="22">
        <f>[2]Кг_s1!B62</f>
        <v>0.5</v>
      </c>
      <c r="E63" s="22">
        <f>[2]Кг_s1!$C$2</f>
        <v>1E-3</v>
      </c>
      <c r="F63" s="22" t="str">
        <f t="shared" si="4"/>
        <v>0,494 ± 0,027</v>
      </c>
      <c r="G63" s="22" t="str">
        <f t="shared" si="0"/>
        <v>49,68 ± 2,695</v>
      </c>
      <c r="H63" s="23">
        <f>[3]Кг_s1!B62</f>
        <v>0.49807528207073093</v>
      </c>
      <c r="I63" s="23">
        <f>[3]Кг_s1!F62</f>
        <v>0.49807532712325897</v>
      </c>
      <c r="J63" s="23" t="str">
        <f t="shared" si="1"/>
        <v>0,496 ± 0,471</v>
      </c>
      <c r="K63" s="23" t="str">
        <f t="shared" si="2"/>
        <v>49,874 ± 47,332</v>
      </c>
      <c r="L63" s="24">
        <f>[4]Кг_s1!D62</f>
        <v>0.98538011695906436</v>
      </c>
      <c r="M63" s="24">
        <f>[4]Кг_s1!I62</f>
        <v>5.5194690099029716E-3</v>
      </c>
      <c r="N63" s="24" t="str">
        <f t="shared" si="5"/>
        <v>0,009 ± 0,023</v>
      </c>
      <c r="O63" s="24" t="str">
        <f t="shared" si="6"/>
        <v>0,831 ± 2,24</v>
      </c>
      <c r="Q63" s="20" cm="1">
        <f t="array" ref="Q63">PointMin3(ABS(B63-D63)+ABS(C63-E63),ABS(B63-H63)+ABS(C63-I63),ABS(B63-L63)+ABS(C63-M63),ABS(B63-D63)+ABS(C63-E63))</f>
        <v>2</v>
      </c>
      <c r="R63" s="20" cm="1">
        <f t="array" ref="R63">PointMin3(ABS(B63-D63)+ABS(C63-E63),ABS(B63-H63)+ABS(C63-I63),ABS(B63-L63)+ABS(C63-M63),ABS(B63-H63)+ABS(C63-I63))</f>
        <v>1</v>
      </c>
      <c r="S63" s="20" cm="1">
        <f t="array" ref="S63">PointMin3(ABS(B63-D63)+ABS(C63-E63),ABS(B63-H63)+ABS(C63-I63),ABS(B63-L63)+ABS(C63-M63),ABS(B63-L63)+ABS(C63-M63))</f>
        <v>3</v>
      </c>
      <c r="T63" s="20">
        <v>4</v>
      </c>
    </row>
    <row r="64" spans="1:20" x14ac:dyDescent="0.3">
      <c r="A64" s="98">
        <f t="shared" si="3"/>
        <v>62</v>
      </c>
      <c r="B64" s="70">
        <v>-1</v>
      </c>
      <c r="C64" s="21">
        <v>-1</v>
      </c>
      <c r="D64" s="22">
        <v>-1</v>
      </c>
      <c r="E64" s="22">
        <v>-1</v>
      </c>
      <c r="F64" s="22" t="str">
        <f t="shared" si="4"/>
        <v>0 ± 0</v>
      </c>
      <c r="G64" s="22" t="str">
        <f t="shared" si="0"/>
        <v>0 ± 0</v>
      </c>
      <c r="H64" s="23">
        <v>-1</v>
      </c>
      <c r="I64" s="23">
        <v>-1</v>
      </c>
      <c r="J64" s="23" t="str">
        <f t="shared" si="1"/>
        <v>0 ± 0</v>
      </c>
      <c r="K64" s="23" t="str">
        <f t="shared" si="2"/>
        <v>0 ± 0</v>
      </c>
      <c r="L64" s="24">
        <v>-1</v>
      </c>
      <c r="M64" s="24">
        <v>-1</v>
      </c>
      <c r="N64" s="24" t="str">
        <f t="shared" si="5"/>
        <v>0 ± 0</v>
      </c>
      <c r="O64" s="24" t="str">
        <f t="shared" si="6"/>
        <v>0 ± 0</v>
      </c>
      <c r="Q64" s="20" cm="1">
        <f t="array" ref="Q64">PointMin3(ABS(B64-D64)+ABS(C64-E64),ABS(B64-H64)+ABS(C64-I64),ABS(B64-L64)+ABS(C64-M64),ABS(B64-D64)+ABS(C64-E64))</f>
        <v>1</v>
      </c>
      <c r="R64" s="20" cm="1">
        <f t="array" ref="R64">PointMin3(ABS(B64-D64)+ABS(C64-E64),ABS(B64-H64)+ABS(C64-I64),ABS(B64-L64)+ABS(C64-M64),ABS(B64-H64)+ABS(C64-I64))</f>
        <v>1</v>
      </c>
      <c r="S64" s="20" cm="1">
        <f t="array" ref="S64">PointMin3(ABS(B64-D64)+ABS(C64-E64),ABS(B64-H64)+ABS(C64-I64),ABS(B64-L64)+ABS(C64-M64),ABS(B64-L64)+ABS(C64-M64))</f>
        <v>1</v>
      </c>
      <c r="T64" s="20">
        <v>1</v>
      </c>
    </row>
    <row r="65" spans="1:20" x14ac:dyDescent="0.3">
      <c r="A65" s="98">
        <f t="shared" si="3"/>
        <v>63</v>
      </c>
      <c r="B65" s="70">
        <v>-1</v>
      </c>
      <c r="C65" s="21">
        <v>-1</v>
      </c>
      <c r="D65" s="22">
        <v>-1</v>
      </c>
      <c r="E65" s="22">
        <v>-1</v>
      </c>
      <c r="F65" s="22" t="str">
        <f t="shared" si="4"/>
        <v>0 ± 0</v>
      </c>
      <c r="G65" s="22" t="str">
        <f t="shared" si="0"/>
        <v>0 ± 0</v>
      </c>
      <c r="H65" s="23">
        <v>-1</v>
      </c>
      <c r="I65" s="23">
        <v>-1</v>
      </c>
      <c r="J65" s="23" t="str">
        <f t="shared" si="1"/>
        <v>0 ± 0</v>
      </c>
      <c r="K65" s="23" t="str">
        <f t="shared" si="2"/>
        <v>0 ± 0</v>
      </c>
      <c r="L65" s="24">
        <v>-1</v>
      </c>
      <c r="M65" s="24">
        <v>-1</v>
      </c>
      <c r="N65" s="24" t="str">
        <f t="shared" si="5"/>
        <v>0 ± 0</v>
      </c>
      <c r="O65" s="24" t="str">
        <f t="shared" si="6"/>
        <v>0 ± 0</v>
      </c>
      <c r="Q65" s="20" cm="1">
        <f t="array" ref="Q65">PointMin3(ABS(B65-D65)+ABS(C65-E65),ABS(B65-H65)+ABS(C65-I65),ABS(B65-L65)+ABS(C65-M65),ABS(B65-D65)+ABS(C65-E65))</f>
        <v>1</v>
      </c>
      <c r="R65" s="20" cm="1">
        <f t="array" ref="R65">PointMin3(ABS(B65-D65)+ABS(C65-E65),ABS(B65-H65)+ABS(C65-I65),ABS(B65-L65)+ABS(C65-M65),ABS(B65-H65)+ABS(C65-I65))</f>
        <v>1</v>
      </c>
      <c r="S65" s="20" cm="1">
        <f t="array" ref="S65">PointMin3(ABS(B65-D65)+ABS(C65-E65),ABS(B65-H65)+ABS(C65-I65),ABS(B65-L65)+ABS(C65-M65),ABS(B65-L65)+ABS(C65-M65))</f>
        <v>1</v>
      </c>
      <c r="T65" s="20">
        <v>1</v>
      </c>
    </row>
    <row r="66" spans="1:20" x14ac:dyDescent="0.3">
      <c r="A66" s="98">
        <f t="shared" si="3"/>
        <v>64</v>
      </c>
      <c r="B66" s="70">
        <v>-1</v>
      </c>
      <c r="C66" s="21">
        <v>-1</v>
      </c>
      <c r="D66" s="22">
        <v>-1</v>
      </c>
      <c r="E66" s="22">
        <v>-1</v>
      </c>
      <c r="F66" s="22" t="str">
        <f t="shared" si="4"/>
        <v>0 ± 0</v>
      </c>
      <c r="G66" s="22" t="str">
        <f t="shared" si="0"/>
        <v>0 ± 0</v>
      </c>
      <c r="H66" s="23">
        <v>-1</v>
      </c>
      <c r="I66" s="23">
        <v>-1</v>
      </c>
      <c r="J66" s="23" t="str">
        <f t="shared" si="1"/>
        <v>0 ± 0</v>
      </c>
      <c r="K66" s="23" t="str">
        <f t="shared" si="2"/>
        <v>0 ± 0</v>
      </c>
      <c r="L66" s="24">
        <v>-1</v>
      </c>
      <c r="M66" s="24">
        <v>-1</v>
      </c>
      <c r="N66" s="24" t="str">
        <f t="shared" si="5"/>
        <v>0 ± 0</v>
      </c>
      <c r="O66" s="24" t="str">
        <f t="shared" si="6"/>
        <v>0 ± 0</v>
      </c>
      <c r="Q66" s="20" cm="1">
        <f t="array" ref="Q66">PointMin3(ABS(B66-D66)+ABS(C66-E66),ABS(B66-H66)+ABS(C66-I66),ABS(B66-L66)+ABS(C66-M66),ABS(B66-D66)+ABS(C66-E66))</f>
        <v>1</v>
      </c>
      <c r="R66" s="20" cm="1">
        <f t="array" ref="R66">PointMin3(ABS(B66-D66)+ABS(C66-E66),ABS(B66-H66)+ABS(C66-I66),ABS(B66-L66)+ABS(C66-M66),ABS(B66-H66)+ABS(C66-I66))</f>
        <v>1</v>
      </c>
      <c r="S66" s="20" cm="1">
        <f t="array" ref="S66">PointMin3(ABS(B66-D66)+ABS(C66-E66),ABS(B66-H66)+ABS(C66-I66),ABS(B66-L66)+ABS(C66-M66),ABS(B66-L66)+ABS(C66-M66))</f>
        <v>1</v>
      </c>
      <c r="T66" s="20">
        <v>1</v>
      </c>
    </row>
    <row r="67" spans="1:20" x14ac:dyDescent="0.3">
      <c r="A67" s="98">
        <f t="shared" si="3"/>
        <v>65</v>
      </c>
      <c r="B67" s="70">
        <v>-1</v>
      </c>
      <c r="C67" s="21">
        <v>-1</v>
      </c>
      <c r="D67" s="22">
        <v>-1</v>
      </c>
      <c r="E67" s="22">
        <v>-1</v>
      </c>
      <c r="F67" s="22" t="str">
        <f t="shared" si="4"/>
        <v>0 ± 0</v>
      </c>
      <c r="G67" s="22" t="str">
        <f t="shared" si="0"/>
        <v>0 ± 0</v>
      </c>
      <c r="H67" s="23">
        <v>-1</v>
      </c>
      <c r="I67" s="23">
        <v>-1</v>
      </c>
      <c r="J67" s="23" t="str">
        <f t="shared" si="1"/>
        <v>0 ± 0</v>
      </c>
      <c r="K67" s="23" t="str">
        <f t="shared" si="2"/>
        <v>0 ± 0</v>
      </c>
      <c r="L67" s="24">
        <v>-1</v>
      </c>
      <c r="M67" s="24">
        <v>-1</v>
      </c>
      <c r="N67" s="24" t="str">
        <f t="shared" si="5"/>
        <v>0 ± 0</v>
      </c>
      <c r="O67" s="24" t="str">
        <f t="shared" si="6"/>
        <v>0 ± 0</v>
      </c>
      <c r="Q67" s="20" cm="1">
        <f t="array" ref="Q67">PointMin3(ABS(B67-D67)+ABS(C67-E67),ABS(B67-H67)+ABS(C67-I67),ABS(B67-L67)+ABS(C67-M67),ABS(B67-D67)+ABS(C67-E67))</f>
        <v>1</v>
      </c>
      <c r="R67" s="20" cm="1">
        <f t="array" ref="R67">PointMin3(ABS(B67-D67)+ABS(C67-E67),ABS(B67-H67)+ABS(C67-I67),ABS(B67-L67)+ABS(C67-M67),ABS(B67-H67)+ABS(C67-I67))</f>
        <v>1</v>
      </c>
      <c r="S67" s="20" cm="1">
        <f t="array" ref="S67">PointMin3(ABS(B67-D67)+ABS(C67-E67),ABS(B67-H67)+ABS(C67-I67),ABS(B67-L67)+ABS(C67-M67),ABS(B67-L67)+ABS(C67-M67))</f>
        <v>1</v>
      </c>
      <c r="T67" s="20">
        <v>1</v>
      </c>
    </row>
    <row r="68" spans="1:20" x14ac:dyDescent="0.3">
      <c r="A68" s="99">
        <f t="shared" si="3"/>
        <v>66</v>
      </c>
      <c r="B68" s="70">
        <f>[1]Кг_s1!D67</f>
        <v>0.95921374911562929</v>
      </c>
      <c r="C68" s="21">
        <f>[1]Кг_s1!I67</f>
        <v>2.5253091213205462E-2</v>
      </c>
      <c r="D68" s="22">
        <f>[2]Кг_s1!B67</f>
        <v>0.5</v>
      </c>
      <c r="E68" s="22">
        <f>[2]Кг_s1!$C$2</f>
        <v>1E-3</v>
      </c>
      <c r="F68" s="22" t="str">
        <f t="shared" ref="F68:F88" si="7">ROUNDUP(ABS(B68-D68),3) &amp; " ± " &amp; ROUNDUP(ABS(C68-E68),3)</f>
        <v>0,46 ± 0,025</v>
      </c>
      <c r="G68" s="22" t="str">
        <f t="shared" ref="G68:G88" si="8">ROUNDUP(ABS(B68-D68)/B68*100,3) &amp; " ± " &amp; ROUNDUP(ABS(C68-E68)/B68*100,3)</f>
        <v>47,874 ± 2,529</v>
      </c>
      <c r="H68" s="23">
        <f>[3]Кг_s1!B67</f>
        <v>0.49890124165106031</v>
      </c>
      <c r="I68" s="23">
        <f>[3]Кг_s1!F67</f>
        <v>0.49890125631856452</v>
      </c>
      <c r="J68" s="23" t="str">
        <f t="shared" ref="J68:J88" si="9">ROUNDUP(ABS(B68-H68),3) &amp; " ± " &amp; ROUNDUP(ABS(C68-I68),3)</f>
        <v>0,461 ± 0,474</v>
      </c>
      <c r="K68" s="23" t="str">
        <f t="shared" ref="K68:K88" si="10">ROUNDUP(ABS(B68-H68)/B68*100,3) &amp; " ± " &amp; ROUNDUP(ABS(C68-I68)/B68*100,3)</f>
        <v>47,989 ± 49,379</v>
      </c>
      <c r="L68" s="24">
        <f>[4]Кг_s1!D67</f>
        <v>0.9555555555555556</v>
      </c>
      <c r="M68" s="24">
        <f>[4]Кг_s1!I67</f>
        <v>8.3207459863756279E-3</v>
      </c>
      <c r="N68" s="24" t="str">
        <f t="shared" si="5"/>
        <v>0,004 ± 0,017</v>
      </c>
      <c r="O68" s="24" t="str">
        <f t="shared" si="6"/>
        <v>0,382 ± 1,766</v>
      </c>
      <c r="Q68" s="20" cm="1">
        <f t="array" ref="Q68">PointMin3(ABS(B68-D68)+ABS(C68-E68),ABS(B68-H68)+ABS(C68-I68),ABS(B68-L68)+ABS(C68-M68),ABS(B68-D68)+ABS(C68-E68))</f>
        <v>2</v>
      </c>
      <c r="R68" s="20" cm="1">
        <f t="array" ref="R68">PointMin3(ABS(B68-D68)+ABS(C68-E68),ABS(B68-H68)+ABS(C68-I68),ABS(B68-L68)+ABS(C68-M68),ABS(B68-H68)+ABS(C68-I68))</f>
        <v>1</v>
      </c>
      <c r="S68" s="20" cm="1">
        <f t="array" ref="S68">PointMin3(ABS(B68-D68)+ABS(C68-E68),ABS(B68-H68)+ABS(C68-I68),ABS(B68-L68)+ABS(C68-M68),ABS(B68-L68)+ABS(C68-M68))</f>
        <v>3</v>
      </c>
      <c r="T68" s="20">
        <v>4</v>
      </c>
    </row>
    <row r="69" spans="1:20" x14ac:dyDescent="0.3">
      <c r="A69" s="98">
        <f t="shared" ref="A69:A78" si="11">A68+1</f>
        <v>67</v>
      </c>
      <c r="B69" s="70">
        <v>-1</v>
      </c>
      <c r="C69" s="21">
        <v>-1</v>
      </c>
      <c r="D69" s="22">
        <v>-1</v>
      </c>
      <c r="E69" s="22">
        <v>-1</v>
      </c>
      <c r="F69" s="22" t="str">
        <f t="shared" si="7"/>
        <v>0 ± 0</v>
      </c>
      <c r="G69" s="22" t="str">
        <f t="shared" si="8"/>
        <v>0 ± 0</v>
      </c>
      <c r="H69" s="23">
        <v>-1</v>
      </c>
      <c r="I69" s="23">
        <v>-1</v>
      </c>
      <c r="J69" s="23" t="str">
        <f t="shared" si="9"/>
        <v>0 ± 0</v>
      </c>
      <c r="K69" s="23" t="str">
        <f t="shared" si="10"/>
        <v>0 ± 0</v>
      </c>
      <c r="L69" s="24">
        <v>-1</v>
      </c>
      <c r="M69" s="24">
        <v>-1</v>
      </c>
      <c r="N69" s="24" t="str">
        <f t="shared" ref="N69:N88" si="12">ROUNDUP(ABS(B69-L69),3) &amp; " ± " &amp; ROUNDUP(ABS(C69-M69),3)</f>
        <v>0 ± 0</v>
      </c>
      <c r="O69" s="24" t="str">
        <f t="shared" ref="O69:O88" si="13">ROUNDUP(ABS(B69-L69)/B69*100,3) &amp; " ± " &amp; ROUNDUP(ABS(C69-M69)/B69*100,3)</f>
        <v>0 ± 0</v>
      </c>
      <c r="Q69" s="20" cm="1">
        <f t="array" ref="Q69">PointMin3(ABS(B69-D69)+ABS(C69-E69),ABS(B69-H69)+ABS(C69-I69),ABS(B69-L69)+ABS(C69-M69),ABS(B69-D69)+ABS(C69-E69))</f>
        <v>1</v>
      </c>
      <c r="R69" s="20" cm="1">
        <f t="array" ref="R69">PointMin3(ABS(B69-D69)+ABS(C69-E69),ABS(B69-H69)+ABS(C69-I69),ABS(B69-L69)+ABS(C69-M69),ABS(B69-H69)+ABS(C69-I69))</f>
        <v>1</v>
      </c>
      <c r="S69" s="20" cm="1">
        <f t="array" ref="S69">PointMin3(ABS(B69-D69)+ABS(C69-E69),ABS(B69-H69)+ABS(C69-I69),ABS(B69-L69)+ABS(C69-M69),ABS(B69-L69)+ABS(C69-M69))</f>
        <v>1</v>
      </c>
      <c r="T69" s="20">
        <v>1</v>
      </c>
    </row>
    <row r="70" spans="1:20" x14ac:dyDescent="0.3">
      <c r="A70" s="98">
        <f t="shared" si="11"/>
        <v>68</v>
      </c>
      <c r="B70" s="70">
        <v>-1</v>
      </c>
      <c r="C70" s="21">
        <v>-1</v>
      </c>
      <c r="D70" s="22">
        <v>-1</v>
      </c>
      <c r="E70" s="22">
        <v>-1</v>
      </c>
      <c r="F70" s="22" t="str">
        <f t="shared" si="7"/>
        <v>0 ± 0</v>
      </c>
      <c r="G70" s="22" t="str">
        <f t="shared" si="8"/>
        <v>0 ± 0</v>
      </c>
      <c r="H70" s="23">
        <v>-1</v>
      </c>
      <c r="I70" s="23">
        <v>-1</v>
      </c>
      <c r="J70" s="23" t="str">
        <f t="shared" si="9"/>
        <v>0 ± 0</v>
      </c>
      <c r="K70" s="23" t="str">
        <f t="shared" si="10"/>
        <v>0 ± 0</v>
      </c>
      <c r="L70" s="24">
        <v>-1</v>
      </c>
      <c r="M70" s="24">
        <v>-1</v>
      </c>
      <c r="N70" s="24" t="str">
        <f t="shared" si="12"/>
        <v>0 ± 0</v>
      </c>
      <c r="O70" s="24" t="str">
        <f t="shared" si="13"/>
        <v>0 ± 0</v>
      </c>
      <c r="Q70" s="20" cm="1">
        <f t="array" ref="Q70">PointMin3(ABS(B70-D70)+ABS(C70-E70),ABS(B70-H70)+ABS(C70-I70),ABS(B70-L70)+ABS(C70-M70),ABS(B70-D70)+ABS(C70-E70))</f>
        <v>1</v>
      </c>
      <c r="R70" s="20" cm="1">
        <f t="array" ref="R70">PointMin3(ABS(B70-D70)+ABS(C70-E70),ABS(B70-H70)+ABS(C70-I70),ABS(B70-L70)+ABS(C70-M70),ABS(B70-H70)+ABS(C70-I70))</f>
        <v>1</v>
      </c>
      <c r="S70" s="20" cm="1">
        <f t="array" ref="S70">PointMin3(ABS(B70-D70)+ABS(C70-E70),ABS(B70-H70)+ABS(C70-I70),ABS(B70-L70)+ABS(C70-M70),ABS(B70-L70)+ABS(C70-M70))</f>
        <v>1</v>
      </c>
      <c r="T70" s="20">
        <v>1</v>
      </c>
    </row>
    <row r="71" spans="1:20" x14ac:dyDescent="0.3">
      <c r="A71" s="98">
        <f t="shared" si="11"/>
        <v>69</v>
      </c>
      <c r="B71" s="70">
        <v>-1</v>
      </c>
      <c r="C71" s="21">
        <v>-1</v>
      </c>
      <c r="D71" s="22">
        <v>-1</v>
      </c>
      <c r="E71" s="22">
        <v>-1</v>
      </c>
      <c r="F71" s="22" t="str">
        <f t="shared" si="7"/>
        <v>0 ± 0</v>
      </c>
      <c r="G71" s="22" t="str">
        <f t="shared" si="8"/>
        <v>0 ± 0</v>
      </c>
      <c r="H71" s="23">
        <v>-1</v>
      </c>
      <c r="I71" s="23">
        <v>-1</v>
      </c>
      <c r="J71" s="23" t="str">
        <f t="shared" si="9"/>
        <v>0 ± 0</v>
      </c>
      <c r="K71" s="23" t="str">
        <f t="shared" si="10"/>
        <v>0 ± 0</v>
      </c>
      <c r="L71" s="24">
        <v>-1</v>
      </c>
      <c r="M71" s="24">
        <v>-1</v>
      </c>
      <c r="N71" s="24" t="str">
        <f t="shared" si="12"/>
        <v>0 ± 0</v>
      </c>
      <c r="O71" s="24" t="str">
        <f t="shared" si="13"/>
        <v>0 ± 0</v>
      </c>
      <c r="Q71" s="20" cm="1">
        <f t="array" ref="Q71">PointMin3(ABS(B71-D71)+ABS(C71-E71),ABS(B71-H71)+ABS(C71-I71),ABS(B71-L71)+ABS(C71-M71),ABS(B71-D71)+ABS(C71-E71))</f>
        <v>1</v>
      </c>
      <c r="R71" s="20" cm="1">
        <f t="array" ref="R71">PointMin3(ABS(B71-D71)+ABS(C71-E71),ABS(B71-H71)+ABS(C71-I71),ABS(B71-L71)+ABS(C71-M71),ABS(B71-H71)+ABS(C71-I71))</f>
        <v>1</v>
      </c>
      <c r="S71" s="20" cm="1">
        <f t="array" ref="S71">PointMin3(ABS(B71-D71)+ABS(C71-E71),ABS(B71-H71)+ABS(C71-I71),ABS(B71-L71)+ABS(C71-M71),ABS(B71-L71)+ABS(C71-M71))</f>
        <v>1</v>
      </c>
      <c r="T71" s="20">
        <v>1</v>
      </c>
    </row>
    <row r="72" spans="1:20" x14ac:dyDescent="0.3">
      <c r="A72" s="98">
        <f t="shared" si="11"/>
        <v>70</v>
      </c>
      <c r="B72" s="70">
        <v>-1</v>
      </c>
      <c r="C72" s="21">
        <v>-1</v>
      </c>
      <c r="D72" s="22">
        <v>-1</v>
      </c>
      <c r="E72" s="22">
        <v>-1</v>
      </c>
      <c r="F72" s="22" t="str">
        <f t="shared" si="7"/>
        <v>0 ± 0</v>
      </c>
      <c r="G72" s="22" t="str">
        <f t="shared" si="8"/>
        <v>0 ± 0</v>
      </c>
      <c r="H72" s="23">
        <v>-1</v>
      </c>
      <c r="I72" s="23">
        <v>-1</v>
      </c>
      <c r="J72" s="23" t="str">
        <f t="shared" si="9"/>
        <v>0 ± 0</v>
      </c>
      <c r="K72" s="23" t="str">
        <f t="shared" si="10"/>
        <v>0 ± 0</v>
      </c>
      <c r="L72" s="24">
        <v>-1</v>
      </c>
      <c r="M72" s="24">
        <v>-1</v>
      </c>
      <c r="N72" s="24" t="str">
        <f t="shared" si="12"/>
        <v>0 ± 0</v>
      </c>
      <c r="O72" s="24" t="str">
        <f t="shared" si="13"/>
        <v>0 ± 0</v>
      </c>
      <c r="Q72" s="20" cm="1">
        <f t="array" ref="Q72">PointMin3(ABS(B72-D72)+ABS(C72-E72),ABS(B72-H72)+ABS(C72-I72),ABS(B72-L72)+ABS(C72-M72),ABS(B72-D72)+ABS(C72-E72))</f>
        <v>1</v>
      </c>
      <c r="R72" s="20" cm="1">
        <f t="array" ref="R72">PointMin3(ABS(B72-D72)+ABS(C72-E72),ABS(B72-H72)+ABS(C72-I72),ABS(B72-L72)+ABS(C72-M72),ABS(B72-H72)+ABS(C72-I72))</f>
        <v>1</v>
      </c>
      <c r="S72" s="20" cm="1">
        <f t="array" ref="S72">PointMin3(ABS(B72-D72)+ABS(C72-E72),ABS(B72-H72)+ABS(C72-I72),ABS(B72-L72)+ABS(C72-M72),ABS(B72-L72)+ABS(C72-M72))</f>
        <v>1</v>
      </c>
      <c r="T72" s="20">
        <v>1</v>
      </c>
    </row>
    <row r="73" spans="1:20" x14ac:dyDescent="0.3">
      <c r="A73" s="99">
        <f t="shared" si="11"/>
        <v>71</v>
      </c>
      <c r="B73" s="70">
        <f>[1]Кг_s1!D72</f>
        <v>0.9825794184622092</v>
      </c>
      <c r="C73" s="21">
        <f>[1]Кг_s1!I72</f>
        <v>4.4431283257467882E-2</v>
      </c>
      <c r="D73" s="22">
        <f>[2]Кг_s1!B72</f>
        <v>0.5</v>
      </c>
      <c r="E73" s="22">
        <f>[2]Кг_s1!$C$2</f>
        <v>1E-3</v>
      </c>
      <c r="F73" s="22" t="str">
        <f t="shared" si="7"/>
        <v>0,483 ± 0,044</v>
      </c>
      <c r="G73" s="22" t="str">
        <f t="shared" si="8"/>
        <v>49,114 ± 4,421</v>
      </c>
      <c r="H73" s="23">
        <f>[3]Кг_s1!B72</f>
        <v>0.49902124335843706</v>
      </c>
      <c r="I73" s="23">
        <f>[3]Кг_s1!F72</f>
        <v>0.4990212549953687</v>
      </c>
      <c r="J73" s="23" t="str">
        <f t="shared" si="9"/>
        <v>0,484 ± 0,455</v>
      </c>
      <c r="K73" s="23" t="str">
        <f t="shared" si="10"/>
        <v>49,214 ± 46,265</v>
      </c>
      <c r="L73" s="24">
        <f>[4]Кг_s1!D72</f>
        <v>0.96608187134502921</v>
      </c>
      <c r="M73" s="24">
        <f>[4]Кг_s1!I72</f>
        <v>8.8975304795301073E-3</v>
      </c>
      <c r="N73" s="24" t="str">
        <f t="shared" si="12"/>
        <v>0,017 ± 0,036</v>
      </c>
      <c r="O73" s="24" t="str">
        <f t="shared" si="13"/>
        <v>1,68 ± 3,617</v>
      </c>
      <c r="Q73" s="20" cm="1">
        <f t="array" ref="Q73">PointMin3(ABS(B73-D73)+ABS(C73-E73),ABS(B73-H73)+ABS(C73-I73),ABS(B73-L73)+ABS(C73-M73),ABS(B73-D73)+ABS(C73-E73))</f>
        <v>2</v>
      </c>
      <c r="R73" s="20" cm="1">
        <f t="array" ref="R73">PointMin3(ABS(B73-D73)+ABS(C73-E73),ABS(B73-H73)+ABS(C73-I73),ABS(B73-L73)+ABS(C73-M73),ABS(B73-H73)+ABS(C73-I73))</f>
        <v>1</v>
      </c>
      <c r="S73" s="20" cm="1">
        <f t="array" ref="S73">PointMin3(ABS(B73-D73)+ABS(C73-E73),ABS(B73-H73)+ABS(C73-I73),ABS(B73-L73)+ABS(C73-M73),ABS(B73-L73)+ABS(C73-M73))</f>
        <v>3</v>
      </c>
      <c r="T73" s="20">
        <v>4</v>
      </c>
    </row>
    <row r="74" spans="1:20" x14ac:dyDescent="0.3">
      <c r="A74" s="98">
        <f t="shared" si="11"/>
        <v>72</v>
      </c>
      <c r="B74" s="70">
        <v>-1</v>
      </c>
      <c r="C74" s="21">
        <v>-1</v>
      </c>
      <c r="D74" s="22">
        <v>-1</v>
      </c>
      <c r="E74" s="22">
        <v>-1</v>
      </c>
      <c r="F74" s="22" t="str">
        <f>ROUNDUP(ABS(B60-D74),3) &amp; " ± " &amp; ROUNDUP(ABS(C60-E74),3)</f>
        <v>0 ± 0</v>
      </c>
      <c r="G74" s="22" t="str">
        <f>ROUNDUP(ABS(B60-D74)/B60*100,3) &amp; " ± " &amp; ROUNDUP(ABS(C60-E74)/B60*100,3)</f>
        <v>0 ± 0</v>
      </c>
      <c r="H74" s="23">
        <v>-1</v>
      </c>
      <c r="I74" s="23">
        <v>-1</v>
      </c>
      <c r="J74" s="23" t="str">
        <f>ROUNDUP(ABS(B60-H74),3) &amp; " ± " &amp; ROUNDUP(ABS(C60-I74),3)</f>
        <v>0 ± 0</v>
      </c>
      <c r="K74" s="23" t="str">
        <f>ROUNDUP(ABS(B60-H74)/B60*100,3) &amp; " ± " &amp; ROUNDUP(ABS(C60-I74)/B60*100,3)</f>
        <v>0 ± 0</v>
      </c>
      <c r="L74" s="24">
        <v>-1</v>
      </c>
      <c r="M74" s="24">
        <v>-1</v>
      </c>
      <c r="N74" s="24" t="str">
        <f>ROUNDUP(ABS(B60-L74),3) &amp; " ± " &amp; ROUNDUP(ABS(C60-M74),3)</f>
        <v>0 ± 0</v>
      </c>
      <c r="O74" s="24" t="str">
        <f>ROUNDUP(ABS(B60-L74)/B60*100,3) &amp; " ± " &amp; ROUNDUP(ABS(C60-M74)/B60*100,3)</f>
        <v>0 ± 0</v>
      </c>
      <c r="Q74" s="20" cm="1">
        <f t="array" ref="Q74">PointMin3(ABS(B74-D74)+ABS(C74-E74),ABS(B74-H74)+ABS(C74-I74),ABS(B74-L74)+ABS(C74-M74),ABS(B74-D74)+ABS(C74-E74))</f>
        <v>1</v>
      </c>
      <c r="R74" s="20" cm="1">
        <f t="array" ref="R74">PointMin3(ABS(B74-D74)+ABS(C74-E74),ABS(B74-H74)+ABS(C74-I74),ABS(B74-L74)+ABS(C74-M74),ABS(B74-H74)+ABS(C74-I74))</f>
        <v>1</v>
      </c>
      <c r="S74" s="20" cm="1">
        <f t="array" ref="S74">PointMin3(ABS(B74-D74)+ABS(C74-E74),ABS(B74-H74)+ABS(C74-I74),ABS(B74-L74)+ABS(C74-M74),ABS(B74-L74)+ABS(C74-M74))</f>
        <v>1</v>
      </c>
      <c r="T74" s="20">
        <v>1</v>
      </c>
    </row>
    <row r="75" spans="1:20" x14ac:dyDescent="0.3">
      <c r="A75" s="98">
        <f t="shared" si="11"/>
        <v>73</v>
      </c>
      <c r="B75" s="70">
        <v>-1</v>
      </c>
      <c r="C75" s="21">
        <v>-1</v>
      </c>
      <c r="D75" s="22">
        <v>-1</v>
      </c>
      <c r="E75" s="22">
        <v>-1</v>
      </c>
      <c r="F75" s="22" t="str">
        <f>ROUNDUP(ABS(B61-D75),3) &amp; " ± " &amp; ROUNDUP(ABS(C61-E75),3)</f>
        <v>0 ± 0</v>
      </c>
      <c r="G75" s="22" t="str">
        <f>ROUNDUP(ABS(B61-D75)/B61*100,3) &amp; " ± " &amp; ROUNDUP(ABS(C61-E75)/B61*100,3)</f>
        <v>0 ± 0</v>
      </c>
      <c r="H75" s="23">
        <v>-1</v>
      </c>
      <c r="I75" s="23">
        <v>-1</v>
      </c>
      <c r="J75" s="23" t="str">
        <f>ROUNDUP(ABS(B61-H75),3) &amp; " ± " &amp; ROUNDUP(ABS(C61-I75),3)</f>
        <v>0 ± 0</v>
      </c>
      <c r="K75" s="23" t="str">
        <f>ROUNDUP(ABS(B61-H75)/B61*100,3) &amp; " ± " &amp; ROUNDUP(ABS(C61-I75)/B61*100,3)</f>
        <v>0 ± 0</v>
      </c>
      <c r="L75" s="24">
        <v>-1</v>
      </c>
      <c r="M75" s="24">
        <v>-1</v>
      </c>
      <c r="N75" s="24" t="str">
        <f>ROUNDUP(ABS(B61-L75),3) &amp; " ± " &amp; ROUNDUP(ABS(C61-M75),3)</f>
        <v>0 ± 0</v>
      </c>
      <c r="O75" s="24" t="str">
        <f>ROUNDUP(ABS(B61-L75)/B61*100,3) &amp; " ± " &amp; ROUNDUP(ABS(C61-M75)/B61*100,3)</f>
        <v>0 ± 0</v>
      </c>
      <c r="Q75" s="20" cm="1">
        <f t="array" ref="Q75">PointMin3(ABS(B75-D75)+ABS(C75-E75),ABS(B75-H75)+ABS(C75-I75),ABS(B75-L75)+ABS(C75-M75),ABS(B75-D75)+ABS(C75-E75))</f>
        <v>1</v>
      </c>
      <c r="R75" s="20" cm="1">
        <f t="array" ref="R75">PointMin3(ABS(B75-D75)+ABS(C75-E75),ABS(B75-H75)+ABS(C75-I75),ABS(B75-L75)+ABS(C75-M75),ABS(B75-H75)+ABS(C75-I75))</f>
        <v>1</v>
      </c>
      <c r="S75" s="20" cm="1">
        <f t="array" ref="S75">PointMin3(ABS(B75-D75)+ABS(C75-E75),ABS(B75-H75)+ABS(C75-I75),ABS(B75-L75)+ABS(C75-M75),ABS(B75-L75)+ABS(C75-M75))</f>
        <v>1</v>
      </c>
      <c r="T75" s="20">
        <v>1</v>
      </c>
    </row>
    <row r="76" spans="1:20" x14ac:dyDescent="0.3">
      <c r="A76" s="98">
        <f t="shared" si="11"/>
        <v>74</v>
      </c>
      <c r="B76" s="70">
        <v>-1</v>
      </c>
      <c r="C76" s="21">
        <v>-1</v>
      </c>
      <c r="D76" s="22">
        <v>-1</v>
      </c>
      <c r="E76" s="22">
        <v>-1</v>
      </c>
      <c r="F76" s="22" t="str">
        <f>ROUNDUP(ABS(B62-D76),3) &amp; " ± " &amp; ROUNDUP(ABS(C62-E76),3)</f>
        <v>0 ± 0</v>
      </c>
      <c r="G76" s="22" t="str">
        <f>ROUNDUP(ABS(B62-D76)/B62*100,3) &amp; " ± " &amp; ROUNDUP(ABS(C62-E76)/B62*100,3)</f>
        <v>0 ± 0</v>
      </c>
      <c r="H76" s="23">
        <v>-1</v>
      </c>
      <c r="I76" s="23">
        <v>-1</v>
      </c>
      <c r="J76" s="23" t="str">
        <f>ROUNDUP(ABS(B62-H76),3) &amp; " ± " &amp; ROUNDUP(ABS(C62-I76),3)</f>
        <v>0 ± 0</v>
      </c>
      <c r="K76" s="23" t="str">
        <f>ROUNDUP(ABS(B62-H76)/B62*100,3) &amp; " ± " &amp; ROUNDUP(ABS(C62-I76)/B62*100,3)</f>
        <v>0 ± 0</v>
      </c>
      <c r="L76" s="24">
        <v>-1</v>
      </c>
      <c r="M76" s="24">
        <v>-1</v>
      </c>
      <c r="N76" s="24" t="str">
        <f>ROUNDUP(ABS(B62-L76),3) &amp; " ± " &amp; ROUNDUP(ABS(C62-M76),3)</f>
        <v>0 ± 0</v>
      </c>
      <c r="O76" s="24" t="str">
        <f>ROUNDUP(ABS(B62-L76)/B62*100,3) &amp; " ± " &amp; ROUNDUP(ABS(C62-M76)/B62*100,3)</f>
        <v>0 ± 0</v>
      </c>
      <c r="Q76" s="20" cm="1">
        <f t="array" ref="Q76">PointMin3(ABS(B76-D76)+ABS(C76-E76),ABS(B76-H76)+ABS(C76-I76),ABS(B76-L76)+ABS(C76-M76),ABS(B76-D76)+ABS(C76-E76))</f>
        <v>1</v>
      </c>
      <c r="R76" s="20" cm="1">
        <f t="array" ref="R76">PointMin3(ABS(B76-D76)+ABS(C76-E76),ABS(B76-H76)+ABS(C76-I76),ABS(B76-L76)+ABS(C76-M76),ABS(B76-H76)+ABS(C76-I76))</f>
        <v>1</v>
      </c>
      <c r="S76" s="20" cm="1">
        <f t="array" ref="S76">PointMin3(ABS(B76-D76)+ABS(C76-E76),ABS(B76-H76)+ABS(C76-I76),ABS(B76-L76)+ABS(C76-M76),ABS(B76-L76)+ABS(C76-M76))</f>
        <v>1</v>
      </c>
      <c r="T76" s="20">
        <v>1</v>
      </c>
    </row>
    <row r="77" spans="1:20" x14ac:dyDescent="0.3">
      <c r="A77" s="98">
        <f t="shared" si="11"/>
        <v>75</v>
      </c>
      <c r="B77" s="70">
        <v>-1</v>
      </c>
      <c r="C77" s="21">
        <v>-1</v>
      </c>
      <c r="D77" s="22">
        <v>-1</v>
      </c>
      <c r="E77" s="22">
        <v>-1</v>
      </c>
      <c r="F77" s="22" t="str">
        <f t="shared" si="7"/>
        <v>0 ± 0</v>
      </c>
      <c r="G77" s="22" t="str">
        <f t="shared" si="8"/>
        <v>0 ± 0</v>
      </c>
      <c r="H77" s="23">
        <v>-1</v>
      </c>
      <c r="I77" s="23">
        <v>-1</v>
      </c>
      <c r="J77" s="23" t="str">
        <f t="shared" si="9"/>
        <v>0 ± 0</v>
      </c>
      <c r="K77" s="23" t="str">
        <f t="shared" si="10"/>
        <v>0 ± 0</v>
      </c>
      <c r="L77" s="24">
        <v>-1</v>
      </c>
      <c r="M77" s="24">
        <v>-1</v>
      </c>
      <c r="N77" s="24" t="str">
        <f t="shared" si="12"/>
        <v>0 ± 0</v>
      </c>
      <c r="O77" s="24" t="str">
        <f t="shared" si="13"/>
        <v>0 ± 0</v>
      </c>
      <c r="Q77" s="20" cm="1">
        <f t="array" ref="Q77">PointMin3(ABS(B77-D77)+ABS(C77-E77),ABS(B77-H77)+ABS(C77-I77),ABS(B77-L77)+ABS(C77-M77),ABS(B77-D77)+ABS(C77-E77))</f>
        <v>1</v>
      </c>
      <c r="R77" s="20" cm="1">
        <f t="array" ref="R77">PointMin3(ABS(B77-D77)+ABS(C77-E77),ABS(B77-H77)+ABS(C77-I77),ABS(B77-L77)+ABS(C77-M77),ABS(B77-H77)+ABS(C77-I77))</f>
        <v>1</v>
      </c>
      <c r="S77" s="20" cm="1">
        <f t="array" ref="S77">PointMin3(ABS(B77-D77)+ABS(C77-E77),ABS(B77-H77)+ABS(C77-I77),ABS(B77-L77)+ABS(C77-M77),ABS(B77-L77)+ABS(C77-M77))</f>
        <v>1</v>
      </c>
      <c r="T77" s="20">
        <v>1</v>
      </c>
    </row>
    <row r="78" spans="1:20" x14ac:dyDescent="0.3">
      <c r="A78" s="99">
        <f t="shared" si="11"/>
        <v>76</v>
      </c>
      <c r="B78" s="70">
        <f>[1]Кг_s1!D77</f>
        <v>0.99300939114425524</v>
      </c>
      <c r="C78" s="21">
        <f>[1]Кг_s1!I77</f>
        <v>3.132317182053642E-2</v>
      </c>
      <c r="D78" s="22">
        <f>[2]Кг_s1!B77</f>
        <v>2.0000000000000001E-4</v>
      </c>
      <c r="E78" s="22">
        <f>[2]Кг_s1!$C$2</f>
        <v>1E-3</v>
      </c>
      <c r="F78" s="22" t="str">
        <f t="shared" si="7"/>
        <v>0,993 ± 0,031</v>
      </c>
      <c r="G78" s="22" t="str">
        <f t="shared" si="8"/>
        <v>99,98 ± 3,054</v>
      </c>
      <c r="H78" s="23">
        <f>[3]Кг_s1!B77</f>
        <v>0</v>
      </c>
      <c r="I78" s="23">
        <f>[3]Кг_s1!F77</f>
        <v>1.689885738468049E-3</v>
      </c>
      <c r="J78" s="23" t="str">
        <f t="shared" si="9"/>
        <v>0,994 ± 0,03</v>
      </c>
      <c r="K78" s="23" t="str">
        <f t="shared" si="10"/>
        <v>100 ± 2,985</v>
      </c>
      <c r="L78" s="24">
        <f>[4]Кг_s1!D77</f>
        <v>0.95906432748538006</v>
      </c>
      <c r="M78" s="24">
        <f>[4]Кг_s1!I77</f>
        <v>9.8673805803198029E-3</v>
      </c>
      <c r="N78" s="24" t="str">
        <f t="shared" si="12"/>
        <v>0,034 ± 0,022</v>
      </c>
      <c r="O78" s="24" t="str">
        <f t="shared" si="13"/>
        <v>3,419 ± 2,161</v>
      </c>
      <c r="Q78" s="20" cm="1">
        <f t="array" ref="Q78">PointMin3(ABS(B78-D78)+ABS(C78-E78),ABS(B78-H78)+ABS(C78-I78),ABS(B78-L78)+ABS(C78-M78),ABS(B78-D78)+ABS(C78-E78))</f>
        <v>1</v>
      </c>
      <c r="R78" s="20" cm="1">
        <f t="array" ref="R78">PointMin3(ABS(B78-D78)+ABS(C78-E78),ABS(B78-H78)+ABS(C78-I78),ABS(B78-L78)+ABS(C78-M78),ABS(B78-H78)+ABS(C78-I78))</f>
        <v>2</v>
      </c>
      <c r="S78" s="20" cm="1">
        <f t="array" ref="S78">PointMin3(ABS(B78-D78)+ABS(C78-E78),ABS(B78-H78)+ABS(C78-I78),ABS(B78-L78)+ABS(C78-M78),ABS(B78-L78)+ABS(C78-M78))</f>
        <v>3</v>
      </c>
      <c r="T78" s="20">
        <v>4</v>
      </c>
    </row>
    <row r="79" spans="1:20" x14ac:dyDescent="0.3">
      <c r="B79" s="70">
        <v>-1</v>
      </c>
      <c r="C79" s="21">
        <v>-1</v>
      </c>
      <c r="D79" s="22">
        <v>-1</v>
      </c>
      <c r="E79" s="22">
        <v>-1</v>
      </c>
      <c r="F79" s="22" t="str">
        <f t="shared" si="7"/>
        <v>0 ± 0</v>
      </c>
      <c r="G79" s="22" t="str">
        <f t="shared" si="8"/>
        <v>0 ± 0</v>
      </c>
      <c r="H79" s="23">
        <v>-1</v>
      </c>
      <c r="I79" s="23">
        <v>-1</v>
      </c>
      <c r="J79" s="23" t="str">
        <f t="shared" si="9"/>
        <v>0 ± 0</v>
      </c>
      <c r="K79" s="23" t="str">
        <f t="shared" si="10"/>
        <v>0 ± 0</v>
      </c>
      <c r="L79" s="24">
        <v>-1</v>
      </c>
      <c r="M79" s="24">
        <v>-1</v>
      </c>
      <c r="N79" s="24" t="str">
        <f t="shared" si="12"/>
        <v>0 ± 0</v>
      </c>
      <c r="O79" s="24" t="str">
        <f t="shared" si="13"/>
        <v>0 ± 0</v>
      </c>
      <c r="Q79" s="20" cm="1">
        <f t="array" ref="Q79">PointMin3(ABS(B79-D79)+ABS(C79-E79),ABS(B79-H79)+ABS(C79-I79),ABS(B79-L79)+ABS(C79-M79),ABS(B79-D79)+ABS(C79-E79))</f>
        <v>1</v>
      </c>
      <c r="R79" s="20" cm="1">
        <f t="array" ref="R79">PointMin3(ABS(B79-D79)+ABS(C79-E79),ABS(B79-H79)+ABS(C79-I79),ABS(B79-L79)+ABS(C79-M79),ABS(B79-H79)+ABS(C79-I79))</f>
        <v>1</v>
      </c>
      <c r="S79" s="20" cm="1">
        <f t="array" ref="S79">PointMin3(ABS(B79-D79)+ABS(C79-E79),ABS(B79-H79)+ABS(C79-I79),ABS(B79-L79)+ABS(C79-M79),ABS(B79-L79)+ABS(C79-M79))</f>
        <v>1</v>
      </c>
      <c r="T79" s="20">
        <v>1</v>
      </c>
    </row>
    <row r="80" spans="1:20" x14ac:dyDescent="0.3">
      <c r="B80" s="70">
        <v>-1</v>
      </c>
      <c r="C80" s="21">
        <v>-1</v>
      </c>
      <c r="D80" s="22">
        <v>-1</v>
      </c>
      <c r="E80" s="22">
        <v>-1</v>
      </c>
      <c r="F80" s="22" t="str">
        <f t="shared" si="7"/>
        <v>0 ± 0</v>
      </c>
      <c r="G80" s="22" t="str">
        <f t="shared" si="8"/>
        <v>0 ± 0</v>
      </c>
      <c r="H80" s="23">
        <v>-1</v>
      </c>
      <c r="I80" s="23">
        <v>-1</v>
      </c>
      <c r="J80" s="23" t="str">
        <f t="shared" si="9"/>
        <v>0 ± 0</v>
      </c>
      <c r="K80" s="23" t="str">
        <f t="shared" si="10"/>
        <v>0 ± 0</v>
      </c>
      <c r="L80" s="24">
        <v>-1</v>
      </c>
      <c r="M80" s="24">
        <v>-1</v>
      </c>
      <c r="N80" s="24" t="str">
        <f t="shared" si="12"/>
        <v>0 ± 0</v>
      </c>
      <c r="O80" s="24" t="str">
        <f t="shared" si="13"/>
        <v>0 ± 0</v>
      </c>
      <c r="Q80" s="20" cm="1">
        <f t="array" ref="Q80">PointMin3(ABS(B80-D80)+ABS(C80-E80),ABS(B80-H80)+ABS(C80-I80),ABS(B80-L80)+ABS(C80-M80),ABS(B80-D80)+ABS(C80-E80))</f>
        <v>1</v>
      </c>
      <c r="R80" s="20" cm="1">
        <f t="array" ref="R80">PointMin3(ABS(B80-D80)+ABS(C80-E80),ABS(B80-H80)+ABS(C80-I80),ABS(B80-L80)+ABS(C80-M80),ABS(B80-H80)+ABS(C80-I80))</f>
        <v>1</v>
      </c>
      <c r="S80" s="20" cm="1">
        <f t="array" ref="S80">PointMin3(ABS(B80-D80)+ABS(C80-E80),ABS(B80-H80)+ABS(C80-I80),ABS(B80-L80)+ABS(C80-M80),ABS(B80-L80)+ABS(C80-M80))</f>
        <v>1</v>
      </c>
      <c r="T80" s="20">
        <v>1</v>
      </c>
    </row>
    <row r="81" spans="1:20" x14ac:dyDescent="0.3">
      <c r="A81" s="99" t="s">
        <v>51</v>
      </c>
      <c r="B81" s="70">
        <f>[1]Кг_s1!D80</f>
        <v>1</v>
      </c>
      <c r="C81" s="21">
        <f>[1]Кг_s1!I80</f>
        <v>0</v>
      </c>
      <c r="D81" s="22">
        <f>[2]Кг_s1!B80</f>
        <v>1</v>
      </c>
      <c r="E81" s="22">
        <f>[2]Кг_s1!$C$2</f>
        <v>1E-3</v>
      </c>
      <c r="F81" s="22" t="str">
        <f t="shared" si="7"/>
        <v>0 ± 0,001</v>
      </c>
      <c r="G81" s="22" t="str">
        <f t="shared" si="8"/>
        <v>0 ± 0,1</v>
      </c>
      <c r="H81" s="23">
        <f>[3]Кг_s1!B80</f>
        <v>0.36261102831594633</v>
      </c>
      <c r="I81" s="23">
        <f>[3]Кг_s1!F80</f>
        <v>3.7160469338446439E-2</v>
      </c>
      <c r="J81" s="23" t="str">
        <f t="shared" si="9"/>
        <v>0,638 ± 0,038</v>
      </c>
      <c r="K81" s="23" t="str">
        <f t="shared" si="10"/>
        <v>63,739 ± 3,717</v>
      </c>
      <c r="L81" s="24">
        <f>[4]Кг_s1!D80</f>
        <v>0.99883040935672518</v>
      </c>
      <c r="M81" s="24">
        <f>[4]Кг_s1!I80</f>
        <v>1.6233828496812859E-3</v>
      </c>
      <c r="N81" s="24" t="str">
        <f t="shared" si="12"/>
        <v>0,002 ± 0,002</v>
      </c>
      <c r="O81" s="24" t="str">
        <f t="shared" si="13"/>
        <v>0,117 ± 0,163</v>
      </c>
      <c r="Q81" s="20" cm="1">
        <f t="array" ref="Q81">PointMin3(ABS(B81-D81)+ABS(C81-E81),ABS(B81-H81)+ABS(C81-I81),ABS(B81-L81)+ABS(C81-M81),ABS(B81-D81)+ABS(C81-E81))</f>
        <v>3</v>
      </c>
      <c r="R81" s="20" cm="1">
        <f t="array" ref="R81">PointMin3(ABS(B81-D81)+ABS(C81-E81),ABS(B81-H81)+ABS(C81-I81),ABS(B81-L81)+ABS(C81-M81),ABS(B81-H81)+ABS(C81-I81))</f>
        <v>1</v>
      </c>
      <c r="S81" s="20" cm="1">
        <f t="array" ref="S81">PointMin3(ABS(B81-D81)+ABS(C81-E81),ABS(B81-H81)+ABS(C81-I81),ABS(B81-L81)+ABS(C81-M81),ABS(B81-L81)+ABS(C81-M81))</f>
        <v>2</v>
      </c>
      <c r="T81" s="20">
        <v>4</v>
      </c>
    </row>
    <row r="82" spans="1:20" x14ac:dyDescent="0.3">
      <c r="A82" s="99" t="s">
        <v>52</v>
      </c>
      <c r="B82" s="70">
        <f>[1]Кг_s1!D81</f>
        <v>1</v>
      </c>
      <c r="C82" s="21">
        <f>[1]Кг_s1!I81</f>
        <v>0</v>
      </c>
      <c r="D82" s="22">
        <f>[2]Кг_s1!B81</f>
        <v>1</v>
      </c>
      <c r="E82" s="22">
        <f>[2]Кг_s1!$C$2</f>
        <v>1E-3</v>
      </c>
      <c r="F82" s="22" t="str">
        <f t="shared" si="7"/>
        <v>0 ± 0,001</v>
      </c>
      <c r="G82" s="22" t="str">
        <f t="shared" si="8"/>
        <v>0 ± 0,1</v>
      </c>
      <c r="H82" s="23">
        <f>[3]Кг_s1!B81</f>
        <v>0.36261102831594633</v>
      </c>
      <c r="I82" s="23">
        <f>[3]Кг_s1!F81</f>
        <v>3.7160469338446439E-2</v>
      </c>
      <c r="J82" s="23" t="str">
        <f t="shared" si="9"/>
        <v>0,638 ± 0,038</v>
      </c>
      <c r="K82" s="23" t="str">
        <f t="shared" si="10"/>
        <v>63,739 ± 3,717</v>
      </c>
      <c r="L82" s="24">
        <f>[4]Кг_s1!D81</f>
        <v>1</v>
      </c>
      <c r="M82" s="24">
        <f>[4]Кг_s1!I81</f>
        <v>0</v>
      </c>
      <c r="N82" s="24" t="str">
        <f t="shared" si="12"/>
        <v>0 ± 0</v>
      </c>
      <c r="O82" s="24" t="str">
        <f t="shared" si="13"/>
        <v>0 ± 0</v>
      </c>
      <c r="Q82" s="20" cm="1">
        <f t="array" ref="Q82">PointMin3(ABS(B82-D82)+ABS(C82-E82),ABS(B82-H82)+ABS(C82-I82),ABS(B82-L82)+ABS(C82-M82),ABS(B82-D82)+ABS(C82-E82))</f>
        <v>2</v>
      </c>
      <c r="R82" s="20" cm="1">
        <f t="array" ref="R82">PointMin3(ABS(B82-D82)+ABS(C82-E82),ABS(B82-H82)+ABS(C82-I82),ABS(B82-L82)+ABS(C82-M82),ABS(B82-H82)+ABS(C82-I82))</f>
        <v>1</v>
      </c>
      <c r="S82" s="20" cm="1">
        <f t="array" ref="S82">PointMin3(ABS(B82-D82)+ABS(C82-E82),ABS(B82-H82)+ABS(C82-I82),ABS(B82-L82)+ABS(C82-M82),ABS(B82-L82)+ABS(C82-M82))</f>
        <v>3</v>
      </c>
      <c r="T82" s="20">
        <v>1</v>
      </c>
    </row>
    <row r="83" spans="1:20" x14ac:dyDescent="0.3">
      <c r="A83" s="99" t="s">
        <v>53</v>
      </c>
      <c r="B83" s="70">
        <f>[1]Кг_s1!D82</f>
        <v>0.69260006727211565</v>
      </c>
      <c r="C83" s="21">
        <f>[1]Кг_s1!I82</f>
        <v>0.19767306984655311</v>
      </c>
      <c r="D83" s="22">
        <f>[2]Кг_s1!B82</f>
        <v>0.32200000000000001</v>
      </c>
      <c r="E83" s="22">
        <f>[2]Кг_s1!$C$2</f>
        <v>1E-3</v>
      </c>
      <c r="F83" s="22" t="str">
        <f t="shared" si="7"/>
        <v>0,371 ± 0,197</v>
      </c>
      <c r="G83" s="22" t="str">
        <f t="shared" si="8"/>
        <v>53,509 ± 28,397</v>
      </c>
      <c r="H83" s="23">
        <f>[3]Кг_s1!B82</f>
        <v>0.39169930396452979</v>
      </c>
      <c r="I83" s="23">
        <f>[3]Кг_s1!F82</f>
        <v>0.39169930397544367</v>
      </c>
      <c r="J83" s="23" t="str">
        <f t="shared" si="9"/>
        <v>0,301 ± 0,195</v>
      </c>
      <c r="K83" s="23" t="str">
        <f t="shared" si="10"/>
        <v>43,446 ± 28,015</v>
      </c>
      <c r="L83" s="24">
        <f>[4]Кг_s1!D82</f>
        <v>0.7637426900584795</v>
      </c>
      <c r="M83" s="24">
        <f>[4]Кг_s1!I82</f>
        <v>4.0117308360824069E-2</v>
      </c>
      <c r="N83" s="24" t="str">
        <f t="shared" si="12"/>
        <v>0,072 ± 0,158</v>
      </c>
      <c r="O83" s="24" t="str">
        <f t="shared" si="13"/>
        <v>10,272 ± 22,749</v>
      </c>
      <c r="Q83" s="20" cm="1">
        <f t="array" ref="Q83">PointMin3(ABS(B83-D83)+ABS(C83-E83),ABS(B83-H83)+ABS(C83-I83),ABS(B83-L83)+ABS(C83-M83),ABS(B83-D83)+ABS(C83-E83))</f>
        <v>1</v>
      </c>
      <c r="R83" s="20" cm="1">
        <f t="array" ref="R83">PointMin3(ABS(B83-D83)+ABS(C83-E83),ABS(B83-H83)+ABS(C83-I83),ABS(B83-L83)+ABS(C83-M83),ABS(B83-H83)+ABS(C83-I83))</f>
        <v>2</v>
      </c>
      <c r="S83" s="20" cm="1">
        <f t="array" ref="S83">PointMin3(ABS(B83-D83)+ABS(C83-E83),ABS(B83-H83)+ABS(C83-I83),ABS(B83-L83)+ABS(C83-M83),ABS(B83-L83)+ABS(C83-M83))</f>
        <v>3</v>
      </c>
      <c r="T83" s="20">
        <v>4</v>
      </c>
    </row>
    <row r="84" spans="1:20" x14ac:dyDescent="0.3">
      <c r="A84" s="99" t="s">
        <v>54</v>
      </c>
      <c r="B84" s="70">
        <f>[1]Кг_s1!D83</f>
        <v>0.67463626685592626</v>
      </c>
      <c r="C84" s="21">
        <f>[1]Кг_s1!I83</f>
        <v>0.10995865870470983</v>
      </c>
      <c r="D84" s="22">
        <f>[2]Кг_s1!B83</f>
        <v>0.317</v>
      </c>
      <c r="E84" s="22">
        <f>[2]Кг_s1!$C$2</f>
        <v>1E-3</v>
      </c>
      <c r="F84" s="22" t="str">
        <f t="shared" si="7"/>
        <v>0,358 ± 0,109</v>
      </c>
      <c r="G84" s="22" t="str">
        <f t="shared" si="8"/>
        <v>53,012 ± 16,151</v>
      </c>
      <c r="H84" s="23">
        <f>[3]Кг_s1!B83</f>
        <v>0.11741511608516608</v>
      </c>
      <c r="I84" s="23">
        <f>[3]Кг_s1!F83</f>
        <v>0.11741511637648544</v>
      </c>
      <c r="J84" s="23" t="str">
        <f t="shared" si="9"/>
        <v>0,558 ± 0,008</v>
      </c>
      <c r="K84" s="23" t="str">
        <f t="shared" si="10"/>
        <v>82,596 ± 1,106</v>
      </c>
      <c r="L84" s="24">
        <f>[4]Кг_s1!D83</f>
        <v>0.75555555555555554</v>
      </c>
      <c r="M84" s="24">
        <f>[4]Кг_s1!I83</f>
        <v>3.8993862137819246E-2</v>
      </c>
      <c r="N84" s="24" t="str">
        <f t="shared" si="12"/>
        <v>0,081 ± 0,071</v>
      </c>
      <c r="O84" s="24" t="str">
        <f t="shared" si="13"/>
        <v>11,995 ± 10,519</v>
      </c>
      <c r="Q84" s="20" cm="1">
        <f t="array" ref="Q84">PointMin3(ABS(B84-D84)+ABS(C84-E84),ABS(B84-H84)+ABS(C84-I84),ABS(B84-L84)+ABS(C84-M84),ABS(B84-D84)+ABS(C84-E84))</f>
        <v>2</v>
      </c>
      <c r="R84" s="20" cm="1">
        <f t="array" ref="R84">PointMin3(ABS(B84-D84)+ABS(C84-E84),ABS(B84-H84)+ABS(C84-I84),ABS(B84-L84)+ABS(C84-M84),ABS(B84-H84)+ABS(C84-I84))</f>
        <v>1</v>
      </c>
      <c r="S84" s="20" cm="1">
        <f t="array" ref="S84">PointMin3(ABS(B84-D84)+ABS(C84-E84),ABS(B84-H84)+ABS(C84-I84),ABS(B84-L84)+ABS(C84-M84),ABS(B84-L84)+ABS(C84-M84))</f>
        <v>3</v>
      </c>
      <c r="T84" s="20">
        <v>4</v>
      </c>
    </row>
    <row r="85" spans="1:20" x14ac:dyDescent="0.3">
      <c r="A85" s="99" t="s">
        <v>55</v>
      </c>
      <c r="B85" s="70">
        <f>[1]Кг_s1!D84</f>
        <v>0.95249794501780982</v>
      </c>
      <c r="C85" s="21">
        <f>[1]Кг_s1!I84</f>
        <v>2.9169537689868188E-4</v>
      </c>
      <c r="D85" s="22">
        <f>[2]Кг_s1!B84</f>
        <v>0.5</v>
      </c>
      <c r="E85" s="22">
        <f>[2]Кг_s1!$C$2</f>
        <v>1E-3</v>
      </c>
      <c r="F85" s="22" t="str">
        <f t="shared" si="7"/>
        <v>0,453 ± 0,001</v>
      </c>
      <c r="G85" s="22" t="str">
        <f t="shared" si="8"/>
        <v>47,507 ± 0,075</v>
      </c>
      <c r="H85" s="23">
        <f>[3]Кг_s1!B84</f>
        <v>0.49829940521068949</v>
      </c>
      <c r="I85" s="23">
        <f>[3]Кг_s1!F84</f>
        <v>0.49829944037231899</v>
      </c>
      <c r="J85" s="23" t="str">
        <f t="shared" si="9"/>
        <v>0,455 ± 0,499</v>
      </c>
      <c r="K85" s="23" t="str">
        <f t="shared" si="10"/>
        <v>47,685 ± 52,285</v>
      </c>
      <c r="L85" s="24">
        <f>[4]Кг_s1!D84</f>
        <v>0.93976608187134503</v>
      </c>
      <c r="M85" s="24">
        <f>[4]Кг_s1!I84</f>
        <v>1.3963183417411597E-2</v>
      </c>
      <c r="N85" s="24" t="str">
        <f t="shared" si="12"/>
        <v>0,013 ± 0,014</v>
      </c>
      <c r="O85" s="24" t="str">
        <f t="shared" si="13"/>
        <v>1,337 ± 1,436</v>
      </c>
      <c r="Q85" s="20" cm="1">
        <f t="array" ref="Q85">PointMin3(ABS(B85-D85)+ABS(C85-E85),ABS(B85-H85)+ABS(C85-I85),ABS(B85-L85)+ABS(C85-M85),ABS(B85-D85)+ABS(C85-E85))</f>
        <v>2</v>
      </c>
      <c r="R85" s="20" cm="1">
        <f t="array" ref="R85">PointMin3(ABS(B85-D85)+ABS(C85-E85),ABS(B85-H85)+ABS(C85-I85),ABS(B85-L85)+ABS(C85-M85),ABS(B85-H85)+ABS(C85-I85))</f>
        <v>1</v>
      </c>
      <c r="S85" s="20" cm="1">
        <f t="array" ref="S85">PointMin3(ABS(B85-D85)+ABS(C85-E85),ABS(B85-H85)+ABS(C85-I85),ABS(B85-L85)+ABS(C85-M85),ABS(B85-L85)+ABS(C85-M85))</f>
        <v>3</v>
      </c>
      <c r="T85" s="20">
        <v>4</v>
      </c>
    </row>
    <row r="86" spans="1:20" x14ac:dyDescent="0.3">
      <c r="A86" s="99" t="s">
        <v>56</v>
      </c>
      <c r="B86" s="70">
        <f>[1]Кг_s1!D85</f>
        <v>0.96319885604016997</v>
      </c>
      <c r="C86" s="21">
        <f>[1]Кг_s1!I85</f>
        <v>3.8469649108373465E-2</v>
      </c>
      <c r="D86" s="22">
        <f>[2]Кг_s1!B85</f>
        <v>0.33300000000000002</v>
      </c>
      <c r="E86" s="22">
        <f>[2]Кг_s1!$C$2</f>
        <v>1E-3</v>
      </c>
      <c r="F86" s="22" t="str">
        <f t="shared" si="7"/>
        <v>0,631 ± 0,038</v>
      </c>
      <c r="G86" s="22" t="str">
        <f t="shared" si="8"/>
        <v>65,428 ± 3,891</v>
      </c>
      <c r="H86" s="23">
        <f>[3]Кг_s1!B85</f>
        <v>0.16353489119087769</v>
      </c>
      <c r="I86" s="23">
        <f>[3]Кг_s1!F85</f>
        <v>0.16353539726364597</v>
      </c>
      <c r="J86" s="23" t="str">
        <f t="shared" si="9"/>
        <v>0,8 ± 0,126</v>
      </c>
      <c r="K86" s="23" t="str">
        <f t="shared" si="10"/>
        <v>83,022 ± 12,985</v>
      </c>
      <c r="L86" s="24">
        <f>[4]Кг_s1!D85</f>
        <v>0.92690058479532167</v>
      </c>
      <c r="M86" s="24">
        <f>[4]Кг_s1!I85</f>
        <v>1.3733154133235325E-2</v>
      </c>
      <c r="N86" s="24" t="str">
        <f t="shared" si="12"/>
        <v>0,037 ± 0,025</v>
      </c>
      <c r="O86" s="24" t="str">
        <f t="shared" si="13"/>
        <v>3,769 ± 2,569</v>
      </c>
      <c r="Q86" s="20" cm="1">
        <f t="array" ref="Q86">PointMin3(ABS(B86-D86)+ABS(C86-E86),ABS(B86-H86)+ABS(C86-I86),ABS(B86-L86)+ABS(C86-M86),ABS(B86-D86)+ABS(C86-E86))</f>
        <v>2</v>
      </c>
      <c r="R86" s="20" cm="1">
        <f t="array" ref="R86">PointMin3(ABS(B86-D86)+ABS(C86-E86),ABS(B86-H86)+ABS(C86-I86),ABS(B86-L86)+ABS(C86-M86),ABS(B86-H86)+ABS(C86-I86))</f>
        <v>1</v>
      </c>
      <c r="S86" s="20" cm="1">
        <f t="array" ref="S86">PointMin3(ABS(B86-D86)+ABS(C86-E86),ABS(B86-H86)+ABS(C86-I86),ABS(B86-L86)+ABS(C86-M86),ABS(B86-L86)+ABS(C86-M86))</f>
        <v>3</v>
      </c>
      <c r="T86" s="20">
        <v>4</v>
      </c>
    </row>
    <row r="87" spans="1:20" x14ac:dyDescent="0.3">
      <c r="A87" s="99" t="s">
        <v>57</v>
      </c>
      <c r="B87" s="70">
        <f>[1]Кг_s1!D86</f>
        <v>0.81334333210865106</v>
      </c>
      <c r="C87" s="21">
        <f>[1]Кг_s1!I86</f>
        <v>0.11678846481691314</v>
      </c>
      <c r="D87" s="22">
        <f>[2]Кг_s1!B86</f>
        <v>0.36099999999999999</v>
      </c>
      <c r="E87" s="22">
        <f>[2]Кг_s1!$C$2</f>
        <v>1E-3</v>
      </c>
      <c r="F87" s="22" t="str">
        <f t="shared" si="7"/>
        <v>0,453 ± 0,116</v>
      </c>
      <c r="G87" s="22" t="str">
        <f t="shared" si="8"/>
        <v>55,616 ± 14,237</v>
      </c>
      <c r="H87" s="23">
        <f>[3]Кг_s1!B86</f>
        <v>0.2606698301628676</v>
      </c>
      <c r="I87" s="23">
        <f>[3]Кг_s1!F86</f>
        <v>2.8963869389516114E-2</v>
      </c>
      <c r="J87" s="23" t="str">
        <f t="shared" si="9"/>
        <v>0,553 ± 0,088</v>
      </c>
      <c r="K87" s="23" t="str">
        <f t="shared" si="10"/>
        <v>67,951 ± 10,798</v>
      </c>
      <c r="L87" s="24">
        <f>[4]Кг_s1!D86</f>
        <v>0.65380116959064327</v>
      </c>
      <c r="M87" s="24">
        <f>[4]Кг_s1!I86</f>
        <v>5.3400592411837471E-2</v>
      </c>
      <c r="N87" s="24" t="str">
        <f t="shared" si="12"/>
        <v>0,16 ± 0,064</v>
      </c>
      <c r="O87" s="24" t="str">
        <f t="shared" si="13"/>
        <v>19,616 ± 7,794</v>
      </c>
      <c r="Q87" s="20" cm="1">
        <f t="array" ref="Q87">PointMin3(ABS(B87-D87)+ABS(C87-E87),ABS(B87-H87)+ABS(C87-I87),ABS(B87-L87)+ABS(C87-M87),ABS(B87-D87)+ABS(C87-E87))</f>
        <v>2</v>
      </c>
      <c r="R87" s="20" cm="1">
        <f t="array" ref="R87">PointMin3(ABS(B87-D87)+ABS(C87-E87),ABS(B87-H87)+ABS(C87-I87),ABS(B87-L87)+ABS(C87-M87),ABS(B87-H87)+ABS(C87-I87))</f>
        <v>1</v>
      </c>
      <c r="S87" s="20" cm="1">
        <f t="array" ref="S87">PointMin3(ABS(B87-D87)+ABS(C87-E87),ABS(B87-H87)+ABS(C87-I87),ABS(B87-L87)+ABS(C87-M87),ABS(B87-L87)+ABS(C87-M87))</f>
        <v>3</v>
      </c>
      <c r="T87" s="20">
        <v>4</v>
      </c>
    </row>
    <row r="88" spans="1:20" x14ac:dyDescent="0.3">
      <c r="A88" s="99" t="s">
        <v>58</v>
      </c>
      <c r="B88" s="70">
        <f>[1]Кг_s1!D87</f>
        <v>0.61640052431554571</v>
      </c>
      <c r="C88" s="21">
        <f>[1]Кг_s1!I87</f>
        <v>0.19832614144616162</v>
      </c>
      <c r="D88" s="22">
        <f>[2]Кг_s1!B87</f>
        <v>0.375</v>
      </c>
      <c r="E88" s="22">
        <f>[2]Кг_s1!$C$2</f>
        <v>1E-3</v>
      </c>
      <c r="F88" s="22" t="str">
        <f t="shared" si="7"/>
        <v>0,242 ± 0,198</v>
      </c>
      <c r="G88" s="22" t="str">
        <f t="shared" si="8"/>
        <v>39,163 ± 32,013</v>
      </c>
      <c r="H88" s="23">
        <f>[3]Кг_s1!B87</f>
        <v>0.23670667139177301</v>
      </c>
      <c r="I88" s="23">
        <f>[3]Кг_s1!F87</f>
        <v>3.9451253948704933E-2</v>
      </c>
      <c r="J88" s="23" t="str">
        <f t="shared" si="9"/>
        <v>0,38 ± 0,159</v>
      </c>
      <c r="K88" s="23" t="str">
        <f t="shared" si="10"/>
        <v>61,599 ± 25,775</v>
      </c>
      <c r="L88" s="24">
        <f>[4]Кг_s1!D87</f>
        <v>0.52748538011695911</v>
      </c>
      <c r="M88" s="24">
        <f>[4]Кг_s1!I87</f>
        <v>5.8340379363201023E-2</v>
      </c>
      <c r="N88" s="24" t="str">
        <f t="shared" si="12"/>
        <v>0,089 ± 0,14</v>
      </c>
      <c r="O88" s="24" t="str">
        <f t="shared" si="13"/>
        <v>14,425 ± 22,711</v>
      </c>
      <c r="Q88" s="20" cm="1">
        <f t="array" ref="Q88">PointMin3(ABS(B88-D88)+ABS(C88-E88),ABS(B88-H88)+ABS(C88-I88),ABS(B88-L88)+ABS(C88-M88),ABS(B88-D88)+ABS(C88-E88))</f>
        <v>2</v>
      </c>
      <c r="R88" s="20" cm="1">
        <f t="array" ref="R88">PointMin3(ABS(B88-D88)+ABS(C88-E88),ABS(B88-H88)+ABS(C88-I88),ABS(B88-L88)+ABS(C88-M88),ABS(B88-H88)+ABS(C88-I88))</f>
        <v>1</v>
      </c>
      <c r="S88" s="20" cm="1">
        <f t="array" ref="S88">PointMin3(ABS(B88-D88)+ABS(C88-E88),ABS(B88-H88)+ABS(C88-I88),ABS(B88-L88)+ABS(C88-M88),ABS(B88-L88)+ABS(C88-M88))</f>
        <v>3</v>
      </c>
      <c r="T88" s="20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E013-B658-4F02-B923-EFBBC34533C2}">
  <sheetPr codeName="Лист11"/>
  <dimension ref="A1:X88"/>
  <sheetViews>
    <sheetView topLeftCell="J1" workbookViewId="0">
      <selection activeCell="U10" sqref="U10"/>
    </sheetView>
  </sheetViews>
  <sheetFormatPr defaultRowHeight="14.4" x14ac:dyDescent="0.3"/>
  <cols>
    <col min="1" max="1" width="33.21875" style="98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7.88671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1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2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7">
        <v>1</v>
      </c>
      <c r="B3" s="70">
        <f>[1]Кг_s12!D2</f>
        <v>1</v>
      </c>
      <c r="C3" s="21">
        <f>[1]Кг_s12!I2</f>
        <v>0</v>
      </c>
      <c r="D3" s="22">
        <f>[2]Кг_s12!B2</f>
        <v>1</v>
      </c>
      <c r="E3" s="22">
        <f>[2]Кг_s12!$C$2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f>[3]Кг_s12!B2</f>
        <v>0.72561549925484359</v>
      </c>
      <c r="I3" s="23">
        <f>[3]Кг_s12!H2</f>
        <v>5.25574104982919E-2</v>
      </c>
      <c r="J3" s="23" t="str">
        <f>ROUNDUP(ABS(B3-H3),3) &amp; " ± " &amp; ROUNDUP(ABS(C3-I3),3)</f>
        <v>0,275 ± 0,053</v>
      </c>
      <c r="K3" s="23" t="str">
        <f>ROUNDUP(ABS(B3-H3)/B3*100,3) &amp; " ± " &amp; ROUNDUP(ABS(C3-I3)/B3*100,3)</f>
        <v>27,439 ± 5,256</v>
      </c>
      <c r="L3" s="24">
        <f>[4]Кг_s12!D2</f>
        <v>0.99941520467836253</v>
      </c>
      <c r="M3" s="24">
        <f>[4]Кг_s12!I2</f>
        <v>1.1689068722470016E-3</v>
      </c>
      <c r="N3" s="24" t="str">
        <f>ROUNDUP(ABS(B3-L3),3) &amp; " ± " &amp; ROUNDUP(ABS(C3-M3),3)</f>
        <v>0,001 ± 0,002</v>
      </c>
      <c r="O3" s="24" t="str">
        <f>ROUNDUP(ABS(B3-L3)/B3*100,3) &amp; " ± " &amp; ROUNDUP(ABS(C3-M3)/B3*100,3)</f>
        <v>0,059 ± 0,117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T3" s="20">
        <v>4</v>
      </c>
      <c r="U3" s="20">
        <f>SUM(T:T)</f>
        <v>161</v>
      </c>
      <c r="V3" s="20">
        <f>SUM(Q:Q)</f>
        <v>126</v>
      </c>
      <c r="W3" s="20">
        <f>SUM(R:R)</f>
        <v>89</v>
      </c>
      <c r="X3" s="20">
        <f>SUM(S:S)</f>
        <v>121</v>
      </c>
    </row>
    <row r="4" spans="1:24" x14ac:dyDescent="0.3">
      <c r="A4" s="98">
        <f>A3+1</f>
        <v>2</v>
      </c>
      <c r="B4" s="70">
        <v>-1</v>
      </c>
      <c r="C4" s="21">
        <v>-1</v>
      </c>
      <c r="D4" s="22">
        <v>-1</v>
      </c>
      <c r="E4" s="22">
        <v>-1</v>
      </c>
      <c r="F4" s="22" t="str">
        <f t="shared" ref="F4:F67" si="0">ROUNDUP(ABS(B4-D4),3) &amp; " ± " &amp; ROUNDUP(ABS(C4-E4),3)</f>
        <v>0 ± 0</v>
      </c>
      <c r="G4" s="22" t="str">
        <f t="shared" ref="G4:G67" si="1">ROUNDUP(ABS(B4-D4)/B4*100,3) &amp; " ± " &amp; ROUNDUP(ABS(C4-E4)/B4*100,3)</f>
        <v>0 ± 0</v>
      </c>
      <c r="H4" s="23">
        <v>-1</v>
      </c>
      <c r="I4" s="23">
        <v>-1</v>
      </c>
      <c r="J4" s="23" t="str">
        <f t="shared" ref="J4:J67" si="2">ROUNDUP(ABS(B4-H4),3) &amp; " ± " &amp; ROUNDUP(ABS(C4-I4),3)</f>
        <v>0 ± 0</v>
      </c>
      <c r="K4" s="23" t="str">
        <f t="shared" ref="K4:K67" si="3">ROUNDUP(ABS(B4-H4)/B4*100,3) &amp; " ± " &amp; ROUNDUP(ABS(C4-I4)/B4*100,3)</f>
        <v>0 ± 0</v>
      </c>
      <c r="L4" s="24">
        <v>-1</v>
      </c>
      <c r="M4" s="24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  <c r="T4" s="20">
        <v>1</v>
      </c>
    </row>
    <row r="5" spans="1:24" x14ac:dyDescent="0.3">
      <c r="A5" s="98">
        <f t="shared" ref="A5:A68" si="4">A4+1</f>
        <v>3</v>
      </c>
      <c r="B5" s="70">
        <v>-1</v>
      </c>
      <c r="C5" s="21">
        <v>-1</v>
      </c>
      <c r="D5" s="22">
        <v>-1</v>
      </c>
      <c r="E5" s="22">
        <v>-1</v>
      </c>
      <c r="F5" s="22" t="str">
        <f t="shared" si="0"/>
        <v>0 ± 0</v>
      </c>
      <c r="G5" s="22" t="str">
        <f t="shared" si="1"/>
        <v>0 ± 0</v>
      </c>
      <c r="H5" s="23">
        <v>-1</v>
      </c>
      <c r="I5" s="23">
        <v>-1</v>
      </c>
      <c r="J5" s="23" t="str">
        <f t="shared" si="2"/>
        <v>0 ± 0</v>
      </c>
      <c r="K5" s="23" t="str">
        <f t="shared" si="3"/>
        <v>0 ± 0</v>
      </c>
      <c r="L5" s="24">
        <v>-1</v>
      </c>
      <c r="M5" s="24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  <c r="T5" s="20">
        <v>1</v>
      </c>
    </row>
    <row r="6" spans="1:24" x14ac:dyDescent="0.3">
      <c r="A6" s="98">
        <f t="shared" si="4"/>
        <v>4</v>
      </c>
      <c r="B6" s="70">
        <v>-1</v>
      </c>
      <c r="C6" s="21">
        <v>-1</v>
      </c>
      <c r="D6" s="22">
        <v>-1</v>
      </c>
      <c r="E6" s="22">
        <v>-1</v>
      </c>
      <c r="F6" s="22" t="str">
        <f t="shared" si="0"/>
        <v>0 ± 0</v>
      </c>
      <c r="G6" s="22" t="str">
        <f t="shared" si="1"/>
        <v>0 ± 0</v>
      </c>
      <c r="H6" s="23">
        <v>-1</v>
      </c>
      <c r="I6" s="23">
        <v>-1</v>
      </c>
      <c r="J6" s="23" t="str">
        <f t="shared" si="2"/>
        <v>0 ± 0</v>
      </c>
      <c r="K6" s="23" t="str">
        <f t="shared" si="3"/>
        <v>0 ± 0</v>
      </c>
      <c r="L6" s="24">
        <v>-1</v>
      </c>
      <c r="M6" s="24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  <c r="T6" s="20">
        <v>1</v>
      </c>
    </row>
    <row r="7" spans="1:24" x14ac:dyDescent="0.3">
      <c r="A7" s="98">
        <f t="shared" si="4"/>
        <v>5</v>
      </c>
      <c r="B7" s="70">
        <v>-1</v>
      </c>
      <c r="C7" s="21">
        <v>-1</v>
      </c>
      <c r="D7" s="22">
        <v>-1</v>
      </c>
      <c r="E7" s="22">
        <v>-1</v>
      </c>
      <c r="F7" s="22" t="str">
        <f t="shared" si="0"/>
        <v>0 ± 0</v>
      </c>
      <c r="G7" s="22" t="str">
        <f t="shared" si="1"/>
        <v>0 ± 0</v>
      </c>
      <c r="H7" s="23">
        <v>-1</v>
      </c>
      <c r="I7" s="23">
        <v>-1</v>
      </c>
      <c r="J7" s="23" t="str">
        <f t="shared" si="2"/>
        <v>0 ± 0</v>
      </c>
      <c r="K7" s="23" t="str">
        <f t="shared" si="3"/>
        <v>0 ± 0</v>
      </c>
      <c r="L7" s="24">
        <v>-1</v>
      </c>
      <c r="M7" s="24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  <c r="T7" s="20">
        <v>1</v>
      </c>
    </row>
    <row r="8" spans="1:24" x14ac:dyDescent="0.3">
      <c r="A8" s="99">
        <f t="shared" si="4"/>
        <v>6</v>
      </c>
      <c r="B8" s="70">
        <f>[1]Кг_s12!D7</f>
        <v>1</v>
      </c>
      <c r="C8" s="21">
        <f>[1]Кг_s12!I7</f>
        <v>0</v>
      </c>
      <c r="D8" s="22">
        <f>[2]Кг_s12!B7</f>
        <v>1</v>
      </c>
      <c r="E8" s="22">
        <f>[2]Кг_s12!$C$2</f>
        <v>1E-3</v>
      </c>
      <c r="F8" s="22" t="str">
        <f t="shared" si="0"/>
        <v>0 ± 0,001</v>
      </c>
      <c r="G8" s="22" t="str">
        <f t="shared" si="1"/>
        <v>0 ± 0,1</v>
      </c>
      <c r="H8" s="23">
        <f>[3]Кг_s12!B7</f>
        <v>0.72561549925484359</v>
      </c>
      <c r="I8" s="23">
        <f>[3]Кг_s12!H7</f>
        <v>5.25574104982919E-2</v>
      </c>
      <c r="J8" s="23" t="str">
        <f t="shared" si="2"/>
        <v>0,275 ± 0,053</v>
      </c>
      <c r="K8" s="23" t="str">
        <f t="shared" si="3"/>
        <v>27,439 ± 5,256</v>
      </c>
      <c r="L8" s="24">
        <f>[4]Кг_s12!D7</f>
        <v>0.99766081871345025</v>
      </c>
      <c r="M8" s="24">
        <f>[4]Кг_s12!I7</f>
        <v>3.2429705567125636E-3</v>
      </c>
      <c r="N8" s="24" t="str">
        <f t="shared" si="5"/>
        <v>0,003 ± 0,004</v>
      </c>
      <c r="O8" s="24" t="str">
        <f t="shared" si="6"/>
        <v>0,234 ± 0,325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2</v>
      </c>
      <c r="T8" s="20">
        <v>4</v>
      </c>
    </row>
    <row r="9" spans="1:24" x14ac:dyDescent="0.3">
      <c r="A9" s="98">
        <f t="shared" si="4"/>
        <v>7</v>
      </c>
      <c r="B9" s="70">
        <v>-1</v>
      </c>
      <c r="C9" s="21">
        <v>-1</v>
      </c>
      <c r="D9" s="22">
        <v>-1</v>
      </c>
      <c r="E9" s="22">
        <v>-1</v>
      </c>
      <c r="F9" s="22" t="str">
        <f t="shared" si="0"/>
        <v>0 ± 0</v>
      </c>
      <c r="G9" s="22" t="str">
        <f t="shared" si="1"/>
        <v>0 ± 0</v>
      </c>
      <c r="H9" s="23">
        <v>-1</v>
      </c>
      <c r="I9" s="23">
        <v>-1</v>
      </c>
      <c r="J9" s="23" t="str">
        <f t="shared" si="2"/>
        <v>0 ± 0</v>
      </c>
      <c r="K9" s="23" t="str">
        <f t="shared" si="3"/>
        <v>0 ± 0</v>
      </c>
      <c r="L9" s="24">
        <v>-1</v>
      </c>
      <c r="M9" s="24">
        <v>-1</v>
      </c>
      <c r="N9" s="24" t="str">
        <f t="shared" si="5"/>
        <v>0 ± 0</v>
      </c>
      <c r="O9" s="24" t="str">
        <f t="shared" si="6"/>
        <v>0 ± 0</v>
      </c>
      <c r="Q9" s="20" cm="1">
        <f t="array" ref="Q9">PointMin3(ABS(B9-D9)+ABS(C9-E9),ABS(B9-H9)+ABS(C9-I9),ABS(B9-L9)+ABS(C9-M9),ABS(B9-D9)+ABS(C9-E9))</f>
        <v>1</v>
      </c>
      <c r="R9" s="20" cm="1">
        <f t="array" ref="R9">PointMin3(ABS(B9-D9)+ABS(C9-E9),ABS(B9-H9)+ABS(C9-I9),ABS(B9-L9)+ABS(C9-M9),ABS(B9-H9)+ABS(C9-I9))</f>
        <v>1</v>
      </c>
      <c r="S9" s="20" cm="1">
        <f t="array" ref="S9">PointMin3(ABS(B9-D9)+ABS(C9-E9),ABS(B9-H9)+ABS(C9-I9),ABS(B9-L9)+ABS(C9-M9),ABS(B9-L9)+ABS(C9-M9))</f>
        <v>1</v>
      </c>
      <c r="T9" s="20">
        <v>1</v>
      </c>
    </row>
    <row r="10" spans="1:24" x14ac:dyDescent="0.3">
      <c r="A10" s="98">
        <f t="shared" si="4"/>
        <v>8</v>
      </c>
      <c r="B10" s="70">
        <v>-1</v>
      </c>
      <c r="C10" s="21">
        <v>-1</v>
      </c>
      <c r="D10" s="22">
        <v>-1</v>
      </c>
      <c r="E10" s="22">
        <v>-1</v>
      </c>
      <c r="F10" s="22" t="str">
        <f t="shared" si="0"/>
        <v>0 ± 0</v>
      </c>
      <c r="G10" s="22" t="str">
        <f t="shared" si="1"/>
        <v>0 ± 0</v>
      </c>
      <c r="H10" s="23">
        <v>-1</v>
      </c>
      <c r="I10" s="23">
        <v>-1</v>
      </c>
      <c r="J10" s="23" t="str">
        <f t="shared" si="2"/>
        <v>0 ± 0</v>
      </c>
      <c r="K10" s="23" t="str">
        <f t="shared" si="3"/>
        <v>0 ± 0</v>
      </c>
      <c r="L10" s="24">
        <v>-1</v>
      </c>
      <c r="M10" s="24">
        <v>-1</v>
      </c>
      <c r="N10" s="24" t="str">
        <f t="shared" si="5"/>
        <v>0 ± 0</v>
      </c>
      <c r="O10" s="24" t="str">
        <f t="shared" si="6"/>
        <v>0 ± 0</v>
      </c>
      <c r="Q10" s="20" cm="1">
        <f t="array" ref="Q10">PointMin3(ABS(B10-D10)+ABS(C10-E10),ABS(B10-H10)+ABS(C10-I10),ABS(B10-L10)+ABS(C10-M10),ABS(B10-D10)+ABS(C10-E10))</f>
        <v>1</v>
      </c>
      <c r="R10" s="20" cm="1">
        <f t="array" ref="R10">PointMin3(ABS(B10-D10)+ABS(C10-E10),ABS(B10-H10)+ABS(C10-I10),ABS(B10-L10)+ABS(C10-M10),ABS(B10-H10)+ABS(C10-I10))</f>
        <v>1</v>
      </c>
      <c r="S10" s="20" cm="1">
        <f t="array" ref="S10">PointMin3(ABS(B10-D10)+ABS(C10-E10),ABS(B10-H10)+ABS(C10-I10),ABS(B10-L10)+ABS(C10-M10),ABS(B10-L10)+ABS(C10-M10))</f>
        <v>1</v>
      </c>
      <c r="T10" s="20">
        <v>1</v>
      </c>
      <c r="U10" s="36"/>
    </row>
    <row r="11" spans="1:24" x14ac:dyDescent="0.3">
      <c r="A11" s="98">
        <f t="shared" si="4"/>
        <v>9</v>
      </c>
      <c r="B11" s="70">
        <v>-1</v>
      </c>
      <c r="C11" s="21">
        <v>-1</v>
      </c>
      <c r="D11" s="22">
        <v>-1</v>
      </c>
      <c r="E11" s="22">
        <v>-1</v>
      </c>
      <c r="F11" s="22" t="str">
        <f t="shared" si="0"/>
        <v>0 ± 0</v>
      </c>
      <c r="G11" s="22" t="str">
        <f t="shared" si="1"/>
        <v>0 ± 0</v>
      </c>
      <c r="H11" s="23">
        <v>-1</v>
      </c>
      <c r="I11" s="23">
        <v>-1</v>
      </c>
      <c r="J11" s="23" t="str">
        <f t="shared" si="2"/>
        <v>0 ± 0</v>
      </c>
      <c r="K11" s="23" t="str">
        <f t="shared" si="3"/>
        <v>0 ± 0</v>
      </c>
      <c r="L11" s="24">
        <v>-1</v>
      </c>
      <c r="M11" s="24">
        <v>-1</v>
      </c>
      <c r="N11" s="24" t="str">
        <f t="shared" si="5"/>
        <v>0 ± 0</v>
      </c>
      <c r="O11" s="24" t="str">
        <f t="shared" si="6"/>
        <v>0 ± 0</v>
      </c>
      <c r="Q11" s="20" cm="1">
        <f t="array" ref="Q11">PointMin3(ABS(B11-D11)+ABS(C11-E11),ABS(B11-H11)+ABS(C11-I11),ABS(B11-L11)+ABS(C11-M11),ABS(B11-D11)+ABS(C11-E11))</f>
        <v>1</v>
      </c>
      <c r="R11" s="20" cm="1">
        <f t="array" ref="R11">PointMin3(ABS(B11-D11)+ABS(C11-E11),ABS(B11-H11)+ABS(C11-I11),ABS(B11-L11)+ABS(C11-M11),ABS(B11-H11)+ABS(C11-I11))</f>
        <v>1</v>
      </c>
      <c r="S11" s="20" cm="1">
        <f t="array" ref="S11">PointMin3(ABS(B11-D11)+ABS(C11-E11),ABS(B11-H11)+ABS(C11-I11),ABS(B11-L11)+ABS(C11-M11),ABS(B11-L11)+ABS(C11-M11))</f>
        <v>1</v>
      </c>
      <c r="T11" s="20">
        <v>1</v>
      </c>
    </row>
    <row r="12" spans="1:24" x14ac:dyDescent="0.3">
      <c r="A12" s="98">
        <f t="shared" si="4"/>
        <v>10</v>
      </c>
      <c r="B12" s="70">
        <v>-1</v>
      </c>
      <c r="C12" s="21">
        <v>-1</v>
      </c>
      <c r="D12" s="22">
        <v>-1</v>
      </c>
      <c r="E12" s="22">
        <v>-1</v>
      </c>
      <c r="F12" s="22" t="str">
        <f t="shared" si="0"/>
        <v>0 ± 0</v>
      </c>
      <c r="G12" s="22" t="str">
        <f t="shared" si="1"/>
        <v>0 ± 0</v>
      </c>
      <c r="H12" s="23">
        <v>-1</v>
      </c>
      <c r="I12" s="23">
        <v>-1</v>
      </c>
      <c r="J12" s="23" t="str">
        <f t="shared" si="2"/>
        <v>0 ± 0</v>
      </c>
      <c r="K12" s="23" t="str">
        <f t="shared" si="3"/>
        <v>0 ± 0</v>
      </c>
      <c r="L12" s="24">
        <v>-1</v>
      </c>
      <c r="M12" s="24">
        <v>-1</v>
      </c>
      <c r="N12" s="24" t="str">
        <f t="shared" si="5"/>
        <v>0 ± 0</v>
      </c>
      <c r="O12" s="24" t="str">
        <f t="shared" si="6"/>
        <v>0 ± 0</v>
      </c>
      <c r="Q12" s="20" cm="1">
        <f t="array" ref="Q12">PointMin3(ABS(B12-D12)+ABS(C12-E12),ABS(B12-H12)+ABS(C12-I12),ABS(B12-L12)+ABS(C12-M12),ABS(B12-D12)+ABS(C12-E12))</f>
        <v>1</v>
      </c>
      <c r="R12" s="20" cm="1">
        <f t="array" ref="R12">PointMin3(ABS(B12-D12)+ABS(C12-E12),ABS(B12-H12)+ABS(C12-I12),ABS(B12-L12)+ABS(C12-M12),ABS(B12-H12)+ABS(C12-I12))</f>
        <v>1</v>
      </c>
      <c r="S12" s="20" cm="1">
        <f t="array" ref="S12">PointMin3(ABS(B12-D12)+ABS(C12-E12),ABS(B12-H12)+ABS(C12-I12),ABS(B12-L12)+ABS(C12-M12),ABS(B12-L12)+ABS(C12-M12))</f>
        <v>1</v>
      </c>
      <c r="T12" s="20">
        <v>1</v>
      </c>
    </row>
    <row r="13" spans="1:24" x14ac:dyDescent="0.3">
      <c r="A13" s="99">
        <f t="shared" si="4"/>
        <v>11</v>
      </c>
      <c r="B13" s="70">
        <f>[1]Кг_s12!D12</f>
        <v>1</v>
      </c>
      <c r="C13" s="21">
        <f>[1]Кг_s12!I12</f>
        <v>0</v>
      </c>
      <c r="D13" s="22">
        <f>[2]Кг_s12!B12</f>
        <v>0.5</v>
      </c>
      <c r="E13" s="22">
        <f>[2]Кг_s12!$C$2</f>
        <v>1E-3</v>
      </c>
      <c r="F13" s="22" t="str">
        <f t="shared" si="0"/>
        <v>0,5 ± 0,001</v>
      </c>
      <c r="G13" s="22" t="str">
        <f t="shared" si="1"/>
        <v>50 ± 0,1</v>
      </c>
      <c r="H13" s="23">
        <f>[3]Кг_s12!B12</f>
        <v>0.72561549925484359</v>
      </c>
      <c r="I13" s="23">
        <f>[3]Кг_s12!H12</f>
        <v>5.25574104982919E-2</v>
      </c>
      <c r="J13" s="23" t="str">
        <f t="shared" si="2"/>
        <v>0,275 ± 0,053</v>
      </c>
      <c r="K13" s="23" t="str">
        <f t="shared" si="3"/>
        <v>27,439 ± 5,256</v>
      </c>
      <c r="L13" s="24">
        <f>[4]Кг_s12!D12</f>
        <v>0.99883040935672518</v>
      </c>
      <c r="M13" s="24">
        <f>[4]Кг_s12!I12</f>
        <v>2.3364470038094265E-3</v>
      </c>
      <c r="N13" s="24" t="str">
        <f t="shared" si="5"/>
        <v>0,002 ± 0,003</v>
      </c>
      <c r="O13" s="24" t="str">
        <f t="shared" si="6"/>
        <v>0,117 ± 0,234</v>
      </c>
      <c r="Q13" s="20" cm="1">
        <f t="array" ref="Q13">PointMin3(ABS(B13-D13)+ABS(C13-E13),ABS(B13-H13)+ABS(C13-I13),ABS(B13-L13)+ABS(C13-M13),ABS(B13-D13)+ABS(C13-E13))</f>
        <v>1</v>
      </c>
      <c r="R13" s="20" cm="1">
        <f t="array" ref="R13">PointMin3(ABS(B13-D13)+ABS(C13-E13),ABS(B13-H13)+ABS(C13-I13),ABS(B13-L13)+ABS(C13-M13),ABS(B13-H13)+ABS(C13-I13))</f>
        <v>2</v>
      </c>
      <c r="S13" s="20" cm="1">
        <f t="array" ref="S13">PointMin3(ABS(B13-D13)+ABS(C13-E13),ABS(B13-H13)+ABS(C13-I13),ABS(B13-L13)+ABS(C13-M13),ABS(B13-L13)+ABS(C13-M13))</f>
        <v>3</v>
      </c>
      <c r="T13" s="20">
        <v>4</v>
      </c>
    </row>
    <row r="14" spans="1:24" x14ac:dyDescent="0.3">
      <c r="A14" s="98">
        <f t="shared" si="4"/>
        <v>12</v>
      </c>
      <c r="B14" s="70">
        <v>-1</v>
      </c>
      <c r="C14" s="21">
        <v>-1</v>
      </c>
      <c r="D14" s="22">
        <v>-1</v>
      </c>
      <c r="E14" s="22">
        <v>-1</v>
      </c>
      <c r="F14" s="22" t="str">
        <f t="shared" si="0"/>
        <v>0 ± 0</v>
      </c>
      <c r="G14" s="22" t="str">
        <f t="shared" si="1"/>
        <v>0 ± 0</v>
      </c>
      <c r="H14" s="23">
        <v>-1</v>
      </c>
      <c r="I14" s="23">
        <v>-1</v>
      </c>
      <c r="J14" s="23" t="str">
        <f t="shared" si="2"/>
        <v>0 ± 0</v>
      </c>
      <c r="K14" s="23" t="str">
        <f t="shared" si="3"/>
        <v>0 ± 0</v>
      </c>
      <c r="L14" s="24">
        <v>-1</v>
      </c>
      <c r="M14" s="24">
        <v>-1</v>
      </c>
      <c r="N14" s="24" t="str">
        <f t="shared" si="5"/>
        <v>0 ± 0</v>
      </c>
      <c r="O14" s="24" t="str">
        <f t="shared" si="6"/>
        <v>0 ± 0</v>
      </c>
      <c r="Q14" s="20" cm="1">
        <f t="array" ref="Q14">PointMin3(ABS(B14-D14)+ABS(C14-E14),ABS(B14-H14)+ABS(C14-I14),ABS(B14-L14)+ABS(C14-M14),ABS(B14-D14)+ABS(C14-E14))</f>
        <v>1</v>
      </c>
      <c r="R14" s="20" cm="1">
        <f t="array" ref="R14">PointMin3(ABS(B14-D14)+ABS(C14-E14),ABS(B14-H14)+ABS(C14-I14),ABS(B14-L14)+ABS(C14-M14),ABS(B14-H14)+ABS(C14-I14))</f>
        <v>1</v>
      </c>
      <c r="S14" s="20" cm="1">
        <f t="array" ref="S14">PointMin3(ABS(B14-D14)+ABS(C14-E14),ABS(B14-H14)+ABS(C14-I14),ABS(B14-L14)+ABS(C14-M14),ABS(B14-L14)+ABS(C14-M14))</f>
        <v>1</v>
      </c>
      <c r="T14" s="20">
        <v>1</v>
      </c>
    </row>
    <row r="15" spans="1:24" x14ac:dyDescent="0.3">
      <c r="A15" s="98">
        <f t="shared" si="4"/>
        <v>13</v>
      </c>
      <c r="B15" s="70">
        <v>-1</v>
      </c>
      <c r="C15" s="21">
        <v>-1</v>
      </c>
      <c r="D15" s="22">
        <v>-1</v>
      </c>
      <c r="E15" s="22">
        <v>-1</v>
      </c>
      <c r="F15" s="22" t="str">
        <f t="shared" si="0"/>
        <v>0 ± 0</v>
      </c>
      <c r="G15" s="22" t="str">
        <f t="shared" si="1"/>
        <v>0 ± 0</v>
      </c>
      <c r="H15" s="23">
        <v>-1</v>
      </c>
      <c r="I15" s="23">
        <v>-1</v>
      </c>
      <c r="J15" s="23" t="str">
        <f t="shared" si="2"/>
        <v>0 ± 0</v>
      </c>
      <c r="K15" s="23" t="str">
        <f t="shared" si="3"/>
        <v>0 ± 0</v>
      </c>
      <c r="L15" s="24">
        <v>-1</v>
      </c>
      <c r="M15" s="24">
        <v>-1</v>
      </c>
      <c r="N15" s="24" t="str">
        <f t="shared" si="5"/>
        <v>0 ± 0</v>
      </c>
      <c r="O15" s="24" t="str">
        <f t="shared" si="6"/>
        <v>0 ± 0</v>
      </c>
      <c r="Q15" s="20" cm="1">
        <f t="array" ref="Q15">PointMin3(ABS(B15-D15)+ABS(C15-E15),ABS(B15-H15)+ABS(C15-I15),ABS(B15-L15)+ABS(C15-M15),ABS(B15-D15)+ABS(C15-E15))</f>
        <v>1</v>
      </c>
      <c r="R15" s="20" cm="1">
        <f t="array" ref="R15">PointMin3(ABS(B15-D15)+ABS(C15-E15),ABS(B15-H15)+ABS(C15-I15),ABS(B15-L15)+ABS(C15-M15),ABS(B15-H15)+ABS(C15-I15))</f>
        <v>1</v>
      </c>
      <c r="S15" s="20" cm="1">
        <f t="array" ref="S15">PointMin3(ABS(B15-D15)+ABS(C15-E15),ABS(B15-H15)+ABS(C15-I15),ABS(B15-L15)+ABS(C15-M15),ABS(B15-L15)+ABS(C15-M15))</f>
        <v>1</v>
      </c>
      <c r="T15" s="20">
        <v>1</v>
      </c>
    </row>
    <row r="16" spans="1:24" x14ac:dyDescent="0.3">
      <c r="A16" s="98">
        <f t="shared" si="4"/>
        <v>14</v>
      </c>
      <c r="B16" s="70">
        <v>-1</v>
      </c>
      <c r="C16" s="21">
        <v>-1</v>
      </c>
      <c r="D16" s="22">
        <v>-1</v>
      </c>
      <c r="E16" s="22">
        <v>-1</v>
      </c>
      <c r="F16" s="22" t="str">
        <f t="shared" si="0"/>
        <v>0 ± 0</v>
      </c>
      <c r="G16" s="22" t="str">
        <f t="shared" si="1"/>
        <v>0 ± 0</v>
      </c>
      <c r="H16" s="23">
        <v>-1</v>
      </c>
      <c r="I16" s="23">
        <v>-1</v>
      </c>
      <c r="J16" s="23" t="str">
        <f t="shared" si="2"/>
        <v>0 ± 0</v>
      </c>
      <c r="K16" s="23" t="str">
        <f t="shared" si="3"/>
        <v>0 ± 0</v>
      </c>
      <c r="L16" s="24">
        <v>-1</v>
      </c>
      <c r="M16" s="24">
        <v>-1</v>
      </c>
      <c r="N16" s="24" t="str">
        <f t="shared" si="5"/>
        <v>0 ± 0</v>
      </c>
      <c r="O16" s="24" t="str">
        <f t="shared" si="6"/>
        <v>0 ± 0</v>
      </c>
      <c r="Q16" s="20" cm="1">
        <f t="array" ref="Q16">PointMin3(ABS(B16-D16)+ABS(C16-E16),ABS(B16-H16)+ABS(C16-I16),ABS(B16-L16)+ABS(C16-M16),ABS(B16-D16)+ABS(C16-E16))</f>
        <v>1</v>
      </c>
      <c r="R16" s="20" cm="1">
        <f t="array" ref="R16">PointMin3(ABS(B16-D16)+ABS(C16-E16),ABS(B16-H16)+ABS(C16-I16),ABS(B16-L16)+ABS(C16-M16),ABS(B16-H16)+ABS(C16-I16))</f>
        <v>1</v>
      </c>
      <c r="S16" s="20" cm="1">
        <f t="array" ref="S16">PointMin3(ABS(B16-D16)+ABS(C16-E16),ABS(B16-H16)+ABS(C16-I16),ABS(B16-L16)+ABS(C16-M16),ABS(B16-L16)+ABS(C16-M16))</f>
        <v>1</v>
      </c>
      <c r="T16" s="20">
        <v>1</v>
      </c>
    </row>
    <row r="17" spans="1:20" x14ac:dyDescent="0.3">
      <c r="A17" s="98">
        <f t="shared" si="4"/>
        <v>15</v>
      </c>
      <c r="B17" s="70">
        <v>-1</v>
      </c>
      <c r="C17" s="21">
        <v>-1</v>
      </c>
      <c r="D17" s="22">
        <v>-1</v>
      </c>
      <c r="E17" s="22">
        <v>-1</v>
      </c>
      <c r="F17" s="22" t="str">
        <f t="shared" si="0"/>
        <v>0 ± 0</v>
      </c>
      <c r="G17" s="22" t="str">
        <f t="shared" si="1"/>
        <v>0 ± 0</v>
      </c>
      <c r="H17" s="23">
        <v>-1</v>
      </c>
      <c r="I17" s="23">
        <v>-1</v>
      </c>
      <c r="J17" s="23" t="str">
        <f t="shared" si="2"/>
        <v>0 ± 0</v>
      </c>
      <c r="K17" s="23" t="str">
        <f t="shared" si="3"/>
        <v>0 ± 0</v>
      </c>
      <c r="L17" s="24">
        <v>-1</v>
      </c>
      <c r="M17" s="24">
        <v>-1</v>
      </c>
      <c r="N17" s="24" t="str">
        <f t="shared" si="5"/>
        <v>0 ± 0</v>
      </c>
      <c r="O17" s="24" t="str">
        <f t="shared" si="6"/>
        <v>0 ± 0</v>
      </c>
      <c r="Q17" s="20" cm="1">
        <f t="array" ref="Q17">PointMin3(ABS(B17-D17)+ABS(C17-E17),ABS(B17-H17)+ABS(C17-I17),ABS(B17-L17)+ABS(C17-M17),ABS(B17-D17)+ABS(C17-E17))</f>
        <v>1</v>
      </c>
      <c r="R17" s="20" cm="1">
        <f t="array" ref="R17">PointMin3(ABS(B17-D17)+ABS(C17-E17),ABS(B17-H17)+ABS(C17-I17),ABS(B17-L17)+ABS(C17-M17),ABS(B17-H17)+ABS(C17-I17))</f>
        <v>1</v>
      </c>
      <c r="S17" s="20" cm="1">
        <f t="array" ref="S17">PointMin3(ABS(B17-D17)+ABS(C17-E17),ABS(B17-H17)+ABS(C17-I17),ABS(B17-L17)+ABS(C17-M17),ABS(B17-L17)+ABS(C17-M17))</f>
        <v>1</v>
      </c>
      <c r="T17" s="20">
        <v>1</v>
      </c>
    </row>
    <row r="18" spans="1:20" x14ac:dyDescent="0.3">
      <c r="A18" s="99">
        <f t="shared" si="4"/>
        <v>16</v>
      </c>
      <c r="B18" s="70">
        <f>[1]Кг_s12!D17</f>
        <v>0.93407780964224163</v>
      </c>
      <c r="C18" s="21">
        <f>[1]Кг_s12!I17</f>
        <v>0.27029839581291781</v>
      </c>
      <c r="D18" s="22">
        <f>[2]Кг_s12!B17</f>
        <v>0.5</v>
      </c>
      <c r="E18" s="22">
        <f>[2]Кг_s12!$C$2</f>
        <v>1E-3</v>
      </c>
      <c r="F18" s="22" t="str">
        <f t="shared" si="0"/>
        <v>0,435 ± 0,27</v>
      </c>
      <c r="G18" s="22" t="str">
        <f t="shared" si="1"/>
        <v>46,472 ± 28,831</v>
      </c>
      <c r="H18" s="23">
        <f>[3]Кг_s12!B17</f>
        <v>0.50026005499194071</v>
      </c>
      <c r="I18" s="23">
        <f>[3]Кг_s12!H17</f>
        <v>0.49807666950955204</v>
      </c>
      <c r="J18" s="23" t="str">
        <f t="shared" si="2"/>
        <v>0,434 ± 0,228</v>
      </c>
      <c r="K18" s="23" t="str">
        <f t="shared" si="3"/>
        <v>46,444 ± 24,386</v>
      </c>
      <c r="L18" s="24">
        <f>[4]Кг_s12!D17</f>
        <v>0.98830409356725146</v>
      </c>
      <c r="M18" s="24">
        <f>[4]Кг_s12!I17</f>
        <v>5.3450495412778031E-3</v>
      </c>
      <c r="N18" s="24" t="str">
        <f t="shared" si="5"/>
        <v>0,055 ± 0,265</v>
      </c>
      <c r="O18" s="24" t="str">
        <f t="shared" si="6"/>
        <v>5,806 ± 28,366</v>
      </c>
      <c r="Q18" s="20" cm="1">
        <f t="array" ref="Q18">PointMin3(ABS(B18-D18)+ABS(C18-E18),ABS(B18-H18)+ABS(C18-I18),ABS(B18-L18)+ABS(C18-M18),ABS(B18-D18)+ABS(C18-E18))</f>
        <v>1</v>
      </c>
      <c r="R18" s="20" cm="1">
        <f t="array" ref="R18">PointMin3(ABS(B18-D18)+ABS(C18-E18),ABS(B18-H18)+ABS(C18-I18),ABS(B18-L18)+ABS(C18-M18),ABS(B18-H18)+ABS(C18-I18))</f>
        <v>2</v>
      </c>
      <c r="S18" s="20" cm="1">
        <f t="array" ref="S18">PointMin3(ABS(B18-D18)+ABS(C18-E18),ABS(B18-H18)+ABS(C18-I18),ABS(B18-L18)+ABS(C18-M18),ABS(B18-L18)+ABS(C18-M18))</f>
        <v>3</v>
      </c>
      <c r="T18" s="20">
        <v>4</v>
      </c>
    </row>
    <row r="19" spans="1:20" x14ac:dyDescent="0.3">
      <c r="A19" s="98">
        <f t="shared" si="4"/>
        <v>17</v>
      </c>
      <c r="B19" s="70">
        <v>-1</v>
      </c>
      <c r="C19" s="21">
        <v>-1</v>
      </c>
      <c r="D19" s="22">
        <v>-1</v>
      </c>
      <c r="E19" s="22">
        <v>-1</v>
      </c>
      <c r="F19" s="22" t="str">
        <f t="shared" si="0"/>
        <v>0 ± 0</v>
      </c>
      <c r="G19" s="22" t="str">
        <f t="shared" si="1"/>
        <v>0 ± 0</v>
      </c>
      <c r="H19" s="23">
        <v>-1</v>
      </c>
      <c r="I19" s="23">
        <v>-1</v>
      </c>
      <c r="J19" s="23" t="str">
        <f t="shared" si="2"/>
        <v>0 ± 0</v>
      </c>
      <c r="K19" s="23" t="str">
        <f t="shared" si="3"/>
        <v>0 ± 0</v>
      </c>
      <c r="L19" s="24">
        <v>-1</v>
      </c>
      <c r="M19" s="24">
        <v>-1</v>
      </c>
      <c r="N19" s="24" t="str">
        <f t="shared" si="5"/>
        <v>0 ± 0</v>
      </c>
      <c r="O19" s="24" t="str">
        <f t="shared" si="6"/>
        <v>0 ± 0</v>
      </c>
      <c r="Q19" s="20" cm="1">
        <f t="array" ref="Q19">PointMin3(ABS(B19-D19)+ABS(C19-E19),ABS(B19-H19)+ABS(C19-I19),ABS(B19-L19)+ABS(C19-M19),ABS(B19-D19)+ABS(C19-E19))</f>
        <v>1</v>
      </c>
      <c r="R19" s="20" cm="1">
        <f t="array" ref="R19">PointMin3(ABS(B19-D19)+ABS(C19-E19),ABS(B19-H19)+ABS(C19-I19),ABS(B19-L19)+ABS(C19-M19),ABS(B19-H19)+ABS(C19-I19))</f>
        <v>1</v>
      </c>
      <c r="S19" s="20" cm="1">
        <f t="array" ref="S19">PointMin3(ABS(B19-D19)+ABS(C19-E19),ABS(B19-H19)+ABS(C19-I19),ABS(B19-L19)+ABS(C19-M19),ABS(B19-L19)+ABS(C19-M19))</f>
        <v>1</v>
      </c>
      <c r="T19" s="20">
        <v>1</v>
      </c>
    </row>
    <row r="20" spans="1:20" x14ac:dyDescent="0.3">
      <c r="A20" s="98">
        <f t="shared" si="4"/>
        <v>18</v>
      </c>
      <c r="B20" s="70">
        <v>-1</v>
      </c>
      <c r="C20" s="21">
        <v>-1</v>
      </c>
      <c r="D20" s="22">
        <v>-1</v>
      </c>
      <c r="E20" s="22">
        <v>-1</v>
      </c>
      <c r="F20" s="22" t="str">
        <f t="shared" si="0"/>
        <v>0 ± 0</v>
      </c>
      <c r="G20" s="22" t="str">
        <f t="shared" si="1"/>
        <v>0 ± 0</v>
      </c>
      <c r="H20" s="23">
        <v>-1</v>
      </c>
      <c r="I20" s="23">
        <v>-1</v>
      </c>
      <c r="J20" s="23" t="str">
        <f t="shared" si="2"/>
        <v>0 ± 0</v>
      </c>
      <c r="K20" s="23" t="str">
        <f t="shared" si="3"/>
        <v>0 ± 0</v>
      </c>
      <c r="L20" s="24">
        <v>-1</v>
      </c>
      <c r="M20" s="24">
        <v>-1</v>
      </c>
      <c r="N20" s="24" t="str">
        <f t="shared" si="5"/>
        <v>0 ± 0</v>
      </c>
      <c r="O20" s="24" t="str">
        <f t="shared" si="6"/>
        <v>0 ± 0</v>
      </c>
      <c r="Q20" s="20" cm="1">
        <f t="array" ref="Q20">PointMin3(ABS(B20-D20)+ABS(C20-E20),ABS(B20-H20)+ABS(C20-I20),ABS(B20-L20)+ABS(C20-M20),ABS(B20-D20)+ABS(C20-E20))</f>
        <v>1</v>
      </c>
      <c r="R20" s="20" cm="1">
        <f t="array" ref="R20">PointMin3(ABS(B20-D20)+ABS(C20-E20),ABS(B20-H20)+ABS(C20-I20),ABS(B20-L20)+ABS(C20-M20),ABS(B20-H20)+ABS(C20-I20))</f>
        <v>1</v>
      </c>
      <c r="S20" s="20" cm="1">
        <f t="array" ref="S20">PointMin3(ABS(B20-D20)+ABS(C20-E20),ABS(B20-H20)+ABS(C20-I20),ABS(B20-L20)+ABS(C20-M20),ABS(B20-L20)+ABS(C20-M20))</f>
        <v>1</v>
      </c>
      <c r="T20" s="20">
        <v>1</v>
      </c>
    </row>
    <row r="21" spans="1:20" x14ac:dyDescent="0.3">
      <c r="A21" s="98">
        <f t="shared" si="4"/>
        <v>19</v>
      </c>
      <c r="B21" s="70">
        <v>-1</v>
      </c>
      <c r="C21" s="21">
        <v>-1</v>
      </c>
      <c r="D21" s="22">
        <v>-1</v>
      </c>
      <c r="E21" s="22">
        <v>-1</v>
      </c>
      <c r="F21" s="22" t="str">
        <f t="shared" si="0"/>
        <v>0 ± 0</v>
      </c>
      <c r="G21" s="22" t="str">
        <f t="shared" si="1"/>
        <v>0 ± 0</v>
      </c>
      <c r="H21" s="23">
        <v>-1</v>
      </c>
      <c r="I21" s="23">
        <v>-1</v>
      </c>
      <c r="J21" s="23" t="str">
        <f t="shared" si="2"/>
        <v>0 ± 0</v>
      </c>
      <c r="K21" s="23" t="str">
        <f t="shared" si="3"/>
        <v>0 ± 0</v>
      </c>
      <c r="L21" s="24">
        <v>-1</v>
      </c>
      <c r="M21" s="24">
        <v>-1</v>
      </c>
      <c r="N21" s="24" t="str">
        <f t="shared" si="5"/>
        <v>0 ± 0</v>
      </c>
      <c r="O21" s="24" t="str">
        <f t="shared" si="6"/>
        <v>0 ± 0</v>
      </c>
      <c r="Q21" s="20" cm="1">
        <f t="array" ref="Q21">PointMin3(ABS(B21-D21)+ABS(C21-E21),ABS(B21-H21)+ABS(C21-I21),ABS(B21-L21)+ABS(C21-M21),ABS(B21-D21)+ABS(C21-E21))</f>
        <v>1</v>
      </c>
      <c r="R21" s="20" cm="1">
        <f t="array" ref="R21">PointMin3(ABS(B21-D21)+ABS(C21-E21),ABS(B21-H21)+ABS(C21-I21),ABS(B21-L21)+ABS(C21-M21),ABS(B21-H21)+ABS(C21-I21))</f>
        <v>1</v>
      </c>
      <c r="S21" s="20" cm="1">
        <f t="array" ref="S21">PointMin3(ABS(B21-D21)+ABS(C21-E21),ABS(B21-H21)+ABS(C21-I21),ABS(B21-L21)+ABS(C21-M21),ABS(B21-L21)+ABS(C21-M21))</f>
        <v>1</v>
      </c>
      <c r="T21" s="20">
        <v>1</v>
      </c>
    </row>
    <row r="22" spans="1:20" x14ac:dyDescent="0.3">
      <c r="A22" s="98">
        <f t="shared" si="4"/>
        <v>20</v>
      </c>
      <c r="B22" s="70">
        <v>-1</v>
      </c>
      <c r="C22" s="21">
        <v>-1</v>
      </c>
      <c r="D22" s="22">
        <v>-1</v>
      </c>
      <c r="E22" s="22">
        <v>-1</v>
      </c>
      <c r="F22" s="22" t="str">
        <f t="shared" si="0"/>
        <v>0 ± 0</v>
      </c>
      <c r="G22" s="22" t="str">
        <f t="shared" si="1"/>
        <v>0 ± 0</v>
      </c>
      <c r="H22" s="23">
        <v>-1</v>
      </c>
      <c r="I22" s="23">
        <v>-1</v>
      </c>
      <c r="J22" s="23" t="str">
        <f t="shared" si="2"/>
        <v>0 ± 0</v>
      </c>
      <c r="K22" s="23" t="str">
        <f t="shared" si="3"/>
        <v>0 ± 0</v>
      </c>
      <c r="L22" s="24">
        <v>-1</v>
      </c>
      <c r="M22" s="24">
        <v>-1</v>
      </c>
      <c r="N22" s="24" t="str">
        <f t="shared" si="5"/>
        <v>0 ± 0</v>
      </c>
      <c r="O22" s="24" t="str">
        <f t="shared" si="6"/>
        <v>0 ± 0</v>
      </c>
      <c r="Q22" s="20" cm="1">
        <f t="array" ref="Q22">PointMin3(ABS(B22-D22)+ABS(C22-E22),ABS(B22-H22)+ABS(C22-I22),ABS(B22-L22)+ABS(C22-M22),ABS(B22-D22)+ABS(C22-E22))</f>
        <v>1</v>
      </c>
      <c r="R22" s="20" cm="1">
        <f t="array" ref="R22">PointMin3(ABS(B22-D22)+ABS(C22-E22),ABS(B22-H22)+ABS(C22-I22),ABS(B22-L22)+ABS(C22-M22),ABS(B22-H22)+ABS(C22-I22))</f>
        <v>1</v>
      </c>
      <c r="S22" s="20" cm="1">
        <f t="array" ref="S22">PointMin3(ABS(B22-D22)+ABS(C22-E22),ABS(B22-H22)+ABS(C22-I22),ABS(B22-L22)+ABS(C22-M22),ABS(B22-L22)+ABS(C22-M22))</f>
        <v>1</v>
      </c>
      <c r="T22" s="20">
        <v>1</v>
      </c>
    </row>
    <row r="23" spans="1:20" x14ac:dyDescent="0.3">
      <c r="A23" s="99">
        <f t="shared" si="4"/>
        <v>21</v>
      </c>
      <c r="B23" s="70">
        <f>[1]Кг_s12!D22</f>
        <v>1</v>
      </c>
      <c r="C23" s="21">
        <f>[1]Кг_s12!I22</f>
        <v>0</v>
      </c>
      <c r="D23" s="22">
        <f>[2]Кг_s12!B22</f>
        <v>1</v>
      </c>
      <c r="E23" s="22">
        <f>[2]Кг_s12!$C$2</f>
        <v>1E-3</v>
      </c>
      <c r="F23" s="22" t="str">
        <f t="shared" si="0"/>
        <v>0 ± 0,001</v>
      </c>
      <c r="G23" s="22" t="str">
        <f t="shared" si="1"/>
        <v>0 ± 0,1</v>
      </c>
      <c r="H23" s="23">
        <f>[3]Кг_s12!B22</f>
        <v>0.50021936433290148</v>
      </c>
      <c r="I23" s="23">
        <f>[3]Кг_s12!H22</f>
        <v>0.49837742823417275</v>
      </c>
      <c r="J23" s="23" t="str">
        <f t="shared" si="2"/>
        <v>0,5 ± 0,499</v>
      </c>
      <c r="K23" s="23" t="str">
        <f t="shared" si="3"/>
        <v>49,979 ± 49,838</v>
      </c>
      <c r="L23" s="24">
        <f>[4]Кг_s12!D22</f>
        <v>0.99590643274853796</v>
      </c>
      <c r="M23" s="24">
        <f>[4]Кг_s12!I22</f>
        <v>3.2155349140239264E-3</v>
      </c>
      <c r="N23" s="24" t="str">
        <f t="shared" si="5"/>
        <v>0,005 ± 0,004</v>
      </c>
      <c r="O23" s="24" t="str">
        <f t="shared" si="6"/>
        <v>0,41 ± 0,322</v>
      </c>
      <c r="Q23" s="20" cm="1">
        <f t="array" ref="Q23">PointMin3(ABS(B23-D23)+ABS(C23-E23),ABS(B23-H23)+ABS(C23-I23),ABS(B23-L23)+ABS(C23-M23),ABS(B23-D23)+ABS(C23-E23))</f>
        <v>3</v>
      </c>
      <c r="R23" s="20" cm="1">
        <f t="array" ref="R23">PointMin3(ABS(B23-D23)+ABS(C23-E23),ABS(B23-H23)+ABS(C23-I23),ABS(B23-L23)+ABS(C23-M23),ABS(B23-H23)+ABS(C23-I23))</f>
        <v>1</v>
      </c>
      <c r="S23" s="20" cm="1">
        <f t="array" ref="S23">PointMin3(ABS(B23-D23)+ABS(C23-E23),ABS(B23-H23)+ABS(C23-I23),ABS(B23-L23)+ABS(C23-M23),ABS(B23-L23)+ABS(C23-M23))</f>
        <v>2</v>
      </c>
      <c r="T23" s="20">
        <v>4</v>
      </c>
    </row>
    <row r="24" spans="1:20" x14ac:dyDescent="0.3">
      <c r="A24" s="67">
        <f t="shared" si="4"/>
        <v>22</v>
      </c>
      <c r="B24" s="70">
        <v>-1</v>
      </c>
      <c r="C24" s="21">
        <v>-1</v>
      </c>
      <c r="D24" s="22">
        <v>-1</v>
      </c>
      <c r="E24" s="22">
        <v>-1</v>
      </c>
      <c r="F24" s="22" t="str">
        <f t="shared" si="0"/>
        <v>0 ± 0</v>
      </c>
      <c r="G24" s="22" t="str">
        <f t="shared" si="1"/>
        <v>0 ± 0</v>
      </c>
      <c r="H24" s="23">
        <v>-1</v>
      </c>
      <c r="I24" s="23">
        <v>-1</v>
      </c>
      <c r="J24" s="23" t="str">
        <f t="shared" si="2"/>
        <v>0 ± 0</v>
      </c>
      <c r="K24" s="23" t="str">
        <f t="shared" si="3"/>
        <v>0 ± 0</v>
      </c>
      <c r="L24" s="24">
        <v>-1</v>
      </c>
      <c r="M24" s="24">
        <v>-1</v>
      </c>
      <c r="N24" s="24" t="str">
        <f t="shared" si="5"/>
        <v>0 ± 0</v>
      </c>
      <c r="O24" s="24" t="str">
        <f t="shared" si="6"/>
        <v>0 ± 0</v>
      </c>
      <c r="Q24" s="20" cm="1">
        <f t="array" ref="Q24">PointMin3(ABS(B24-D24)+ABS(C24-E24),ABS(B24-H24)+ABS(C24-I24),ABS(B24-L24)+ABS(C24-M24),ABS(B24-D24)+ABS(C24-E24))</f>
        <v>1</v>
      </c>
      <c r="R24" s="20" cm="1">
        <f t="array" ref="R24">PointMin3(ABS(B24-D24)+ABS(C24-E24),ABS(B24-H24)+ABS(C24-I24),ABS(B24-L24)+ABS(C24-M24),ABS(B24-H24)+ABS(C24-I24))</f>
        <v>1</v>
      </c>
      <c r="S24" s="20" cm="1">
        <f t="array" ref="S24">PointMin3(ABS(B24-D24)+ABS(C24-E24),ABS(B24-H24)+ABS(C24-I24),ABS(B24-L24)+ABS(C24-M24),ABS(B24-L24)+ABS(C24-M24))</f>
        <v>1</v>
      </c>
      <c r="T24" s="20">
        <v>1</v>
      </c>
    </row>
    <row r="25" spans="1:20" x14ac:dyDescent="0.3">
      <c r="A25" s="67">
        <f t="shared" si="4"/>
        <v>23</v>
      </c>
      <c r="B25" s="70">
        <v>-1</v>
      </c>
      <c r="C25" s="21">
        <v>-1</v>
      </c>
      <c r="D25" s="22">
        <v>-1</v>
      </c>
      <c r="E25" s="22">
        <v>-1</v>
      </c>
      <c r="F25" s="22" t="str">
        <f t="shared" si="0"/>
        <v>0 ± 0</v>
      </c>
      <c r="G25" s="22" t="str">
        <f t="shared" si="1"/>
        <v>0 ± 0</v>
      </c>
      <c r="H25" s="23">
        <v>-1</v>
      </c>
      <c r="I25" s="23">
        <v>-1</v>
      </c>
      <c r="J25" s="23" t="str">
        <f t="shared" si="2"/>
        <v>0 ± 0</v>
      </c>
      <c r="K25" s="23" t="str">
        <f t="shared" si="3"/>
        <v>0 ± 0</v>
      </c>
      <c r="L25" s="24">
        <v>-1</v>
      </c>
      <c r="M25" s="24">
        <v>-1</v>
      </c>
      <c r="N25" s="24" t="str">
        <f t="shared" si="5"/>
        <v>0 ± 0</v>
      </c>
      <c r="O25" s="24" t="str">
        <f t="shared" si="6"/>
        <v>0 ± 0</v>
      </c>
      <c r="Q25" s="20" cm="1">
        <f t="array" ref="Q25">PointMin3(ABS(B25-D25)+ABS(C25-E25),ABS(B25-H25)+ABS(C25-I25),ABS(B25-L25)+ABS(C25-M25),ABS(B25-D25)+ABS(C25-E25))</f>
        <v>1</v>
      </c>
      <c r="R25" s="20" cm="1">
        <f t="array" ref="R25">PointMin3(ABS(B25-D25)+ABS(C25-E25),ABS(B25-H25)+ABS(C25-I25),ABS(B25-L25)+ABS(C25-M25),ABS(B25-H25)+ABS(C25-I25))</f>
        <v>1</v>
      </c>
      <c r="S25" s="20" cm="1">
        <f t="array" ref="S25">PointMin3(ABS(B25-D25)+ABS(C25-E25),ABS(B25-H25)+ABS(C25-I25),ABS(B25-L25)+ABS(C25-M25),ABS(B25-L25)+ABS(C25-M25))</f>
        <v>1</v>
      </c>
      <c r="T25" s="20">
        <v>1</v>
      </c>
    </row>
    <row r="26" spans="1:20" x14ac:dyDescent="0.3">
      <c r="A26" s="67">
        <f t="shared" si="4"/>
        <v>24</v>
      </c>
      <c r="B26" s="70">
        <v>-1</v>
      </c>
      <c r="C26" s="21">
        <v>-1</v>
      </c>
      <c r="D26" s="22">
        <v>-1</v>
      </c>
      <c r="E26" s="22">
        <v>-1</v>
      </c>
      <c r="F26" s="22" t="str">
        <f t="shared" si="0"/>
        <v>0 ± 0</v>
      </c>
      <c r="G26" s="22" t="str">
        <f t="shared" si="1"/>
        <v>0 ± 0</v>
      </c>
      <c r="H26" s="23">
        <v>-1</v>
      </c>
      <c r="I26" s="23">
        <v>-1</v>
      </c>
      <c r="J26" s="23" t="str">
        <f t="shared" si="2"/>
        <v>0 ± 0</v>
      </c>
      <c r="K26" s="23" t="str">
        <f t="shared" si="3"/>
        <v>0 ± 0</v>
      </c>
      <c r="L26" s="24">
        <v>-1</v>
      </c>
      <c r="M26" s="24">
        <v>-1</v>
      </c>
      <c r="N26" s="24" t="str">
        <f t="shared" si="5"/>
        <v>0 ± 0</v>
      </c>
      <c r="O26" s="24" t="str">
        <f t="shared" si="6"/>
        <v>0 ± 0</v>
      </c>
      <c r="Q26" s="20" cm="1">
        <f t="array" ref="Q26">PointMin3(ABS(B26-D26)+ABS(C26-E26),ABS(B26-H26)+ABS(C26-I26),ABS(B26-L26)+ABS(C26-M26),ABS(B26-D26)+ABS(C26-E26))</f>
        <v>1</v>
      </c>
      <c r="R26" s="20" cm="1">
        <f t="array" ref="R26">PointMin3(ABS(B26-D26)+ABS(C26-E26),ABS(B26-H26)+ABS(C26-I26),ABS(B26-L26)+ABS(C26-M26),ABS(B26-H26)+ABS(C26-I26))</f>
        <v>1</v>
      </c>
      <c r="S26" s="20" cm="1">
        <f t="array" ref="S26">PointMin3(ABS(B26-D26)+ABS(C26-E26),ABS(B26-H26)+ABS(C26-I26),ABS(B26-L26)+ABS(C26-M26),ABS(B26-L26)+ABS(C26-M26))</f>
        <v>1</v>
      </c>
      <c r="T26" s="20">
        <v>1</v>
      </c>
    </row>
    <row r="27" spans="1:20" x14ac:dyDescent="0.3">
      <c r="A27" s="67">
        <f t="shared" si="4"/>
        <v>25</v>
      </c>
      <c r="B27" s="70">
        <v>-1</v>
      </c>
      <c r="C27" s="21">
        <v>-1</v>
      </c>
      <c r="D27" s="22">
        <v>-1</v>
      </c>
      <c r="E27" s="22">
        <v>-1</v>
      </c>
      <c r="F27" s="22" t="str">
        <f t="shared" si="0"/>
        <v>0 ± 0</v>
      </c>
      <c r="G27" s="22" t="str">
        <f t="shared" si="1"/>
        <v>0 ± 0</v>
      </c>
      <c r="H27" s="23">
        <v>-1</v>
      </c>
      <c r="I27" s="23">
        <v>-1</v>
      </c>
      <c r="J27" s="23" t="str">
        <f t="shared" si="2"/>
        <v>0 ± 0</v>
      </c>
      <c r="K27" s="23" t="str">
        <f t="shared" si="3"/>
        <v>0 ± 0</v>
      </c>
      <c r="L27" s="24">
        <v>-1</v>
      </c>
      <c r="M27" s="24">
        <v>-1</v>
      </c>
      <c r="N27" s="24" t="str">
        <f t="shared" si="5"/>
        <v>0 ± 0</v>
      </c>
      <c r="O27" s="24" t="str">
        <f t="shared" si="6"/>
        <v>0 ± 0</v>
      </c>
      <c r="Q27" s="20" cm="1">
        <f t="array" ref="Q27">PointMin3(ABS(B27-D27)+ABS(C27-E27),ABS(B27-H27)+ABS(C27-I27),ABS(B27-L27)+ABS(C27-M27),ABS(B27-D27)+ABS(C27-E27))</f>
        <v>1</v>
      </c>
      <c r="R27" s="20" cm="1">
        <f t="array" ref="R27">PointMin3(ABS(B27-D27)+ABS(C27-E27),ABS(B27-H27)+ABS(C27-I27),ABS(B27-L27)+ABS(C27-M27),ABS(B27-H27)+ABS(C27-I27))</f>
        <v>1</v>
      </c>
      <c r="S27" s="20" cm="1">
        <f t="array" ref="S27">PointMin3(ABS(B27-D27)+ABS(C27-E27),ABS(B27-H27)+ABS(C27-I27),ABS(B27-L27)+ABS(C27-M27),ABS(B27-L27)+ABS(C27-M27))</f>
        <v>1</v>
      </c>
      <c r="T27" s="20">
        <v>1</v>
      </c>
    </row>
    <row r="28" spans="1:20" x14ac:dyDescent="0.3">
      <c r="A28" s="99">
        <f t="shared" si="4"/>
        <v>26</v>
      </c>
      <c r="B28" s="70">
        <f>[1]Кг_s12!D27</f>
        <v>1</v>
      </c>
      <c r="C28" s="21">
        <f>[1]Кг_s12!I27</f>
        <v>0</v>
      </c>
      <c r="D28" s="22">
        <f>[2]Кг_s12!B27</f>
        <v>1</v>
      </c>
      <c r="E28" s="22">
        <f>[2]Кг_s12!$C$2</f>
        <v>1E-3</v>
      </c>
      <c r="F28" s="22" t="str">
        <f t="shared" si="0"/>
        <v>0 ± 0,001</v>
      </c>
      <c r="G28" s="22" t="str">
        <f t="shared" si="1"/>
        <v>0 ± 0,1</v>
      </c>
      <c r="H28" s="23">
        <f>[3]Кг_s12!B27</f>
        <v>0.50026005499194071</v>
      </c>
      <c r="I28" s="23">
        <f>[3]Кг_s12!H27</f>
        <v>0.49807666950955204</v>
      </c>
      <c r="J28" s="23" t="str">
        <f t="shared" si="2"/>
        <v>0,5 ± 0,499</v>
      </c>
      <c r="K28" s="23" t="str">
        <f t="shared" si="3"/>
        <v>49,974 ± 49,808</v>
      </c>
      <c r="L28" s="24">
        <f>[4]Кг_s12!D27</f>
        <v>0.93976608187134503</v>
      </c>
      <c r="M28" s="24">
        <f>[4]Кг_s12!I27</f>
        <v>1.7112951921793049E-2</v>
      </c>
      <c r="N28" s="24" t="str">
        <f t="shared" si="5"/>
        <v>0,061 ± 0,018</v>
      </c>
      <c r="O28" s="24" t="str">
        <f t="shared" si="6"/>
        <v>6,024 ± 1,712</v>
      </c>
      <c r="Q28" s="20" cm="1">
        <f t="array" ref="Q28">PointMin3(ABS(B28-D28)+ABS(C28-E28),ABS(B28-H28)+ABS(C28-I28),ABS(B28-L28)+ABS(C28-M28),ABS(B28-D28)+ABS(C28-E28))</f>
        <v>3</v>
      </c>
      <c r="R28" s="20" cm="1">
        <f t="array" ref="R28">PointMin3(ABS(B28-D28)+ABS(C28-E28),ABS(B28-H28)+ABS(C28-I28),ABS(B28-L28)+ABS(C28-M28),ABS(B28-H28)+ABS(C28-I28))</f>
        <v>1</v>
      </c>
      <c r="S28" s="20" cm="1">
        <f t="array" ref="S28">PointMin3(ABS(B28-D28)+ABS(C28-E28),ABS(B28-H28)+ABS(C28-I28),ABS(B28-L28)+ABS(C28-M28),ABS(B28-L28)+ABS(C28-M28))</f>
        <v>2</v>
      </c>
      <c r="T28" s="20">
        <v>4</v>
      </c>
    </row>
    <row r="29" spans="1:20" x14ac:dyDescent="0.3">
      <c r="A29" s="67">
        <f t="shared" si="4"/>
        <v>27</v>
      </c>
      <c r="B29" s="70">
        <v>-1</v>
      </c>
      <c r="C29" s="21">
        <v>-1</v>
      </c>
      <c r="D29" s="22">
        <v>-1</v>
      </c>
      <c r="E29" s="22">
        <v>-1</v>
      </c>
      <c r="F29" s="22" t="str">
        <f t="shared" si="0"/>
        <v>0 ± 0</v>
      </c>
      <c r="G29" s="22" t="str">
        <f t="shared" si="1"/>
        <v>0 ± 0</v>
      </c>
      <c r="H29" s="23">
        <v>-1</v>
      </c>
      <c r="I29" s="23">
        <v>-1</v>
      </c>
      <c r="J29" s="23" t="str">
        <f t="shared" si="2"/>
        <v>0 ± 0</v>
      </c>
      <c r="K29" s="23" t="str">
        <f t="shared" si="3"/>
        <v>0 ± 0</v>
      </c>
      <c r="L29" s="24">
        <v>-1</v>
      </c>
      <c r="M29" s="24">
        <v>-1</v>
      </c>
      <c r="N29" s="24" t="str">
        <f t="shared" si="5"/>
        <v>0 ± 0</v>
      </c>
      <c r="O29" s="24" t="str">
        <f t="shared" si="6"/>
        <v>0 ± 0</v>
      </c>
      <c r="Q29" s="20" cm="1">
        <f t="array" ref="Q29">PointMin3(ABS(B29-D29)+ABS(C29-E29),ABS(B29-H29)+ABS(C29-I29),ABS(B29-L29)+ABS(C29-M29),ABS(B29-D29)+ABS(C29-E29))</f>
        <v>1</v>
      </c>
      <c r="R29" s="20" cm="1">
        <f t="array" ref="R29">PointMin3(ABS(B29-D29)+ABS(C29-E29),ABS(B29-H29)+ABS(C29-I29),ABS(B29-L29)+ABS(C29-M29),ABS(B29-H29)+ABS(C29-I29))</f>
        <v>1</v>
      </c>
      <c r="S29" s="20" cm="1">
        <f t="array" ref="S29">PointMin3(ABS(B29-D29)+ABS(C29-E29),ABS(B29-H29)+ABS(C29-I29),ABS(B29-L29)+ABS(C29-M29),ABS(B29-L29)+ABS(C29-M29))</f>
        <v>1</v>
      </c>
      <c r="T29" s="20">
        <v>1</v>
      </c>
    </row>
    <row r="30" spans="1:20" x14ac:dyDescent="0.3">
      <c r="A30" s="67">
        <f t="shared" si="4"/>
        <v>28</v>
      </c>
      <c r="B30" s="70">
        <v>-1</v>
      </c>
      <c r="C30" s="21">
        <v>-1</v>
      </c>
      <c r="D30" s="22">
        <v>-1</v>
      </c>
      <c r="E30" s="22">
        <v>-1</v>
      </c>
      <c r="F30" s="22" t="str">
        <f t="shared" si="0"/>
        <v>0 ± 0</v>
      </c>
      <c r="G30" s="22" t="str">
        <f t="shared" si="1"/>
        <v>0 ± 0</v>
      </c>
      <c r="H30" s="23">
        <v>-1</v>
      </c>
      <c r="I30" s="23">
        <v>-1</v>
      </c>
      <c r="J30" s="23" t="str">
        <f t="shared" si="2"/>
        <v>0 ± 0</v>
      </c>
      <c r="K30" s="23" t="str">
        <f t="shared" si="3"/>
        <v>0 ± 0</v>
      </c>
      <c r="L30" s="24">
        <v>-1</v>
      </c>
      <c r="M30" s="24">
        <v>-1</v>
      </c>
      <c r="N30" s="24" t="str">
        <f t="shared" si="5"/>
        <v>0 ± 0</v>
      </c>
      <c r="O30" s="24" t="str">
        <f t="shared" si="6"/>
        <v>0 ± 0</v>
      </c>
      <c r="Q30" s="20" cm="1">
        <f t="array" ref="Q30">PointMin3(ABS(B30-D30)+ABS(C30-E30),ABS(B30-H30)+ABS(C30-I30),ABS(B30-L30)+ABS(C30-M30),ABS(B30-D30)+ABS(C30-E30))</f>
        <v>1</v>
      </c>
      <c r="R30" s="20" cm="1">
        <f t="array" ref="R30">PointMin3(ABS(B30-D30)+ABS(C30-E30),ABS(B30-H30)+ABS(C30-I30),ABS(B30-L30)+ABS(C30-M30),ABS(B30-H30)+ABS(C30-I30))</f>
        <v>1</v>
      </c>
      <c r="S30" s="20" cm="1">
        <f t="array" ref="S30">PointMin3(ABS(B30-D30)+ABS(C30-E30),ABS(B30-H30)+ABS(C30-I30),ABS(B30-L30)+ABS(C30-M30),ABS(B30-L30)+ABS(C30-M30))</f>
        <v>1</v>
      </c>
      <c r="T30" s="20">
        <v>1</v>
      </c>
    </row>
    <row r="31" spans="1:20" x14ac:dyDescent="0.3">
      <c r="A31" s="67">
        <f t="shared" si="4"/>
        <v>29</v>
      </c>
      <c r="B31" s="70">
        <v>-1</v>
      </c>
      <c r="C31" s="21">
        <v>-1</v>
      </c>
      <c r="D31" s="22">
        <v>-1</v>
      </c>
      <c r="E31" s="22">
        <v>-1</v>
      </c>
      <c r="F31" s="22" t="str">
        <f t="shared" si="0"/>
        <v>0 ± 0</v>
      </c>
      <c r="G31" s="22" t="str">
        <f t="shared" si="1"/>
        <v>0 ± 0</v>
      </c>
      <c r="H31" s="23">
        <v>-1</v>
      </c>
      <c r="I31" s="23">
        <v>-1</v>
      </c>
      <c r="J31" s="23" t="str">
        <f t="shared" si="2"/>
        <v>0 ± 0</v>
      </c>
      <c r="K31" s="23" t="str">
        <f t="shared" si="3"/>
        <v>0 ± 0</v>
      </c>
      <c r="L31" s="24">
        <v>-1</v>
      </c>
      <c r="M31" s="24">
        <v>-1</v>
      </c>
      <c r="N31" s="24" t="str">
        <f t="shared" si="5"/>
        <v>0 ± 0</v>
      </c>
      <c r="O31" s="24" t="str">
        <f t="shared" si="6"/>
        <v>0 ± 0</v>
      </c>
      <c r="Q31" s="20" cm="1">
        <f t="array" ref="Q31">PointMin3(ABS(B31-D31)+ABS(C31-E31),ABS(B31-H31)+ABS(C31-I31),ABS(B31-L31)+ABS(C31-M31),ABS(B31-D31)+ABS(C31-E31))</f>
        <v>1</v>
      </c>
      <c r="R31" s="20" cm="1">
        <f t="array" ref="R31">PointMin3(ABS(B31-D31)+ABS(C31-E31),ABS(B31-H31)+ABS(C31-I31),ABS(B31-L31)+ABS(C31-M31),ABS(B31-H31)+ABS(C31-I31))</f>
        <v>1</v>
      </c>
      <c r="S31" s="20" cm="1">
        <f t="array" ref="S31">PointMin3(ABS(B31-D31)+ABS(C31-E31),ABS(B31-H31)+ABS(C31-I31),ABS(B31-L31)+ABS(C31-M31),ABS(B31-L31)+ABS(C31-M31))</f>
        <v>1</v>
      </c>
      <c r="T31" s="20">
        <v>1</v>
      </c>
    </row>
    <row r="32" spans="1:20" x14ac:dyDescent="0.3">
      <c r="A32" s="67">
        <f t="shared" si="4"/>
        <v>30</v>
      </c>
      <c r="B32" s="70">
        <v>-1</v>
      </c>
      <c r="C32" s="21">
        <v>-1</v>
      </c>
      <c r="D32" s="22">
        <v>-1</v>
      </c>
      <c r="E32" s="22">
        <v>-1</v>
      </c>
      <c r="F32" s="22" t="str">
        <f t="shared" si="0"/>
        <v>0 ± 0</v>
      </c>
      <c r="G32" s="22" t="str">
        <f t="shared" si="1"/>
        <v>0 ± 0</v>
      </c>
      <c r="H32" s="23">
        <v>-1</v>
      </c>
      <c r="I32" s="23">
        <v>-1</v>
      </c>
      <c r="J32" s="23" t="str">
        <f t="shared" si="2"/>
        <v>0 ± 0</v>
      </c>
      <c r="K32" s="23" t="str">
        <f t="shared" si="3"/>
        <v>0 ± 0</v>
      </c>
      <c r="L32" s="24">
        <v>-1</v>
      </c>
      <c r="M32" s="24">
        <v>-1</v>
      </c>
      <c r="N32" s="24" t="str">
        <f t="shared" si="5"/>
        <v>0 ± 0</v>
      </c>
      <c r="O32" s="24" t="str">
        <f t="shared" si="6"/>
        <v>0 ± 0</v>
      </c>
      <c r="Q32" s="20" cm="1">
        <f t="array" ref="Q32">PointMin3(ABS(B32-D32)+ABS(C32-E32),ABS(B32-H32)+ABS(C32-I32),ABS(B32-L32)+ABS(C32-M32),ABS(B32-D32)+ABS(C32-E32))</f>
        <v>1</v>
      </c>
      <c r="R32" s="20" cm="1">
        <f t="array" ref="R32">PointMin3(ABS(B32-D32)+ABS(C32-E32),ABS(B32-H32)+ABS(C32-I32),ABS(B32-L32)+ABS(C32-M32),ABS(B32-H32)+ABS(C32-I32))</f>
        <v>1</v>
      </c>
      <c r="S32" s="20" cm="1">
        <f t="array" ref="S32">PointMin3(ABS(B32-D32)+ABS(C32-E32),ABS(B32-H32)+ABS(C32-I32),ABS(B32-L32)+ABS(C32-M32),ABS(B32-L32)+ABS(C32-M32))</f>
        <v>1</v>
      </c>
      <c r="T32" s="20">
        <v>1</v>
      </c>
    </row>
    <row r="33" spans="1:20" x14ac:dyDescent="0.3">
      <c r="A33" s="99">
        <f t="shared" si="4"/>
        <v>31</v>
      </c>
      <c r="B33" s="70">
        <f>[1]Кг_s12!D32</f>
        <v>1</v>
      </c>
      <c r="C33" s="21">
        <f>[1]Кг_s12!I32</f>
        <v>0</v>
      </c>
      <c r="D33" s="22">
        <f>[2]Кг_s12!B32</f>
        <v>1</v>
      </c>
      <c r="E33" s="22">
        <f>[2]Кг_s12!$C$2</f>
        <v>1E-3</v>
      </c>
      <c r="F33" s="22" t="str">
        <f t="shared" si="0"/>
        <v>0 ± 0,001</v>
      </c>
      <c r="G33" s="22" t="str">
        <f t="shared" si="1"/>
        <v>0 ± 0,1</v>
      </c>
      <c r="H33" s="23">
        <f>[3]Кг_s12!B32</f>
        <v>0.50026005499194071</v>
      </c>
      <c r="I33" s="23">
        <f>[3]Кг_s12!H32</f>
        <v>0.49807666950955204</v>
      </c>
      <c r="J33" s="23" t="str">
        <f t="shared" si="2"/>
        <v>0,5 ± 0,499</v>
      </c>
      <c r="K33" s="23" t="str">
        <f t="shared" si="3"/>
        <v>49,974 ± 49,808</v>
      </c>
      <c r="L33" s="24">
        <f>[4]Кг_s12!D32</f>
        <v>0.99122807017543857</v>
      </c>
      <c r="M33" s="24">
        <f>[4]Кг_s12!I32</f>
        <v>4.9329320741189854E-3</v>
      </c>
      <c r="N33" s="24" t="str">
        <f t="shared" si="5"/>
        <v>0,009 ± 0,005</v>
      </c>
      <c r="O33" s="24" t="str">
        <f t="shared" si="6"/>
        <v>0,878 ± 0,494</v>
      </c>
      <c r="Q33" s="20" cm="1">
        <f t="array" ref="Q33">PointMin3(ABS(B33-D33)+ABS(C33-E33),ABS(B33-H33)+ABS(C33-I33),ABS(B33-L33)+ABS(C33-M33),ABS(B33-D33)+ABS(C33-E33))</f>
        <v>3</v>
      </c>
      <c r="R33" s="20" cm="1">
        <f t="array" ref="R33">PointMin3(ABS(B33-D33)+ABS(C33-E33),ABS(B33-H33)+ABS(C33-I33),ABS(B33-L33)+ABS(C33-M33),ABS(B33-H33)+ABS(C33-I33))</f>
        <v>1</v>
      </c>
      <c r="S33" s="20" cm="1">
        <f t="array" ref="S33">PointMin3(ABS(B33-D33)+ABS(C33-E33),ABS(B33-H33)+ABS(C33-I33),ABS(B33-L33)+ABS(C33-M33),ABS(B33-L33)+ABS(C33-M33))</f>
        <v>2</v>
      </c>
      <c r="T33" s="20">
        <v>4</v>
      </c>
    </row>
    <row r="34" spans="1:20" x14ac:dyDescent="0.3">
      <c r="A34" s="67">
        <f t="shared" si="4"/>
        <v>32</v>
      </c>
      <c r="B34" s="70">
        <v>-1</v>
      </c>
      <c r="C34" s="21">
        <v>-1</v>
      </c>
      <c r="D34" s="22">
        <v>-1</v>
      </c>
      <c r="E34" s="22">
        <v>-1</v>
      </c>
      <c r="F34" s="22" t="str">
        <f t="shared" si="0"/>
        <v>0 ± 0</v>
      </c>
      <c r="G34" s="22" t="str">
        <f t="shared" si="1"/>
        <v>0 ± 0</v>
      </c>
      <c r="H34" s="23">
        <v>-1</v>
      </c>
      <c r="I34" s="23">
        <v>-1</v>
      </c>
      <c r="J34" s="23" t="str">
        <f t="shared" si="2"/>
        <v>0 ± 0</v>
      </c>
      <c r="K34" s="23" t="str">
        <f t="shared" si="3"/>
        <v>0 ± 0</v>
      </c>
      <c r="L34" s="24">
        <v>-1</v>
      </c>
      <c r="M34" s="24">
        <v>-1</v>
      </c>
      <c r="N34" s="24" t="str">
        <f t="shared" si="5"/>
        <v>0 ± 0</v>
      </c>
      <c r="O34" s="24" t="str">
        <f t="shared" si="6"/>
        <v>0 ± 0</v>
      </c>
      <c r="Q34" s="20" cm="1">
        <f t="array" ref="Q34">PointMin3(ABS(B34-D34)+ABS(C34-E34),ABS(B34-H34)+ABS(C34-I34),ABS(B34-L34)+ABS(C34-M34),ABS(B34-D34)+ABS(C34-E34))</f>
        <v>1</v>
      </c>
      <c r="R34" s="20" cm="1">
        <f t="array" ref="R34">PointMin3(ABS(B34-D34)+ABS(C34-E34),ABS(B34-H34)+ABS(C34-I34),ABS(B34-L34)+ABS(C34-M34),ABS(B34-H34)+ABS(C34-I34))</f>
        <v>1</v>
      </c>
      <c r="S34" s="20" cm="1">
        <f t="array" ref="S34">PointMin3(ABS(B34-D34)+ABS(C34-E34),ABS(B34-H34)+ABS(C34-I34),ABS(B34-L34)+ABS(C34-M34),ABS(B34-L34)+ABS(C34-M34))</f>
        <v>1</v>
      </c>
      <c r="T34" s="20">
        <v>1</v>
      </c>
    </row>
    <row r="35" spans="1:20" x14ac:dyDescent="0.3">
      <c r="A35" s="67">
        <f t="shared" si="4"/>
        <v>33</v>
      </c>
      <c r="B35" s="70">
        <v>-1</v>
      </c>
      <c r="C35" s="21">
        <v>-1</v>
      </c>
      <c r="D35" s="22">
        <v>-1</v>
      </c>
      <c r="E35" s="22">
        <v>-1</v>
      </c>
      <c r="F35" s="22" t="str">
        <f t="shared" si="0"/>
        <v>0 ± 0</v>
      </c>
      <c r="G35" s="22" t="str">
        <f t="shared" si="1"/>
        <v>0 ± 0</v>
      </c>
      <c r="H35" s="23">
        <v>-1</v>
      </c>
      <c r="I35" s="23">
        <v>-1</v>
      </c>
      <c r="J35" s="23" t="str">
        <f t="shared" si="2"/>
        <v>0 ± 0</v>
      </c>
      <c r="K35" s="23" t="str">
        <f t="shared" si="3"/>
        <v>0 ± 0</v>
      </c>
      <c r="L35" s="24">
        <v>-1</v>
      </c>
      <c r="M35" s="24">
        <v>-1</v>
      </c>
      <c r="N35" s="24" t="str">
        <f t="shared" si="5"/>
        <v>0 ± 0</v>
      </c>
      <c r="O35" s="24" t="str">
        <f t="shared" si="6"/>
        <v>0 ± 0</v>
      </c>
      <c r="Q35" s="20" cm="1">
        <f t="array" ref="Q35">PointMin3(ABS(B35-D35)+ABS(C35-E35),ABS(B35-H35)+ABS(C35-I35),ABS(B35-L35)+ABS(C35-M35),ABS(B35-D35)+ABS(C35-E35))</f>
        <v>1</v>
      </c>
      <c r="R35" s="20" cm="1">
        <f t="array" ref="R35">PointMin3(ABS(B35-D35)+ABS(C35-E35),ABS(B35-H35)+ABS(C35-I35),ABS(B35-L35)+ABS(C35-M35),ABS(B35-H35)+ABS(C35-I35))</f>
        <v>1</v>
      </c>
      <c r="S35" s="20" cm="1">
        <f t="array" ref="S35">PointMin3(ABS(B35-D35)+ABS(C35-E35),ABS(B35-H35)+ABS(C35-I35),ABS(B35-L35)+ABS(C35-M35),ABS(B35-L35)+ABS(C35-M35))</f>
        <v>1</v>
      </c>
      <c r="T35" s="20">
        <v>1</v>
      </c>
    </row>
    <row r="36" spans="1:20" x14ac:dyDescent="0.3">
      <c r="A36" s="67">
        <f t="shared" si="4"/>
        <v>34</v>
      </c>
      <c r="B36" s="70">
        <v>-1</v>
      </c>
      <c r="C36" s="21">
        <v>-1</v>
      </c>
      <c r="D36" s="22">
        <v>-1</v>
      </c>
      <c r="E36" s="22">
        <v>-1</v>
      </c>
      <c r="F36" s="22" t="str">
        <f t="shared" si="0"/>
        <v>0 ± 0</v>
      </c>
      <c r="G36" s="22" t="str">
        <f t="shared" si="1"/>
        <v>0 ± 0</v>
      </c>
      <c r="H36" s="23">
        <v>-1</v>
      </c>
      <c r="I36" s="23">
        <v>-1</v>
      </c>
      <c r="J36" s="23" t="str">
        <f t="shared" si="2"/>
        <v>0 ± 0</v>
      </c>
      <c r="K36" s="23" t="str">
        <f t="shared" si="3"/>
        <v>0 ± 0</v>
      </c>
      <c r="L36" s="24">
        <v>-1</v>
      </c>
      <c r="M36" s="24">
        <v>-1</v>
      </c>
      <c r="N36" s="24" t="str">
        <f t="shared" si="5"/>
        <v>0 ± 0</v>
      </c>
      <c r="O36" s="24" t="str">
        <f t="shared" si="6"/>
        <v>0 ± 0</v>
      </c>
      <c r="Q36" s="20" cm="1">
        <f t="array" ref="Q36">PointMin3(ABS(B36-D36)+ABS(C36-E36),ABS(B36-H36)+ABS(C36-I36),ABS(B36-L36)+ABS(C36-M36),ABS(B36-D36)+ABS(C36-E36))</f>
        <v>1</v>
      </c>
      <c r="R36" s="20" cm="1">
        <f t="array" ref="R36">PointMin3(ABS(B36-D36)+ABS(C36-E36),ABS(B36-H36)+ABS(C36-I36),ABS(B36-L36)+ABS(C36-M36),ABS(B36-H36)+ABS(C36-I36))</f>
        <v>1</v>
      </c>
      <c r="S36" s="20" cm="1">
        <f t="array" ref="S36">PointMin3(ABS(B36-D36)+ABS(C36-E36),ABS(B36-H36)+ABS(C36-I36),ABS(B36-L36)+ABS(C36-M36),ABS(B36-L36)+ABS(C36-M36))</f>
        <v>1</v>
      </c>
      <c r="T36" s="20">
        <v>1</v>
      </c>
    </row>
    <row r="37" spans="1:20" x14ac:dyDescent="0.3">
      <c r="A37" s="67">
        <f t="shared" si="4"/>
        <v>35</v>
      </c>
      <c r="B37" s="70">
        <v>-1</v>
      </c>
      <c r="C37" s="21">
        <v>-1</v>
      </c>
      <c r="D37" s="22">
        <v>-1</v>
      </c>
      <c r="E37" s="22">
        <v>-1</v>
      </c>
      <c r="F37" s="22" t="str">
        <f t="shared" si="0"/>
        <v>0 ± 0</v>
      </c>
      <c r="G37" s="22" t="str">
        <f t="shared" si="1"/>
        <v>0 ± 0</v>
      </c>
      <c r="H37" s="23">
        <v>-1</v>
      </c>
      <c r="I37" s="23">
        <v>-1</v>
      </c>
      <c r="J37" s="23" t="str">
        <f t="shared" si="2"/>
        <v>0 ± 0</v>
      </c>
      <c r="K37" s="23" t="str">
        <f t="shared" si="3"/>
        <v>0 ± 0</v>
      </c>
      <c r="L37" s="24">
        <v>-1</v>
      </c>
      <c r="M37" s="24">
        <v>-1</v>
      </c>
      <c r="N37" s="24" t="str">
        <f t="shared" si="5"/>
        <v>0 ± 0</v>
      </c>
      <c r="O37" s="24" t="str">
        <f t="shared" si="6"/>
        <v>0 ± 0</v>
      </c>
      <c r="Q37" s="20" cm="1">
        <f t="array" ref="Q37">PointMin3(ABS(B37-D37)+ABS(C37-E37),ABS(B37-H37)+ABS(C37-I37),ABS(B37-L37)+ABS(C37-M37),ABS(B37-D37)+ABS(C37-E37))</f>
        <v>1</v>
      </c>
      <c r="R37" s="20" cm="1">
        <f t="array" ref="R37">PointMin3(ABS(B37-D37)+ABS(C37-E37),ABS(B37-H37)+ABS(C37-I37),ABS(B37-L37)+ABS(C37-M37),ABS(B37-H37)+ABS(C37-I37))</f>
        <v>1</v>
      </c>
      <c r="S37" s="20" cm="1">
        <f t="array" ref="S37">PointMin3(ABS(B37-D37)+ABS(C37-E37),ABS(B37-H37)+ABS(C37-I37),ABS(B37-L37)+ABS(C37-M37),ABS(B37-L37)+ABS(C37-M37))</f>
        <v>1</v>
      </c>
      <c r="T37" s="20">
        <v>1</v>
      </c>
    </row>
    <row r="38" spans="1:20" x14ac:dyDescent="0.3">
      <c r="A38" s="99">
        <f t="shared" si="4"/>
        <v>36</v>
      </c>
      <c r="B38" s="70">
        <f>[1]Кг_s12!D37</f>
        <v>1</v>
      </c>
      <c r="C38" s="21">
        <f>[1]Кг_s12!I37</f>
        <v>0</v>
      </c>
      <c r="D38" s="22">
        <f>[2]Кг_s12!B37</f>
        <v>1</v>
      </c>
      <c r="E38" s="22">
        <f>[2]Кг_s12!$C$2</f>
        <v>1E-3</v>
      </c>
      <c r="F38" s="22" t="str">
        <f t="shared" si="0"/>
        <v>0 ± 0,001</v>
      </c>
      <c r="G38" s="22" t="str">
        <f t="shared" si="1"/>
        <v>0 ± 0,1</v>
      </c>
      <c r="H38" s="23">
        <f>[3]Кг_s12!B37</f>
        <v>0.50047250847683</v>
      </c>
      <c r="I38" s="23">
        <f>[3]Кг_s12!H37</f>
        <v>0.49664678659808592</v>
      </c>
      <c r="J38" s="23" t="str">
        <f t="shared" si="2"/>
        <v>0,5 ± 0,497</v>
      </c>
      <c r="K38" s="23" t="str">
        <f t="shared" si="3"/>
        <v>49,953 ± 49,665</v>
      </c>
      <c r="L38" s="24">
        <f>[4]Кг_s12!D37</f>
        <v>0.98888888888888893</v>
      </c>
      <c r="M38" s="24">
        <f>[4]Кг_s12!I37</f>
        <v>4.8458357219003847E-3</v>
      </c>
      <c r="N38" s="24" t="str">
        <f t="shared" si="5"/>
        <v>0,012 ± 0,005</v>
      </c>
      <c r="O38" s="24" t="str">
        <f t="shared" si="6"/>
        <v>1,112 ± 0,485</v>
      </c>
      <c r="Q38" s="20" cm="1">
        <f t="array" ref="Q38">PointMin3(ABS(B38-D38)+ABS(C38-E38),ABS(B38-H38)+ABS(C38-I38),ABS(B38-L38)+ABS(C38-M38),ABS(B38-D38)+ABS(C38-E38))</f>
        <v>3</v>
      </c>
      <c r="R38" s="20" cm="1">
        <f t="array" ref="R38">PointMin3(ABS(B38-D38)+ABS(C38-E38),ABS(B38-H38)+ABS(C38-I38),ABS(B38-L38)+ABS(C38-M38),ABS(B38-H38)+ABS(C38-I38))</f>
        <v>1</v>
      </c>
      <c r="S38" s="20" cm="1">
        <f t="array" ref="S38">PointMin3(ABS(B38-D38)+ABS(C38-E38),ABS(B38-H38)+ABS(C38-I38),ABS(B38-L38)+ABS(C38-M38),ABS(B38-L38)+ABS(C38-M38))</f>
        <v>2</v>
      </c>
      <c r="T38" s="20">
        <v>4</v>
      </c>
    </row>
    <row r="39" spans="1:20" x14ac:dyDescent="0.3">
      <c r="A39" s="67">
        <f t="shared" si="4"/>
        <v>37</v>
      </c>
      <c r="B39" s="70">
        <v>-1</v>
      </c>
      <c r="C39" s="21">
        <v>-1</v>
      </c>
      <c r="D39" s="22">
        <v>-1</v>
      </c>
      <c r="E39" s="22">
        <v>-1</v>
      </c>
      <c r="F39" s="22" t="str">
        <f t="shared" si="0"/>
        <v>0 ± 0</v>
      </c>
      <c r="G39" s="22" t="str">
        <f t="shared" si="1"/>
        <v>0 ± 0</v>
      </c>
      <c r="H39" s="23">
        <v>-1</v>
      </c>
      <c r="I39" s="23">
        <v>-1</v>
      </c>
      <c r="J39" s="23" t="str">
        <f t="shared" si="2"/>
        <v>0 ± 0</v>
      </c>
      <c r="K39" s="23" t="str">
        <f t="shared" si="3"/>
        <v>0 ± 0</v>
      </c>
      <c r="L39" s="24">
        <v>-1</v>
      </c>
      <c r="M39" s="24">
        <v>-1</v>
      </c>
      <c r="N39" s="24" t="str">
        <f t="shared" si="5"/>
        <v>0 ± 0</v>
      </c>
      <c r="O39" s="24" t="str">
        <f t="shared" si="6"/>
        <v>0 ± 0</v>
      </c>
      <c r="Q39" s="20" cm="1">
        <f t="array" ref="Q39">PointMin3(ABS(B39-D39)+ABS(C39-E39),ABS(B39-H39)+ABS(C39-I39),ABS(B39-L39)+ABS(C39-M39),ABS(B39-D39)+ABS(C39-E39))</f>
        <v>1</v>
      </c>
      <c r="R39" s="20" cm="1">
        <f t="array" ref="R39">PointMin3(ABS(B39-D39)+ABS(C39-E39),ABS(B39-H39)+ABS(C39-I39),ABS(B39-L39)+ABS(C39-M39),ABS(B39-H39)+ABS(C39-I39))</f>
        <v>1</v>
      </c>
      <c r="S39" s="20" cm="1">
        <f t="array" ref="S39">PointMin3(ABS(B39-D39)+ABS(C39-E39),ABS(B39-H39)+ABS(C39-I39),ABS(B39-L39)+ABS(C39-M39),ABS(B39-L39)+ABS(C39-M39))</f>
        <v>1</v>
      </c>
      <c r="T39" s="20">
        <v>1</v>
      </c>
    </row>
    <row r="40" spans="1:20" x14ac:dyDescent="0.3">
      <c r="A40" s="67">
        <f t="shared" si="4"/>
        <v>38</v>
      </c>
      <c r="B40" s="70">
        <v>-1</v>
      </c>
      <c r="C40" s="21">
        <v>-1</v>
      </c>
      <c r="D40" s="22">
        <v>-1</v>
      </c>
      <c r="E40" s="22">
        <v>-1</v>
      </c>
      <c r="F40" s="22" t="str">
        <f t="shared" si="0"/>
        <v>0 ± 0</v>
      </c>
      <c r="G40" s="22" t="str">
        <f t="shared" si="1"/>
        <v>0 ± 0</v>
      </c>
      <c r="H40" s="23">
        <v>-1</v>
      </c>
      <c r="I40" s="23">
        <v>-1</v>
      </c>
      <c r="J40" s="23" t="str">
        <f t="shared" si="2"/>
        <v>0 ± 0</v>
      </c>
      <c r="K40" s="23" t="str">
        <f t="shared" si="3"/>
        <v>0 ± 0</v>
      </c>
      <c r="L40" s="24">
        <v>-1</v>
      </c>
      <c r="M40" s="24">
        <v>-1</v>
      </c>
      <c r="N40" s="24" t="str">
        <f t="shared" si="5"/>
        <v>0 ± 0</v>
      </c>
      <c r="O40" s="24" t="str">
        <f t="shared" si="6"/>
        <v>0 ± 0</v>
      </c>
      <c r="Q40" s="20" cm="1">
        <f t="array" ref="Q40">PointMin3(ABS(B40-D40)+ABS(C40-E40),ABS(B40-H40)+ABS(C40-I40),ABS(B40-L40)+ABS(C40-M40),ABS(B40-D40)+ABS(C40-E40))</f>
        <v>1</v>
      </c>
      <c r="R40" s="20" cm="1">
        <f t="array" ref="R40">PointMin3(ABS(B40-D40)+ABS(C40-E40),ABS(B40-H40)+ABS(C40-I40),ABS(B40-L40)+ABS(C40-M40),ABS(B40-H40)+ABS(C40-I40))</f>
        <v>1</v>
      </c>
      <c r="S40" s="20" cm="1">
        <f t="array" ref="S40">PointMin3(ABS(B40-D40)+ABS(C40-E40),ABS(B40-H40)+ABS(C40-I40),ABS(B40-L40)+ABS(C40-M40),ABS(B40-L40)+ABS(C40-M40))</f>
        <v>1</v>
      </c>
      <c r="T40" s="20">
        <v>1</v>
      </c>
    </row>
    <row r="41" spans="1:20" x14ac:dyDescent="0.3">
      <c r="A41" s="67">
        <f t="shared" si="4"/>
        <v>39</v>
      </c>
      <c r="B41" s="70">
        <v>-1</v>
      </c>
      <c r="C41" s="21">
        <v>-1</v>
      </c>
      <c r="D41" s="22">
        <v>-1</v>
      </c>
      <c r="E41" s="22">
        <v>-1</v>
      </c>
      <c r="F41" s="22" t="str">
        <f t="shared" si="0"/>
        <v>0 ± 0</v>
      </c>
      <c r="G41" s="22" t="str">
        <f t="shared" si="1"/>
        <v>0 ± 0</v>
      </c>
      <c r="H41" s="23">
        <v>-1</v>
      </c>
      <c r="I41" s="23">
        <v>-1</v>
      </c>
      <c r="J41" s="23" t="str">
        <f t="shared" si="2"/>
        <v>0 ± 0</v>
      </c>
      <c r="K41" s="23" t="str">
        <f t="shared" si="3"/>
        <v>0 ± 0</v>
      </c>
      <c r="L41" s="24">
        <v>-1</v>
      </c>
      <c r="M41" s="24">
        <v>-1</v>
      </c>
      <c r="N41" s="24" t="str">
        <f t="shared" si="5"/>
        <v>0 ± 0</v>
      </c>
      <c r="O41" s="24" t="str">
        <f t="shared" si="6"/>
        <v>0 ± 0</v>
      </c>
      <c r="Q41" s="20" cm="1">
        <f t="array" ref="Q41">PointMin3(ABS(B41-D41)+ABS(C41-E41),ABS(B41-H41)+ABS(C41-I41),ABS(B41-L41)+ABS(C41-M41),ABS(B41-D41)+ABS(C41-E41))</f>
        <v>1</v>
      </c>
      <c r="R41" s="20" cm="1">
        <f t="array" ref="R41">PointMin3(ABS(B41-D41)+ABS(C41-E41),ABS(B41-H41)+ABS(C41-I41),ABS(B41-L41)+ABS(C41-M41),ABS(B41-H41)+ABS(C41-I41))</f>
        <v>1</v>
      </c>
      <c r="S41" s="20" cm="1">
        <f t="array" ref="S41">PointMin3(ABS(B41-D41)+ABS(C41-E41),ABS(B41-H41)+ABS(C41-I41),ABS(B41-L41)+ABS(C41-M41),ABS(B41-L41)+ABS(C41-M41))</f>
        <v>1</v>
      </c>
      <c r="T41" s="20">
        <v>1</v>
      </c>
    </row>
    <row r="42" spans="1:20" x14ac:dyDescent="0.3">
      <c r="A42" s="67">
        <f t="shared" si="4"/>
        <v>40</v>
      </c>
      <c r="B42" s="70">
        <v>-1</v>
      </c>
      <c r="C42" s="21">
        <v>-1</v>
      </c>
      <c r="D42" s="22">
        <v>-1</v>
      </c>
      <c r="E42" s="22">
        <v>-1</v>
      </c>
      <c r="F42" s="22" t="str">
        <f t="shared" si="0"/>
        <v>0 ± 0</v>
      </c>
      <c r="G42" s="22" t="str">
        <f t="shared" si="1"/>
        <v>0 ± 0</v>
      </c>
      <c r="H42" s="23">
        <v>-1</v>
      </c>
      <c r="I42" s="23">
        <v>-1</v>
      </c>
      <c r="J42" s="23" t="str">
        <f t="shared" si="2"/>
        <v>0 ± 0</v>
      </c>
      <c r="K42" s="23" t="str">
        <f t="shared" si="3"/>
        <v>0 ± 0</v>
      </c>
      <c r="L42" s="24">
        <v>-1</v>
      </c>
      <c r="M42" s="24">
        <v>-1</v>
      </c>
      <c r="N42" s="24" t="str">
        <f t="shared" si="5"/>
        <v>0 ± 0</v>
      </c>
      <c r="O42" s="24" t="str">
        <f t="shared" si="6"/>
        <v>0 ± 0</v>
      </c>
      <c r="Q42" s="20" cm="1">
        <f t="array" ref="Q42">PointMin3(ABS(B42-D42)+ABS(C42-E42),ABS(B42-H42)+ABS(C42-I42),ABS(B42-L42)+ABS(C42-M42),ABS(B42-D42)+ABS(C42-E42))</f>
        <v>1</v>
      </c>
      <c r="R42" s="20" cm="1">
        <f t="array" ref="R42">PointMin3(ABS(B42-D42)+ABS(C42-E42),ABS(B42-H42)+ABS(C42-I42),ABS(B42-L42)+ABS(C42-M42),ABS(B42-H42)+ABS(C42-I42))</f>
        <v>1</v>
      </c>
      <c r="S42" s="20" cm="1">
        <f t="array" ref="S42">PointMin3(ABS(B42-D42)+ABS(C42-E42),ABS(B42-H42)+ABS(C42-I42),ABS(B42-L42)+ABS(C42-M42),ABS(B42-L42)+ABS(C42-M42))</f>
        <v>1</v>
      </c>
      <c r="T42" s="20">
        <v>1</v>
      </c>
    </row>
    <row r="43" spans="1:20" x14ac:dyDescent="0.3">
      <c r="A43" s="99">
        <f t="shared" si="4"/>
        <v>41</v>
      </c>
      <c r="B43" s="70">
        <f>[1]Кг_s12!D42</f>
        <v>1</v>
      </c>
      <c r="C43" s="21">
        <f>[1]Кг_s12!I42</f>
        <v>0</v>
      </c>
      <c r="D43" s="22">
        <f>[2]Кг_s12!B42</f>
        <v>1</v>
      </c>
      <c r="E43" s="22">
        <f>[2]Кг_s12!$C$2</f>
        <v>1E-3</v>
      </c>
      <c r="F43" s="22" t="str">
        <f t="shared" si="0"/>
        <v>0 ± 0,001</v>
      </c>
      <c r="G43" s="22" t="str">
        <f t="shared" si="1"/>
        <v>0 ± 0,1</v>
      </c>
      <c r="H43" s="23">
        <f>[3]Кг_s12!B42</f>
        <v>0.72561549925484359</v>
      </c>
      <c r="I43" s="23">
        <f>[3]Кг_s12!H42</f>
        <v>5.25574104982919E-2</v>
      </c>
      <c r="J43" s="23" t="str">
        <f t="shared" si="2"/>
        <v>0,275 ± 0,053</v>
      </c>
      <c r="K43" s="23" t="str">
        <f t="shared" si="3"/>
        <v>27,439 ± 5,256</v>
      </c>
      <c r="L43" s="24">
        <f>[4]Кг_s12!D42</f>
        <v>0.99415204678362568</v>
      </c>
      <c r="M43" s="24">
        <f>[4]Кг_s12!I42</f>
        <v>3.0535863723132402E-3</v>
      </c>
      <c r="N43" s="24" t="str">
        <f t="shared" si="5"/>
        <v>0,006 ± 0,004</v>
      </c>
      <c r="O43" s="24" t="str">
        <f t="shared" si="6"/>
        <v>0,585 ± 0,306</v>
      </c>
      <c r="Q43" s="20" cm="1">
        <f t="array" ref="Q43">PointMin3(ABS(B43-D43)+ABS(C43-E43),ABS(B43-H43)+ABS(C43-I43),ABS(B43-L43)+ABS(C43-M43),ABS(B43-D43)+ABS(C43-E43))</f>
        <v>3</v>
      </c>
      <c r="R43" s="20" cm="1">
        <f t="array" ref="R43">PointMin3(ABS(B43-D43)+ABS(C43-E43),ABS(B43-H43)+ABS(C43-I43),ABS(B43-L43)+ABS(C43-M43),ABS(B43-H43)+ABS(C43-I43))</f>
        <v>1</v>
      </c>
      <c r="S43" s="20" cm="1">
        <f t="array" ref="S43">PointMin3(ABS(B43-D43)+ABS(C43-E43),ABS(B43-H43)+ABS(C43-I43),ABS(B43-L43)+ABS(C43-M43),ABS(B43-L43)+ABS(C43-M43))</f>
        <v>2</v>
      </c>
      <c r="T43" s="20">
        <v>4</v>
      </c>
    </row>
    <row r="44" spans="1:20" x14ac:dyDescent="0.3">
      <c r="A44" s="98">
        <f t="shared" si="4"/>
        <v>42</v>
      </c>
      <c r="B44" s="70">
        <v>-1</v>
      </c>
      <c r="C44" s="21">
        <v>-1</v>
      </c>
      <c r="D44" s="22">
        <v>-1</v>
      </c>
      <c r="E44" s="22">
        <v>-1</v>
      </c>
      <c r="F44" s="22" t="str">
        <f t="shared" si="0"/>
        <v>0 ± 0</v>
      </c>
      <c r="G44" s="22" t="str">
        <f t="shared" si="1"/>
        <v>0 ± 0</v>
      </c>
      <c r="H44" s="23">
        <v>-1</v>
      </c>
      <c r="I44" s="23">
        <v>-1</v>
      </c>
      <c r="J44" s="23" t="str">
        <f t="shared" si="2"/>
        <v>0 ± 0</v>
      </c>
      <c r="K44" s="23" t="str">
        <f t="shared" si="3"/>
        <v>0 ± 0</v>
      </c>
      <c r="L44" s="24">
        <v>-1</v>
      </c>
      <c r="M44" s="24">
        <v>-1</v>
      </c>
      <c r="N44" s="24" t="str">
        <f t="shared" si="5"/>
        <v>0 ± 0</v>
      </c>
      <c r="O44" s="24" t="str">
        <f t="shared" si="6"/>
        <v>0 ± 0</v>
      </c>
      <c r="Q44" s="20" cm="1">
        <f t="array" ref="Q44">PointMin3(ABS(B44-D44)+ABS(C44-E44),ABS(B44-H44)+ABS(C44-I44),ABS(B44-L44)+ABS(C44-M44),ABS(B44-D44)+ABS(C44-E44))</f>
        <v>1</v>
      </c>
      <c r="R44" s="20" cm="1">
        <f t="array" ref="R44">PointMin3(ABS(B44-D44)+ABS(C44-E44),ABS(B44-H44)+ABS(C44-I44),ABS(B44-L44)+ABS(C44-M44),ABS(B44-H44)+ABS(C44-I44))</f>
        <v>1</v>
      </c>
      <c r="S44" s="20" cm="1">
        <f t="array" ref="S44">PointMin3(ABS(B44-D44)+ABS(C44-E44),ABS(B44-H44)+ABS(C44-I44),ABS(B44-L44)+ABS(C44-M44),ABS(B44-L44)+ABS(C44-M44))</f>
        <v>1</v>
      </c>
      <c r="T44" s="20">
        <v>1</v>
      </c>
    </row>
    <row r="45" spans="1:20" x14ac:dyDescent="0.3">
      <c r="A45" s="98">
        <f t="shared" si="4"/>
        <v>43</v>
      </c>
      <c r="B45" s="70">
        <v>-1</v>
      </c>
      <c r="C45" s="21">
        <v>-1</v>
      </c>
      <c r="D45" s="22">
        <v>-1</v>
      </c>
      <c r="E45" s="22">
        <v>-1</v>
      </c>
      <c r="F45" s="22" t="str">
        <f t="shared" si="0"/>
        <v>0 ± 0</v>
      </c>
      <c r="G45" s="22" t="str">
        <f t="shared" si="1"/>
        <v>0 ± 0</v>
      </c>
      <c r="H45" s="23">
        <v>-1</v>
      </c>
      <c r="I45" s="23">
        <v>-1</v>
      </c>
      <c r="J45" s="23" t="str">
        <f t="shared" si="2"/>
        <v>0 ± 0</v>
      </c>
      <c r="K45" s="23" t="str">
        <f t="shared" si="3"/>
        <v>0 ± 0</v>
      </c>
      <c r="L45" s="24">
        <v>-1</v>
      </c>
      <c r="M45" s="24">
        <v>-1</v>
      </c>
      <c r="N45" s="24" t="str">
        <f t="shared" si="5"/>
        <v>0 ± 0</v>
      </c>
      <c r="O45" s="24" t="str">
        <f t="shared" si="6"/>
        <v>0 ± 0</v>
      </c>
      <c r="Q45" s="20" cm="1">
        <f t="array" ref="Q45">PointMin3(ABS(B45-D45)+ABS(C45-E45),ABS(B45-H45)+ABS(C45-I45),ABS(B45-L45)+ABS(C45-M45),ABS(B45-D45)+ABS(C45-E45))</f>
        <v>1</v>
      </c>
      <c r="R45" s="20" cm="1">
        <f t="array" ref="R45">PointMin3(ABS(B45-D45)+ABS(C45-E45),ABS(B45-H45)+ABS(C45-I45),ABS(B45-L45)+ABS(C45-M45),ABS(B45-H45)+ABS(C45-I45))</f>
        <v>1</v>
      </c>
      <c r="S45" s="20" cm="1">
        <f t="array" ref="S45">PointMin3(ABS(B45-D45)+ABS(C45-E45),ABS(B45-H45)+ABS(C45-I45),ABS(B45-L45)+ABS(C45-M45),ABS(B45-L45)+ABS(C45-M45))</f>
        <v>1</v>
      </c>
      <c r="T45" s="20">
        <v>1</v>
      </c>
    </row>
    <row r="46" spans="1:20" x14ac:dyDescent="0.3">
      <c r="A46" s="98">
        <f t="shared" si="4"/>
        <v>44</v>
      </c>
      <c r="B46" s="70">
        <v>-1</v>
      </c>
      <c r="C46" s="21">
        <v>-1</v>
      </c>
      <c r="D46" s="22">
        <v>-1</v>
      </c>
      <c r="E46" s="22">
        <v>-1</v>
      </c>
      <c r="F46" s="22" t="str">
        <f t="shared" si="0"/>
        <v>0 ± 0</v>
      </c>
      <c r="G46" s="22" t="str">
        <f t="shared" si="1"/>
        <v>0 ± 0</v>
      </c>
      <c r="H46" s="23">
        <v>-1</v>
      </c>
      <c r="I46" s="23">
        <v>-1</v>
      </c>
      <c r="J46" s="23" t="str">
        <f t="shared" si="2"/>
        <v>0 ± 0</v>
      </c>
      <c r="K46" s="23" t="str">
        <f t="shared" si="3"/>
        <v>0 ± 0</v>
      </c>
      <c r="L46" s="24">
        <v>-1</v>
      </c>
      <c r="M46" s="24">
        <v>-1</v>
      </c>
      <c r="N46" s="24" t="str">
        <f t="shared" si="5"/>
        <v>0 ± 0</v>
      </c>
      <c r="O46" s="24" t="str">
        <f t="shared" si="6"/>
        <v>0 ± 0</v>
      </c>
      <c r="Q46" s="20" cm="1">
        <f t="array" ref="Q46">PointMin3(ABS(B46-D46)+ABS(C46-E46),ABS(B46-H46)+ABS(C46-I46),ABS(B46-L46)+ABS(C46-M46),ABS(B46-D46)+ABS(C46-E46))</f>
        <v>1</v>
      </c>
      <c r="R46" s="20" cm="1">
        <f t="array" ref="R46">PointMin3(ABS(B46-D46)+ABS(C46-E46),ABS(B46-H46)+ABS(C46-I46),ABS(B46-L46)+ABS(C46-M46),ABS(B46-H46)+ABS(C46-I46))</f>
        <v>1</v>
      </c>
      <c r="S46" s="20" cm="1">
        <f t="array" ref="S46">PointMin3(ABS(B46-D46)+ABS(C46-E46),ABS(B46-H46)+ABS(C46-I46),ABS(B46-L46)+ABS(C46-M46),ABS(B46-L46)+ABS(C46-M46))</f>
        <v>1</v>
      </c>
      <c r="T46" s="20">
        <v>1</v>
      </c>
    </row>
    <row r="47" spans="1:20" x14ac:dyDescent="0.3">
      <c r="A47" s="98">
        <f t="shared" si="4"/>
        <v>45</v>
      </c>
      <c r="B47" s="70">
        <v>-1</v>
      </c>
      <c r="C47" s="21">
        <v>-1</v>
      </c>
      <c r="D47" s="22">
        <v>-1</v>
      </c>
      <c r="E47" s="22">
        <v>-1</v>
      </c>
      <c r="F47" s="22" t="str">
        <f t="shared" si="0"/>
        <v>0 ± 0</v>
      </c>
      <c r="G47" s="22" t="str">
        <f t="shared" si="1"/>
        <v>0 ± 0</v>
      </c>
      <c r="H47" s="23">
        <v>-1</v>
      </c>
      <c r="I47" s="23">
        <v>-1</v>
      </c>
      <c r="J47" s="23" t="str">
        <f t="shared" si="2"/>
        <v>0 ± 0</v>
      </c>
      <c r="K47" s="23" t="str">
        <f t="shared" si="3"/>
        <v>0 ± 0</v>
      </c>
      <c r="L47" s="24">
        <v>-1</v>
      </c>
      <c r="M47" s="24">
        <v>-1</v>
      </c>
      <c r="N47" s="24" t="str">
        <f t="shared" si="5"/>
        <v>0 ± 0</v>
      </c>
      <c r="O47" s="24" t="str">
        <f t="shared" si="6"/>
        <v>0 ± 0</v>
      </c>
      <c r="Q47" s="20" cm="1">
        <f t="array" ref="Q47">PointMin3(ABS(B47-D47)+ABS(C47-E47),ABS(B47-H47)+ABS(C47-I47),ABS(B47-L47)+ABS(C47-M47),ABS(B47-D47)+ABS(C47-E47))</f>
        <v>1</v>
      </c>
      <c r="R47" s="20" cm="1">
        <f t="array" ref="R47">PointMin3(ABS(B47-D47)+ABS(C47-E47),ABS(B47-H47)+ABS(C47-I47),ABS(B47-L47)+ABS(C47-M47),ABS(B47-H47)+ABS(C47-I47))</f>
        <v>1</v>
      </c>
      <c r="S47" s="20" cm="1">
        <f t="array" ref="S47">PointMin3(ABS(B47-D47)+ABS(C47-E47),ABS(B47-H47)+ABS(C47-I47),ABS(B47-L47)+ABS(C47-M47),ABS(B47-L47)+ABS(C47-M47))</f>
        <v>1</v>
      </c>
      <c r="T47" s="20">
        <v>1</v>
      </c>
    </row>
    <row r="48" spans="1:20" x14ac:dyDescent="0.3">
      <c r="A48" s="99">
        <f t="shared" si="4"/>
        <v>46</v>
      </c>
      <c r="B48" s="70">
        <f>[1]Кг_s12!D47</f>
        <v>1</v>
      </c>
      <c r="C48" s="21">
        <f>[1]Кг_s12!I47</f>
        <v>0</v>
      </c>
      <c r="D48" s="22">
        <f>[2]Кг_s12!B47</f>
        <v>1</v>
      </c>
      <c r="E48" s="22">
        <f>[2]Кг_s12!$C$2</f>
        <v>1E-3</v>
      </c>
      <c r="F48" s="22" t="str">
        <f t="shared" si="0"/>
        <v>0 ± 0,001</v>
      </c>
      <c r="G48" s="22" t="str">
        <f t="shared" si="1"/>
        <v>0 ± 0,1</v>
      </c>
      <c r="H48" s="23">
        <f>[3]Кг_s12!B47</f>
        <v>0.72561549925484359</v>
      </c>
      <c r="I48" s="23">
        <f>[3]Кг_s12!H47</f>
        <v>5.25574104982919E-2</v>
      </c>
      <c r="J48" s="23" t="str">
        <f t="shared" si="2"/>
        <v>0,275 ± 0,053</v>
      </c>
      <c r="K48" s="23" t="str">
        <f t="shared" si="3"/>
        <v>27,439 ± 5,256</v>
      </c>
      <c r="L48" s="24">
        <f>[4]Кг_s12!D47</f>
        <v>0.99298245614035086</v>
      </c>
      <c r="M48" s="24">
        <f>[4]Кг_s12!I47</f>
        <v>4.2917547830716978E-3</v>
      </c>
      <c r="N48" s="24" t="str">
        <f t="shared" si="5"/>
        <v>0,008 ± 0,005</v>
      </c>
      <c r="O48" s="24" t="str">
        <f t="shared" si="6"/>
        <v>0,702 ± 0,43</v>
      </c>
      <c r="Q48" s="20" cm="1">
        <f t="array" ref="Q48">PointMin3(ABS(B48-D48)+ABS(C48-E48),ABS(B48-H48)+ABS(C48-I48),ABS(B48-L48)+ABS(C48-M48),ABS(B48-D48)+ABS(C48-E48))</f>
        <v>3</v>
      </c>
      <c r="R48" s="20" cm="1">
        <f t="array" ref="R48">PointMin3(ABS(B48-D48)+ABS(C48-E48),ABS(B48-H48)+ABS(C48-I48),ABS(B48-L48)+ABS(C48-M48),ABS(B48-H48)+ABS(C48-I48))</f>
        <v>1</v>
      </c>
      <c r="S48" s="20" cm="1">
        <f t="array" ref="S48">PointMin3(ABS(B48-D48)+ABS(C48-E48),ABS(B48-H48)+ABS(C48-I48),ABS(B48-L48)+ABS(C48-M48),ABS(B48-L48)+ABS(C48-M48))</f>
        <v>2</v>
      </c>
      <c r="T48" s="20">
        <v>4</v>
      </c>
    </row>
    <row r="49" spans="1:20" x14ac:dyDescent="0.3">
      <c r="A49" s="98">
        <f t="shared" si="4"/>
        <v>47</v>
      </c>
      <c r="B49" s="70">
        <v>-1</v>
      </c>
      <c r="C49" s="21">
        <v>-1</v>
      </c>
      <c r="D49" s="22">
        <v>-1</v>
      </c>
      <c r="E49" s="22">
        <v>-1</v>
      </c>
      <c r="F49" s="22" t="str">
        <f t="shared" si="0"/>
        <v>0 ± 0</v>
      </c>
      <c r="G49" s="22" t="str">
        <f t="shared" si="1"/>
        <v>0 ± 0</v>
      </c>
      <c r="H49" s="23">
        <v>-1</v>
      </c>
      <c r="I49" s="23">
        <v>-1</v>
      </c>
      <c r="J49" s="23" t="str">
        <f t="shared" si="2"/>
        <v>0 ± 0</v>
      </c>
      <c r="K49" s="23" t="str">
        <f t="shared" si="3"/>
        <v>0 ± 0</v>
      </c>
      <c r="L49" s="24">
        <v>-1</v>
      </c>
      <c r="M49" s="24">
        <v>-1</v>
      </c>
      <c r="N49" s="24" t="str">
        <f t="shared" si="5"/>
        <v>0 ± 0</v>
      </c>
      <c r="O49" s="24" t="str">
        <f t="shared" si="6"/>
        <v>0 ± 0</v>
      </c>
      <c r="Q49" s="20" cm="1">
        <f t="array" ref="Q49">PointMin3(ABS(B49-D49)+ABS(C49-E49),ABS(B49-H49)+ABS(C49-I49),ABS(B49-L49)+ABS(C49-M49),ABS(B49-D49)+ABS(C49-E49))</f>
        <v>1</v>
      </c>
      <c r="R49" s="20" cm="1">
        <f t="array" ref="R49">PointMin3(ABS(B49-D49)+ABS(C49-E49),ABS(B49-H49)+ABS(C49-I49),ABS(B49-L49)+ABS(C49-M49),ABS(B49-H49)+ABS(C49-I49))</f>
        <v>1</v>
      </c>
      <c r="S49" s="20" cm="1">
        <f t="array" ref="S49">PointMin3(ABS(B49-D49)+ABS(C49-E49),ABS(B49-H49)+ABS(C49-I49),ABS(B49-L49)+ABS(C49-M49),ABS(B49-L49)+ABS(C49-M49))</f>
        <v>1</v>
      </c>
      <c r="T49" s="20">
        <v>1</v>
      </c>
    </row>
    <row r="50" spans="1:20" x14ac:dyDescent="0.3">
      <c r="A50" s="67">
        <f t="shared" si="4"/>
        <v>48</v>
      </c>
      <c r="B50" s="70">
        <v>-1</v>
      </c>
      <c r="C50" s="21">
        <v>-1</v>
      </c>
      <c r="D50" s="22">
        <v>-1</v>
      </c>
      <c r="E50" s="22">
        <v>-1</v>
      </c>
      <c r="F50" s="22" t="str">
        <f t="shared" si="0"/>
        <v>0 ± 0</v>
      </c>
      <c r="G50" s="22" t="str">
        <f t="shared" si="1"/>
        <v>0 ± 0</v>
      </c>
      <c r="H50" s="23">
        <v>-1</v>
      </c>
      <c r="I50" s="23">
        <v>-1</v>
      </c>
      <c r="J50" s="23" t="str">
        <f t="shared" si="2"/>
        <v>0 ± 0</v>
      </c>
      <c r="K50" s="23" t="str">
        <f t="shared" si="3"/>
        <v>0 ± 0</v>
      </c>
      <c r="L50" s="24">
        <v>-1</v>
      </c>
      <c r="M50" s="24">
        <v>-1</v>
      </c>
      <c r="N50" s="24" t="str">
        <f t="shared" si="5"/>
        <v>0 ± 0</v>
      </c>
      <c r="O50" s="24" t="str">
        <f t="shared" si="6"/>
        <v>0 ± 0</v>
      </c>
      <c r="Q50" s="20" cm="1">
        <f t="array" ref="Q50">PointMin3(ABS(B50-D50)+ABS(C50-E50),ABS(B50-H50)+ABS(C50-I50),ABS(B50-L50)+ABS(C50-M50),ABS(B50-D50)+ABS(C50-E50))</f>
        <v>1</v>
      </c>
      <c r="R50" s="20" cm="1">
        <f t="array" ref="R50">PointMin3(ABS(B50-D50)+ABS(C50-E50),ABS(B50-H50)+ABS(C50-I50),ABS(B50-L50)+ABS(C50-M50),ABS(B50-H50)+ABS(C50-I50))</f>
        <v>1</v>
      </c>
      <c r="S50" s="20" cm="1">
        <f t="array" ref="S50">PointMin3(ABS(B50-D50)+ABS(C50-E50),ABS(B50-H50)+ABS(C50-I50),ABS(B50-L50)+ABS(C50-M50),ABS(B50-L50)+ABS(C50-M50))</f>
        <v>1</v>
      </c>
      <c r="T50" s="20">
        <v>1</v>
      </c>
    </row>
    <row r="51" spans="1:20" x14ac:dyDescent="0.3">
      <c r="A51" s="67">
        <f t="shared" si="4"/>
        <v>49</v>
      </c>
      <c r="B51" s="70">
        <v>-1</v>
      </c>
      <c r="C51" s="21">
        <v>-1</v>
      </c>
      <c r="D51" s="22">
        <v>-1</v>
      </c>
      <c r="E51" s="22">
        <v>-1</v>
      </c>
      <c r="F51" s="22" t="str">
        <f t="shared" si="0"/>
        <v>0 ± 0</v>
      </c>
      <c r="G51" s="22" t="str">
        <f t="shared" si="1"/>
        <v>0 ± 0</v>
      </c>
      <c r="H51" s="23">
        <v>-1</v>
      </c>
      <c r="I51" s="23">
        <v>-1</v>
      </c>
      <c r="J51" s="23" t="str">
        <f t="shared" si="2"/>
        <v>0 ± 0</v>
      </c>
      <c r="K51" s="23" t="str">
        <f t="shared" si="3"/>
        <v>0 ± 0</v>
      </c>
      <c r="L51" s="24">
        <v>-1</v>
      </c>
      <c r="M51" s="24">
        <v>-1</v>
      </c>
      <c r="N51" s="24" t="str">
        <f t="shared" si="5"/>
        <v>0 ± 0</v>
      </c>
      <c r="O51" s="24" t="str">
        <f t="shared" si="6"/>
        <v>0 ± 0</v>
      </c>
      <c r="Q51" s="20" cm="1">
        <f t="array" ref="Q51">PointMin3(ABS(B51-D51)+ABS(C51-E51),ABS(B51-H51)+ABS(C51-I51),ABS(B51-L51)+ABS(C51-M51),ABS(B51-D51)+ABS(C51-E51))</f>
        <v>1</v>
      </c>
      <c r="R51" s="20" cm="1">
        <f t="array" ref="R51">PointMin3(ABS(B51-D51)+ABS(C51-E51),ABS(B51-H51)+ABS(C51-I51),ABS(B51-L51)+ABS(C51-M51),ABS(B51-H51)+ABS(C51-I51))</f>
        <v>1</v>
      </c>
      <c r="S51" s="20" cm="1">
        <f t="array" ref="S51">PointMin3(ABS(B51-D51)+ABS(C51-E51),ABS(B51-H51)+ABS(C51-I51),ABS(B51-L51)+ABS(C51-M51),ABS(B51-L51)+ABS(C51-M51))</f>
        <v>1</v>
      </c>
      <c r="T51" s="20">
        <v>1</v>
      </c>
    </row>
    <row r="52" spans="1:20" x14ac:dyDescent="0.3">
      <c r="A52" s="67">
        <f t="shared" si="4"/>
        <v>50</v>
      </c>
      <c r="B52" s="70">
        <v>-1</v>
      </c>
      <c r="C52" s="21">
        <v>-1</v>
      </c>
      <c r="D52" s="22">
        <v>-1</v>
      </c>
      <c r="E52" s="22">
        <v>-1</v>
      </c>
      <c r="F52" s="22" t="str">
        <f t="shared" si="0"/>
        <v>0 ± 0</v>
      </c>
      <c r="G52" s="22" t="str">
        <f t="shared" si="1"/>
        <v>0 ± 0</v>
      </c>
      <c r="H52" s="23">
        <v>-1</v>
      </c>
      <c r="I52" s="23">
        <v>-1</v>
      </c>
      <c r="J52" s="23" t="str">
        <f t="shared" si="2"/>
        <v>0 ± 0</v>
      </c>
      <c r="K52" s="23" t="str">
        <f t="shared" si="3"/>
        <v>0 ± 0</v>
      </c>
      <c r="L52" s="24">
        <v>-1</v>
      </c>
      <c r="M52" s="24">
        <v>-1</v>
      </c>
      <c r="N52" s="24" t="str">
        <f t="shared" si="5"/>
        <v>0 ± 0</v>
      </c>
      <c r="O52" s="24" t="str">
        <f t="shared" si="6"/>
        <v>0 ± 0</v>
      </c>
      <c r="Q52" s="20" cm="1">
        <f t="array" ref="Q52">PointMin3(ABS(B52-D52)+ABS(C52-E52),ABS(B52-H52)+ABS(C52-I52),ABS(B52-L52)+ABS(C52-M52),ABS(B52-D52)+ABS(C52-E52))</f>
        <v>1</v>
      </c>
      <c r="R52" s="20" cm="1">
        <f t="array" ref="R52">PointMin3(ABS(B52-D52)+ABS(C52-E52),ABS(B52-H52)+ABS(C52-I52),ABS(B52-L52)+ABS(C52-M52),ABS(B52-H52)+ABS(C52-I52))</f>
        <v>1</v>
      </c>
      <c r="S52" s="20" cm="1">
        <f t="array" ref="S52">PointMin3(ABS(B52-D52)+ABS(C52-E52),ABS(B52-H52)+ABS(C52-I52),ABS(B52-L52)+ABS(C52-M52),ABS(B52-L52)+ABS(C52-M52))</f>
        <v>1</v>
      </c>
      <c r="T52" s="20">
        <v>1</v>
      </c>
    </row>
    <row r="53" spans="1:20" x14ac:dyDescent="0.3">
      <c r="A53" s="99">
        <f t="shared" si="4"/>
        <v>51</v>
      </c>
      <c r="B53" s="70">
        <f>[1]Кг_s12!D52</f>
        <v>1</v>
      </c>
      <c r="C53" s="21">
        <f>[1]Кг_s12!I52</f>
        <v>0</v>
      </c>
      <c r="D53" s="22">
        <f>[2]Кг_s12!B52</f>
        <v>1</v>
      </c>
      <c r="E53" s="22">
        <f>[2]Кг_s12!$C$2</f>
        <v>1E-3</v>
      </c>
      <c r="F53" s="22" t="str">
        <f t="shared" si="0"/>
        <v>0 ± 0,001</v>
      </c>
      <c r="G53" s="22" t="str">
        <f t="shared" si="1"/>
        <v>0 ± 0,1</v>
      </c>
      <c r="H53" s="23">
        <f>[3]Кг_s12!B52</f>
        <v>0.72561549925484359</v>
      </c>
      <c r="I53" s="23">
        <f>[3]Кг_s12!H52</f>
        <v>5.25574104982919E-2</v>
      </c>
      <c r="J53" s="23" t="str">
        <f t="shared" si="2"/>
        <v>0,275 ± 0,053</v>
      </c>
      <c r="K53" s="23" t="str">
        <f t="shared" si="3"/>
        <v>27,439 ± 5,256</v>
      </c>
      <c r="L53" s="24">
        <f>[4]Кг_s12!D52</f>
        <v>0.98830409356725146</v>
      </c>
      <c r="M53" s="24">
        <f>[4]Кг_s12!I52</f>
        <v>5.3450495412778031E-3</v>
      </c>
      <c r="N53" s="24" t="str">
        <f t="shared" si="5"/>
        <v>0,012 ± 0,006</v>
      </c>
      <c r="O53" s="24" t="str">
        <f t="shared" si="6"/>
        <v>1,17 ± 0,535</v>
      </c>
      <c r="Q53" s="20" cm="1">
        <f t="array" ref="Q53">PointMin3(ABS(B53-D53)+ABS(C53-E53),ABS(B53-H53)+ABS(C53-I53),ABS(B53-L53)+ABS(C53-M53),ABS(B53-D53)+ABS(C53-E53))</f>
        <v>3</v>
      </c>
      <c r="R53" s="20" cm="1">
        <f t="array" ref="R53">PointMin3(ABS(B53-D53)+ABS(C53-E53),ABS(B53-H53)+ABS(C53-I53),ABS(B53-L53)+ABS(C53-M53),ABS(B53-H53)+ABS(C53-I53))</f>
        <v>1</v>
      </c>
      <c r="S53" s="20" cm="1">
        <f t="array" ref="S53">PointMin3(ABS(B53-D53)+ABS(C53-E53),ABS(B53-H53)+ABS(C53-I53),ABS(B53-L53)+ABS(C53-M53),ABS(B53-L53)+ABS(C53-M53))</f>
        <v>2</v>
      </c>
      <c r="T53" s="20">
        <v>4</v>
      </c>
    </row>
    <row r="54" spans="1:20" x14ac:dyDescent="0.3">
      <c r="A54" s="99">
        <f t="shared" si="4"/>
        <v>52</v>
      </c>
      <c r="B54" s="70">
        <f>[1]Кг_s12!D53</f>
        <v>1</v>
      </c>
      <c r="C54" s="21">
        <f>[1]Кг_s12!I53</f>
        <v>0</v>
      </c>
      <c r="D54" s="22">
        <f>[2]Кг_s12!B53</f>
        <v>1</v>
      </c>
      <c r="E54" s="22">
        <f>[2]Кг_s12!$C$2</f>
        <v>1E-3</v>
      </c>
      <c r="F54" s="22" t="str">
        <f t="shared" si="0"/>
        <v>0 ± 0,001</v>
      </c>
      <c r="G54" s="22" t="str">
        <f t="shared" si="1"/>
        <v>0 ± 0,1</v>
      </c>
      <c r="H54" s="23">
        <f>[3]Кг_s12!B53</f>
        <v>0.72561549925484359</v>
      </c>
      <c r="I54" s="23">
        <f>[3]Кг_s12!H53</f>
        <v>5.25574104982919E-2</v>
      </c>
      <c r="J54" s="23" t="str">
        <f t="shared" si="2"/>
        <v>0,275 ± 0,053</v>
      </c>
      <c r="K54" s="23" t="str">
        <f t="shared" si="3"/>
        <v>27,439 ± 5,256</v>
      </c>
      <c r="L54" s="24">
        <f>[4]Кг_s12!D53</f>
        <v>0.9801169590643275</v>
      </c>
      <c r="M54" s="24">
        <f>[4]Кг_s12!I53</f>
        <v>6.1117512459439574E-3</v>
      </c>
      <c r="N54" s="24" t="str">
        <f t="shared" si="5"/>
        <v>0,02 ± 0,007</v>
      </c>
      <c r="O54" s="24" t="str">
        <f t="shared" si="6"/>
        <v>1,989 ± 0,612</v>
      </c>
      <c r="Q54" s="20" cm="1">
        <f t="array" ref="Q54">PointMin3(ABS(B54-D54)+ABS(C54-E54),ABS(B54-H54)+ABS(C54-I54),ABS(B54-L54)+ABS(C54-M54),ABS(B54-D54)+ABS(C54-E54))</f>
        <v>3</v>
      </c>
      <c r="R54" s="20" cm="1">
        <f t="array" ref="R54">PointMin3(ABS(B54-D54)+ABS(C54-E54),ABS(B54-H54)+ABS(C54-I54),ABS(B54-L54)+ABS(C54-M54),ABS(B54-H54)+ABS(C54-I54))</f>
        <v>1</v>
      </c>
      <c r="S54" s="20" cm="1">
        <f t="array" ref="S54">PointMin3(ABS(B54-D54)+ABS(C54-E54),ABS(B54-H54)+ABS(C54-I54),ABS(B54-L54)+ABS(C54-M54),ABS(B54-L54)+ABS(C54-M54))</f>
        <v>2</v>
      </c>
      <c r="T54" s="20">
        <v>4</v>
      </c>
    </row>
    <row r="55" spans="1:20" x14ac:dyDescent="0.3">
      <c r="A55" s="67">
        <f t="shared" si="4"/>
        <v>53</v>
      </c>
      <c r="B55" s="70">
        <v>-1</v>
      </c>
      <c r="C55" s="21">
        <v>-1</v>
      </c>
      <c r="D55" s="22">
        <v>-1</v>
      </c>
      <c r="E55" s="22">
        <v>-1</v>
      </c>
      <c r="F55" s="22" t="str">
        <f t="shared" si="0"/>
        <v>0 ± 0</v>
      </c>
      <c r="G55" s="22" t="str">
        <f t="shared" si="1"/>
        <v>0 ± 0</v>
      </c>
      <c r="H55" s="23">
        <v>-1</v>
      </c>
      <c r="I55" s="23">
        <v>-1</v>
      </c>
      <c r="J55" s="23" t="str">
        <f t="shared" si="2"/>
        <v>0 ± 0</v>
      </c>
      <c r="K55" s="23" t="str">
        <f t="shared" si="3"/>
        <v>0 ± 0</v>
      </c>
      <c r="L55" s="24">
        <v>-1</v>
      </c>
      <c r="M55" s="24">
        <v>-1</v>
      </c>
      <c r="N55" s="24" t="str">
        <f t="shared" si="5"/>
        <v>0 ± 0</v>
      </c>
      <c r="O55" s="24" t="str">
        <f t="shared" si="6"/>
        <v>0 ± 0</v>
      </c>
      <c r="Q55" s="20" cm="1">
        <f t="array" ref="Q55">PointMin3(ABS(B55-D55)+ABS(C55-E55),ABS(B55-H55)+ABS(C55-I55),ABS(B55-L55)+ABS(C55-M55),ABS(B55-D55)+ABS(C55-E55))</f>
        <v>1</v>
      </c>
      <c r="R55" s="20" cm="1">
        <f t="array" ref="R55">PointMin3(ABS(B55-D55)+ABS(C55-E55),ABS(B55-H55)+ABS(C55-I55),ABS(B55-L55)+ABS(C55-M55),ABS(B55-H55)+ABS(C55-I55))</f>
        <v>1</v>
      </c>
      <c r="S55" s="20" cm="1">
        <f t="array" ref="S55">PointMin3(ABS(B55-D55)+ABS(C55-E55),ABS(B55-H55)+ABS(C55-I55),ABS(B55-L55)+ABS(C55-M55),ABS(B55-L55)+ABS(C55-M55))</f>
        <v>1</v>
      </c>
      <c r="T55" s="20">
        <v>1</v>
      </c>
    </row>
    <row r="56" spans="1:20" x14ac:dyDescent="0.3">
      <c r="A56" s="67">
        <f t="shared" si="4"/>
        <v>54</v>
      </c>
      <c r="B56" s="70">
        <v>-1</v>
      </c>
      <c r="C56" s="21">
        <v>-1</v>
      </c>
      <c r="D56" s="22">
        <v>-1</v>
      </c>
      <c r="E56" s="22">
        <v>-1</v>
      </c>
      <c r="F56" s="22" t="str">
        <f t="shared" si="0"/>
        <v>0 ± 0</v>
      </c>
      <c r="G56" s="22" t="str">
        <f t="shared" si="1"/>
        <v>0 ± 0</v>
      </c>
      <c r="H56" s="23">
        <v>-1</v>
      </c>
      <c r="I56" s="23">
        <v>-1</v>
      </c>
      <c r="J56" s="23" t="str">
        <f t="shared" si="2"/>
        <v>0 ± 0</v>
      </c>
      <c r="K56" s="23" t="str">
        <f t="shared" si="3"/>
        <v>0 ± 0</v>
      </c>
      <c r="L56" s="24">
        <v>-1</v>
      </c>
      <c r="M56" s="24">
        <v>-1</v>
      </c>
      <c r="N56" s="24" t="str">
        <f t="shared" si="5"/>
        <v>0 ± 0</v>
      </c>
      <c r="O56" s="24" t="str">
        <f t="shared" si="6"/>
        <v>0 ± 0</v>
      </c>
      <c r="Q56" s="20" cm="1">
        <f t="array" ref="Q56">PointMin3(ABS(B56-D56)+ABS(C56-E56),ABS(B56-H56)+ABS(C56-I56),ABS(B56-L56)+ABS(C56-M56),ABS(B56-D56)+ABS(C56-E56))</f>
        <v>1</v>
      </c>
      <c r="R56" s="20" cm="1">
        <f t="array" ref="R56">PointMin3(ABS(B56-D56)+ABS(C56-E56),ABS(B56-H56)+ABS(C56-I56),ABS(B56-L56)+ABS(C56-M56),ABS(B56-H56)+ABS(C56-I56))</f>
        <v>1</v>
      </c>
      <c r="S56" s="20" cm="1">
        <f t="array" ref="S56">PointMin3(ABS(B56-D56)+ABS(C56-E56),ABS(B56-H56)+ABS(C56-I56),ABS(B56-L56)+ABS(C56-M56),ABS(B56-L56)+ABS(C56-M56))</f>
        <v>1</v>
      </c>
      <c r="T56" s="20">
        <v>1</v>
      </c>
    </row>
    <row r="57" spans="1:20" x14ac:dyDescent="0.3">
      <c r="A57" s="67">
        <f t="shared" si="4"/>
        <v>55</v>
      </c>
      <c r="B57" s="70">
        <v>-1</v>
      </c>
      <c r="C57" s="21">
        <v>-1</v>
      </c>
      <c r="D57" s="22">
        <v>-1</v>
      </c>
      <c r="E57" s="22">
        <v>-1</v>
      </c>
      <c r="F57" s="22" t="str">
        <f t="shared" si="0"/>
        <v>0 ± 0</v>
      </c>
      <c r="G57" s="22" t="str">
        <f t="shared" si="1"/>
        <v>0 ± 0</v>
      </c>
      <c r="H57" s="23">
        <v>-1</v>
      </c>
      <c r="I57" s="23">
        <v>-1</v>
      </c>
      <c r="J57" s="23" t="str">
        <f t="shared" si="2"/>
        <v>0 ± 0</v>
      </c>
      <c r="K57" s="23" t="str">
        <f t="shared" si="3"/>
        <v>0 ± 0</v>
      </c>
      <c r="L57" s="24">
        <v>-1</v>
      </c>
      <c r="M57" s="24">
        <v>-1</v>
      </c>
      <c r="N57" s="24" t="str">
        <f t="shared" si="5"/>
        <v>0 ± 0</v>
      </c>
      <c r="O57" s="24" t="str">
        <f t="shared" si="6"/>
        <v>0 ± 0</v>
      </c>
      <c r="Q57" s="20" cm="1">
        <f t="array" ref="Q57">PointMin3(ABS(B57-D57)+ABS(C57-E57),ABS(B57-H57)+ABS(C57-I57),ABS(B57-L57)+ABS(C57-M57),ABS(B57-D57)+ABS(C57-E57))</f>
        <v>1</v>
      </c>
      <c r="R57" s="20" cm="1">
        <f t="array" ref="R57">PointMin3(ABS(B57-D57)+ABS(C57-E57),ABS(B57-H57)+ABS(C57-I57),ABS(B57-L57)+ABS(C57-M57),ABS(B57-H57)+ABS(C57-I57))</f>
        <v>1</v>
      </c>
      <c r="S57" s="20" cm="1">
        <f t="array" ref="S57">PointMin3(ABS(B57-D57)+ABS(C57-E57),ABS(B57-H57)+ABS(C57-I57),ABS(B57-L57)+ABS(C57-M57),ABS(B57-L57)+ABS(C57-M57))</f>
        <v>1</v>
      </c>
      <c r="T57" s="20">
        <v>1</v>
      </c>
    </row>
    <row r="58" spans="1:20" x14ac:dyDescent="0.3">
      <c r="A58" s="99">
        <f t="shared" si="4"/>
        <v>56</v>
      </c>
      <c r="B58" s="70">
        <f>[1]Кг_s12!D57</f>
        <v>1</v>
      </c>
      <c r="C58" s="21">
        <f>[1]Кг_s12!I57</f>
        <v>0</v>
      </c>
      <c r="D58" s="22">
        <f>[2]Кг_s12!B57</f>
        <v>1</v>
      </c>
      <c r="E58" s="22">
        <f>[2]Кг_s12!$C$2</f>
        <v>1E-3</v>
      </c>
      <c r="F58" s="22" t="str">
        <f t="shared" si="0"/>
        <v>0 ± 0,001</v>
      </c>
      <c r="G58" s="22" t="str">
        <f t="shared" si="1"/>
        <v>0 ± 0,1</v>
      </c>
      <c r="H58" s="23">
        <f>[3]Кг_s12!B57</f>
        <v>0.72561549925484359</v>
      </c>
      <c r="I58" s="23">
        <f>[3]Кг_s12!H57</f>
        <v>5.25574104982919E-2</v>
      </c>
      <c r="J58" s="23" t="str">
        <f t="shared" si="2"/>
        <v>0,275 ± 0,053</v>
      </c>
      <c r="K58" s="23" t="str">
        <f t="shared" si="3"/>
        <v>27,439 ± 5,256</v>
      </c>
      <c r="L58" s="24">
        <f>[4]Кг_s12!D57</f>
        <v>0.98654970760233918</v>
      </c>
      <c r="M58" s="24">
        <f>[4]Кг_s12!I57</f>
        <v>6.3603669415590487E-3</v>
      </c>
      <c r="N58" s="24" t="str">
        <f t="shared" si="5"/>
        <v>0,014 ± 0,007</v>
      </c>
      <c r="O58" s="24" t="str">
        <f t="shared" si="6"/>
        <v>1,346 ± 0,637</v>
      </c>
      <c r="Q58" s="20" cm="1">
        <f t="array" ref="Q58">PointMin3(ABS(B58-D58)+ABS(C58-E58),ABS(B58-H58)+ABS(C58-I58),ABS(B58-L58)+ABS(C58-M58),ABS(B58-D58)+ABS(C58-E58))</f>
        <v>3</v>
      </c>
      <c r="R58" s="20" cm="1">
        <f t="array" ref="R58">PointMin3(ABS(B58-D58)+ABS(C58-E58),ABS(B58-H58)+ABS(C58-I58),ABS(B58-L58)+ABS(C58-M58),ABS(B58-H58)+ABS(C58-I58))</f>
        <v>1</v>
      </c>
      <c r="S58" s="20" cm="1">
        <f t="array" ref="S58">PointMin3(ABS(B58-D58)+ABS(C58-E58),ABS(B58-H58)+ABS(C58-I58),ABS(B58-L58)+ABS(C58-M58),ABS(B58-L58)+ABS(C58-M58))</f>
        <v>2</v>
      </c>
      <c r="T58" s="20">
        <v>4</v>
      </c>
    </row>
    <row r="59" spans="1:20" x14ac:dyDescent="0.3">
      <c r="A59" s="99">
        <f t="shared" si="4"/>
        <v>57</v>
      </c>
      <c r="B59" s="70">
        <f>[1]Кг_s12!D58</f>
        <v>1</v>
      </c>
      <c r="C59" s="21">
        <f>[1]Кг_s12!I58</f>
        <v>0</v>
      </c>
      <c r="D59" s="22">
        <f>[2]Кг_s12!B58</f>
        <v>1</v>
      </c>
      <c r="E59" s="22">
        <f>[2]Кг_s12!$C$2</f>
        <v>1E-3</v>
      </c>
      <c r="F59" s="22" t="str">
        <f t="shared" si="0"/>
        <v>0 ± 0,001</v>
      </c>
      <c r="G59" s="22" t="str">
        <f t="shared" si="1"/>
        <v>0 ± 0,1</v>
      </c>
      <c r="H59" s="23">
        <f>[3]Кг_s12!B58</f>
        <v>0.72561549925484359</v>
      </c>
      <c r="I59" s="23">
        <f>[3]Кг_s12!H58</f>
        <v>5.25574104982919E-2</v>
      </c>
      <c r="J59" s="23" t="str">
        <f t="shared" si="2"/>
        <v>0,275 ± 0,053</v>
      </c>
      <c r="K59" s="23" t="str">
        <f t="shared" si="3"/>
        <v>27,439 ± 5,256</v>
      </c>
      <c r="L59" s="24">
        <f>[4]Кг_s12!D58</f>
        <v>0.98187134502923978</v>
      </c>
      <c r="M59" s="24">
        <f>[4]Кг_s12!I58</f>
        <v>7.8337455125904766E-3</v>
      </c>
      <c r="N59" s="24" t="str">
        <f t="shared" si="5"/>
        <v>0,019 ± 0,008</v>
      </c>
      <c r="O59" s="24" t="str">
        <f t="shared" si="6"/>
        <v>1,813 ± 0,784</v>
      </c>
      <c r="Q59" s="20" cm="1">
        <f t="array" ref="Q59">PointMin3(ABS(B59-D59)+ABS(C59-E59),ABS(B59-H59)+ABS(C59-I59),ABS(B59-L59)+ABS(C59-M59),ABS(B59-D59)+ABS(C59-E59))</f>
        <v>3</v>
      </c>
      <c r="R59" s="20" cm="1">
        <f t="array" ref="R59">PointMin3(ABS(B59-D59)+ABS(C59-E59),ABS(B59-H59)+ABS(C59-I59),ABS(B59-L59)+ABS(C59-M59),ABS(B59-H59)+ABS(C59-I59))</f>
        <v>1</v>
      </c>
      <c r="S59" s="20" cm="1">
        <f t="array" ref="S59">PointMin3(ABS(B59-D59)+ABS(C59-E59),ABS(B59-H59)+ABS(C59-I59),ABS(B59-L59)+ABS(C59-M59),ABS(B59-L59)+ABS(C59-M59))</f>
        <v>2</v>
      </c>
      <c r="T59" s="20">
        <v>4</v>
      </c>
    </row>
    <row r="60" spans="1:20" x14ac:dyDescent="0.3">
      <c r="A60" s="67">
        <f t="shared" si="4"/>
        <v>58</v>
      </c>
      <c r="B60" s="70">
        <v>-1</v>
      </c>
      <c r="C60" s="21">
        <v>-1</v>
      </c>
      <c r="D60" s="22">
        <v>-1</v>
      </c>
      <c r="E60" s="22">
        <v>-1</v>
      </c>
      <c r="F60" s="22" t="str">
        <f t="shared" si="0"/>
        <v>0 ± 0</v>
      </c>
      <c r="G60" s="22" t="str">
        <f t="shared" si="1"/>
        <v>0 ± 0</v>
      </c>
      <c r="H60" s="23">
        <v>-1</v>
      </c>
      <c r="I60" s="23">
        <v>-1</v>
      </c>
      <c r="J60" s="23" t="str">
        <f t="shared" si="2"/>
        <v>0 ± 0</v>
      </c>
      <c r="K60" s="23" t="str">
        <f t="shared" si="3"/>
        <v>0 ± 0</v>
      </c>
      <c r="L60" s="24">
        <v>-1</v>
      </c>
      <c r="M60" s="24">
        <v>-1</v>
      </c>
      <c r="N60" s="24" t="str">
        <f t="shared" si="5"/>
        <v>0 ± 0</v>
      </c>
      <c r="O60" s="24" t="str">
        <f t="shared" si="6"/>
        <v>0 ± 0</v>
      </c>
      <c r="Q60" s="20" cm="1">
        <f t="array" ref="Q60">PointMin3(ABS(B60-D60)+ABS(C60-E60),ABS(B60-H60)+ABS(C60-I60),ABS(B60-L60)+ABS(C60-M60),ABS(B60-D60)+ABS(C60-E60))</f>
        <v>1</v>
      </c>
      <c r="R60" s="20" cm="1">
        <f t="array" ref="R60">PointMin3(ABS(B60-D60)+ABS(C60-E60),ABS(B60-H60)+ABS(C60-I60),ABS(B60-L60)+ABS(C60-M60),ABS(B60-H60)+ABS(C60-I60))</f>
        <v>1</v>
      </c>
      <c r="S60" s="20" cm="1">
        <f t="array" ref="S60">PointMin3(ABS(B60-D60)+ABS(C60-E60),ABS(B60-H60)+ABS(C60-I60),ABS(B60-L60)+ABS(C60-M60),ABS(B60-L60)+ABS(C60-M60))</f>
        <v>1</v>
      </c>
      <c r="T60" s="20">
        <v>1</v>
      </c>
    </row>
    <row r="61" spans="1:20" x14ac:dyDescent="0.3">
      <c r="A61" s="67">
        <f t="shared" si="4"/>
        <v>59</v>
      </c>
      <c r="B61" s="70">
        <v>-1</v>
      </c>
      <c r="C61" s="21">
        <v>-1</v>
      </c>
      <c r="D61" s="22">
        <v>-1</v>
      </c>
      <c r="E61" s="22">
        <v>-1</v>
      </c>
      <c r="F61" s="22" t="str">
        <f t="shared" si="0"/>
        <v>0 ± 0</v>
      </c>
      <c r="G61" s="22" t="str">
        <f t="shared" si="1"/>
        <v>0 ± 0</v>
      </c>
      <c r="H61" s="23">
        <v>-1</v>
      </c>
      <c r="I61" s="23">
        <v>-1</v>
      </c>
      <c r="J61" s="23" t="str">
        <f t="shared" si="2"/>
        <v>0 ± 0</v>
      </c>
      <c r="K61" s="23" t="str">
        <f t="shared" si="3"/>
        <v>0 ± 0</v>
      </c>
      <c r="L61" s="24">
        <v>-1</v>
      </c>
      <c r="M61" s="24">
        <v>-1</v>
      </c>
      <c r="N61" s="24" t="str">
        <f t="shared" si="5"/>
        <v>0 ± 0</v>
      </c>
      <c r="O61" s="24" t="str">
        <f t="shared" si="6"/>
        <v>0 ± 0</v>
      </c>
      <c r="Q61" s="20" cm="1">
        <f t="array" ref="Q61">PointMin3(ABS(B61-D61)+ABS(C61-E61),ABS(B61-H61)+ABS(C61-I61),ABS(B61-L61)+ABS(C61-M61),ABS(B61-D61)+ABS(C61-E61))</f>
        <v>1</v>
      </c>
      <c r="R61" s="20" cm="1">
        <f t="array" ref="R61">PointMin3(ABS(B61-D61)+ABS(C61-E61),ABS(B61-H61)+ABS(C61-I61),ABS(B61-L61)+ABS(C61-M61),ABS(B61-H61)+ABS(C61-I61))</f>
        <v>1</v>
      </c>
      <c r="S61" s="20" cm="1">
        <f t="array" ref="S61">PointMin3(ABS(B61-D61)+ABS(C61-E61),ABS(B61-H61)+ABS(C61-I61),ABS(B61-L61)+ABS(C61-M61),ABS(B61-L61)+ABS(C61-M61))</f>
        <v>1</v>
      </c>
      <c r="T61" s="20">
        <v>1</v>
      </c>
    </row>
    <row r="62" spans="1:20" x14ac:dyDescent="0.3">
      <c r="A62" s="67">
        <f t="shared" si="4"/>
        <v>60</v>
      </c>
      <c r="B62" s="70">
        <v>-1</v>
      </c>
      <c r="C62" s="21">
        <v>-1</v>
      </c>
      <c r="D62" s="22">
        <v>-1</v>
      </c>
      <c r="E62" s="22">
        <v>-1</v>
      </c>
      <c r="F62" s="22" t="str">
        <f t="shared" si="0"/>
        <v>0 ± 0</v>
      </c>
      <c r="G62" s="22" t="str">
        <f t="shared" si="1"/>
        <v>0 ± 0</v>
      </c>
      <c r="H62" s="23">
        <v>-1</v>
      </c>
      <c r="I62" s="23">
        <v>-1</v>
      </c>
      <c r="J62" s="23" t="str">
        <f t="shared" si="2"/>
        <v>0 ± 0</v>
      </c>
      <c r="K62" s="23" t="str">
        <f t="shared" si="3"/>
        <v>0 ± 0</v>
      </c>
      <c r="L62" s="24">
        <v>-1</v>
      </c>
      <c r="M62" s="24">
        <v>-1</v>
      </c>
      <c r="N62" s="24" t="str">
        <f t="shared" si="5"/>
        <v>0 ± 0</v>
      </c>
      <c r="O62" s="24" t="str">
        <f t="shared" si="6"/>
        <v>0 ± 0</v>
      </c>
      <c r="Q62" s="20" cm="1">
        <f t="array" ref="Q62">PointMin3(ABS(B62-D62)+ABS(C62-E62),ABS(B62-H62)+ABS(C62-I62),ABS(B62-L62)+ABS(C62-M62),ABS(B62-D62)+ABS(C62-E62))</f>
        <v>1</v>
      </c>
      <c r="R62" s="20" cm="1">
        <f t="array" ref="R62">PointMin3(ABS(B62-D62)+ABS(C62-E62),ABS(B62-H62)+ABS(C62-I62),ABS(B62-L62)+ABS(C62-M62),ABS(B62-H62)+ABS(C62-I62))</f>
        <v>1</v>
      </c>
      <c r="S62" s="20" cm="1">
        <f t="array" ref="S62">PointMin3(ABS(B62-D62)+ABS(C62-E62),ABS(B62-H62)+ABS(C62-I62),ABS(B62-L62)+ABS(C62-M62),ABS(B62-L62)+ABS(C62-M62))</f>
        <v>1</v>
      </c>
      <c r="T62" s="20">
        <v>1</v>
      </c>
    </row>
    <row r="63" spans="1:20" x14ac:dyDescent="0.3">
      <c r="A63" s="100">
        <f t="shared" si="4"/>
        <v>61</v>
      </c>
      <c r="B63" s="70">
        <f>[1]Кг_s12!D62</f>
        <v>1</v>
      </c>
      <c r="C63" s="21">
        <f>[1]Кг_s12!I62</f>
        <v>0</v>
      </c>
      <c r="D63" s="22">
        <f>[2]Кг_s12!B62</f>
        <v>1</v>
      </c>
      <c r="E63" s="22">
        <f>[2]Кг_s12!$C$2</f>
        <v>1E-3</v>
      </c>
      <c r="F63" s="22" t="str">
        <f t="shared" si="0"/>
        <v>0 ± 0,001</v>
      </c>
      <c r="G63" s="22" t="str">
        <f t="shared" si="1"/>
        <v>0 ± 0,1</v>
      </c>
      <c r="H63" s="23">
        <f>[3]Кг_s12!B62</f>
        <v>0.50026005499194071</v>
      </c>
      <c r="I63" s="23">
        <f>[3]Кг_s12!H62</f>
        <v>0.49807666950955204</v>
      </c>
      <c r="J63" s="23" t="str">
        <f t="shared" si="2"/>
        <v>0,5 ± 0,499</v>
      </c>
      <c r="K63" s="23" t="str">
        <f t="shared" si="3"/>
        <v>49,974 ± 49,808</v>
      </c>
      <c r="L63" s="24">
        <f>[4]Кг_s12!D62</f>
        <v>0.99356725146198832</v>
      </c>
      <c r="M63" s="24">
        <f>[4]Кг_s12!I62</f>
        <v>4.2561414950481793E-3</v>
      </c>
      <c r="N63" s="24" t="str">
        <f t="shared" si="5"/>
        <v>0,007 ± 0,005</v>
      </c>
      <c r="O63" s="24" t="str">
        <f t="shared" si="6"/>
        <v>0,644 ± 0,426</v>
      </c>
      <c r="Q63" s="20" cm="1">
        <f t="array" ref="Q63">PointMin3(ABS(B63-D63)+ABS(C63-E63),ABS(B63-H63)+ABS(C63-I63),ABS(B63-L63)+ABS(C63-M63),ABS(B63-D63)+ABS(C63-E63))</f>
        <v>3</v>
      </c>
      <c r="R63" s="20" cm="1">
        <f t="array" ref="R63">PointMin3(ABS(B63-D63)+ABS(C63-E63),ABS(B63-H63)+ABS(C63-I63),ABS(B63-L63)+ABS(C63-M63),ABS(B63-H63)+ABS(C63-I63))</f>
        <v>1</v>
      </c>
      <c r="S63" s="20" cm="1">
        <f t="array" ref="S63">PointMin3(ABS(B63-D63)+ABS(C63-E63),ABS(B63-H63)+ABS(C63-I63),ABS(B63-L63)+ABS(C63-M63),ABS(B63-L63)+ABS(C63-M63))</f>
        <v>2</v>
      </c>
      <c r="T63" s="20">
        <v>4</v>
      </c>
    </row>
    <row r="64" spans="1:20" x14ac:dyDescent="0.3">
      <c r="A64" s="98">
        <f t="shared" si="4"/>
        <v>62</v>
      </c>
      <c r="B64" s="70">
        <v>-1</v>
      </c>
      <c r="C64" s="21">
        <v>-1</v>
      </c>
      <c r="D64" s="22">
        <v>-1</v>
      </c>
      <c r="E64" s="22">
        <v>-1</v>
      </c>
      <c r="F64" s="22" t="str">
        <f t="shared" si="0"/>
        <v>0 ± 0</v>
      </c>
      <c r="G64" s="22" t="str">
        <f t="shared" si="1"/>
        <v>0 ± 0</v>
      </c>
      <c r="H64" s="23">
        <v>-1</v>
      </c>
      <c r="I64" s="23">
        <v>-1</v>
      </c>
      <c r="J64" s="23" t="str">
        <f t="shared" si="2"/>
        <v>0 ± 0</v>
      </c>
      <c r="K64" s="23" t="str">
        <f t="shared" si="3"/>
        <v>0 ± 0</v>
      </c>
      <c r="L64" s="24">
        <v>-1</v>
      </c>
      <c r="M64" s="24">
        <v>-1</v>
      </c>
      <c r="N64" s="24" t="str">
        <f t="shared" si="5"/>
        <v>0 ± 0</v>
      </c>
      <c r="O64" s="24" t="str">
        <f t="shared" si="6"/>
        <v>0 ± 0</v>
      </c>
      <c r="Q64" s="20" cm="1">
        <f t="array" ref="Q64">PointMin3(ABS(B64-D64)+ABS(C64-E64),ABS(B64-H64)+ABS(C64-I64),ABS(B64-L64)+ABS(C64-M64),ABS(B64-D64)+ABS(C64-E64))</f>
        <v>1</v>
      </c>
      <c r="R64" s="20" cm="1">
        <f t="array" ref="R64">PointMin3(ABS(B64-D64)+ABS(C64-E64),ABS(B64-H64)+ABS(C64-I64),ABS(B64-L64)+ABS(C64-M64),ABS(B64-H64)+ABS(C64-I64))</f>
        <v>1</v>
      </c>
      <c r="S64" s="20" cm="1">
        <f t="array" ref="S64">PointMin3(ABS(B64-D64)+ABS(C64-E64),ABS(B64-H64)+ABS(C64-I64),ABS(B64-L64)+ABS(C64-M64),ABS(B64-L64)+ABS(C64-M64))</f>
        <v>1</v>
      </c>
      <c r="T64" s="20">
        <v>1</v>
      </c>
    </row>
    <row r="65" spans="1:20" x14ac:dyDescent="0.3">
      <c r="A65" s="98">
        <f t="shared" si="4"/>
        <v>63</v>
      </c>
      <c r="B65" s="70">
        <v>-1</v>
      </c>
      <c r="C65" s="21">
        <v>-1</v>
      </c>
      <c r="D65" s="22">
        <v>-1</v>
      </c>
      <c r="E65" s="22">
        <v>-1</v>
      </c>
      <c r="F65" s="22" t="str">
        <f t="shared" si="0"/>
        <v>0 ± 0</v>
      </c>
      <c r="G65" s="22" t="str">
        <f t="shared" si="1"/>
        <v>0 ± 0</v>
      </c>
      <c r="H65" s="23">
        <v>-1</v>
      </c>
      <c r="I65" s="23">
        <v>-1</v>
      </c>
      <c r="J65" s="23" t="str">
        <f t="shared" si="2"/>
        <v>0 ± 0</v>
      </c>
      <c r="K65" s="23" t="str">
        <f t="shared" si="3"/>
        <v>0 ± 0</v>
      </c>
      <c r="L65" s="24">
        <v>-1</v>
      </c>
      <c r="M65" s="24">
        <v>-1</v>
      </c>
      <c r="N65" s="24" t="str">
        <f t="shared" si="5"/>
        <v>0 ± 0</v>
      </c>
      <c r="O65" s="24" t="str">
        <f t="shared" si="6"/>
        <v>0 ± 0</v>
      </c>
      <c r="Q65" s="20" cm="1">
        <f t="array" ref="Q65">PointMin3(ABS(B65-D65)+ABS(C65-E65),ABS(B65-H65)+ABS(C65-I65),ABS(B65-L65)+ABS(C65-M65),ABS(B65-D65)+ABS(C65-E65))</f>
        <v>1</v>
      </c>
      <c r="R65" s="20" cm="1">
        <f t="array" ref="R65">PointMin3(ABS(B65-D65)+ABS(C65-E65),ABS(B65-H65)+ABS(C65-I65),ABS(B65-L65)+ABS(C65-M65),ABS(B65-H65)+ABS(C65-I65))</f>
        <v>1</v>
      </c>
      <c r="S65" s="20" cm="1">
        <f t="array" ref="S65">PointMin3(ABS(B65-D65)+ABS(C65-E65),ABS(B65-H65)+ABS(C65-I65),ABS(B65-L65)+ABS(C65-M65),ABS(B65-L65)+ABS(C65-M65))</f>
        <v>1</v>
      </c>
      <c r="T65" s="20">
        <v>1</v>
      </c>
    </row>
    <row r="66" spans="1:20" x14ac:dyDescent="0.3">
      <c r="A66" s="98">
        <f t="shared" si="4"/>
        <v>64</v>
      </c>
      <c r="B66" s="70">
        <v>-1</v>
      </c>
      <c r="C66" s="21">
        <v>-1</v>
      </c>
      <c r="D66" s="22">
        <v>-1</v>
      </c>
      <c r="E66" s="22">
        <v>-1</v>
      </c>
      <c r="F66" s="22" t="str">
        <f t="shared" si="0"/>
        <v>0 ± 0</v>
      </c>
      <c r="G66" s="22" t="str">
        <f t="shared" si="1"/>
        <v>0 ± 0</v>
      </c>
      <c r="H66" s="23">
        <v>-1</v>
      </c>
      <c r="I66" s="23">
        <v>-1</v>
      </c>
      <c r="J66" s="23" t="str">
        <f t="shared" si="2"/>
        <v>0 ± 0</v>
      </c>
      <c r="K66" s="23" t="str">
        <f t="shared" si="3"/>
        <v>0 ± 0</v>
      </c>
      <c r="L66" s="24">
        <v>-1</v>
      </c>
      <c r="M66" s="24">
        <v>-1</v>
      </c>
      <c r="N66" s="24" t="str">
        <f t="shared" si="5"/>
        <v>0 ± 0</v>
      </c>
      <c r="O66" s="24" t="str">
        <f t="shared" si="6"/>
        <v>0 ± 0</v>
      </c>
      <c r="Q66" s="20" cm="1">
        <f t="array" ref="Q66">PointMin3(ABS(B66-D66)+ABS(C66-E66),ABS(B66-H66)+ABS(C66-I66),ABS(B66-L66)+ABS(C66-M66),ABS(B66-D66)+ABS(C66-E66))</f>
        <v>1</v>
      </c>
      <c r="R66" s="20" cm="1">
        <f t="array" ref="R66">PointMin3(ABS(B66-D66)+ABS(C66-E66),ABS(B66-H66)+ABS(C66-I66),ABS(B66-L66)+ABS(C66-M66),ABS(B66-H66)+ABS(C66-I66))</f>
        <v>1</v>
      </c>
      <c r="S66" s="20" cm="1">
        <f t="array" ref="S66">PointMin3(ABS(B66-D66)+ABS(C66-E66),ABS(B66-H66)+ABS(C66-I66),ABS(B66-L66)+ABS(C66-M66),ABS(B66-L66)+ABS(C66-M66))</f>
        <v>1</v>
      </c>
      <c r="T66" s="20">
        <v>1</v>
      </c>
    </row>
    <row r="67" spans="1:20" x14ac:dyDescent="0.3">
      <c r="A67" s="98">
        <f t="shared" si="4"/>
        <v>65</v>
      </c>
      <c r="B67" s="70">
        <v>-1</v>
      </c>
      <c r="C67" s="21">
        <v>-1</v>
      </c>
      <c r="D67" s="22">
        <v>-1</v>
      </c>
      <c r="E67" s="22">
        <v>-1</v>
      </c>
      <c r="F67" s="22" t="str">
        <f t="shared" si="0"/>
        <v>0 ± 0</v>
      </c>
      <c r="G67" s="22" t="str">
        <f t="shared" si="1"/>
        <v>0 ± 0</v>
      </c>
      <c r="H67" s="23">
        <v>-1</v>
      </c>
      <c r="I67" s="23">
        <v>-1</v>
      </c>
      <c r="J67" s="23" t="str">
        <f t="shared" si="2"/>
        <v>0 ± 0</v>
      </c>
      <c r="K67" s="23" t="str">
        <f t="shared" si="3"/>
        <v>0 ± 0</v>
      </c>
      <c r="L67" s="24">
        <v>-1</v>
      </c>
      <c r="M67" s="24">
        <v>-1</v>
      </c>
      <c r="N67" s="24" t="str">
        <f t="shared" si="5"/>
        <v>0 ± 0</v>
      </c>
      <c r="O67" s="24" t="str">
        <f t="shared" si="6"/>
        <v>0 ± 0</v>
      </c>
      <c r="Q67" s="20" cm="1">
        <f t="array" ref="Q67">PointMin3(ABS(B67-D67)+ABS(C67-E67),ABS(B67-H67)+ABS(C67-I67),ABS(B67-L67)+ABS(C67-M67),ABS(B67-D67)+ABS(C67-E67))</f>
        <v>1</v>
      </c>
      <c r="R67" s="20" cm="1">
        <f t="array" ref="R67">PointMin3(ABS(B67-D67)+ABS(C67-E67),ABS(B67-H67)+ABS(C67-I67),ABS(B67-L67)+ABS(C67-M67),ABS(B67-H67)+ABS(C67-I67))</f>
        <v>1</v>
      </c>
      <c r="S67" s="20" cm="1">
        <f t="array" ref="S67">PointMin3(ABS(B67-D67)+ABS(C67-E67),ABS(B67-H67)+ABS(C67-I67),ABS(B67-L67)+ABS(C67-M67),ABS(B67-L67)+ABS(C67-M67))</f>
        <v>1</v>
      </c>
      <c r="T67" s="20">
        <v>1</v>
      </c>
    </row>
    <row r="68" spans="1:20" x14ac:dyDescent="0.3">
      <c r="A68" s="99">
        <f t="shared" si="4"/>
        <v>66</v>
      </c>
      <c r="B68" s="70">
        <f>[1]Кг_s12!D67</f>
        <v>1</v>
      </c>
      <c r="C68" s="21">
        <f>[1]Кг_s12!I67</f>
        <v>0</v>
      </c>
      <c r="D68" s="22">
        <f>[2]Кг_s12!B67</f>
        <v>1</v>
      </c>
      <c r="E68" s="22">
        <f>[2]Кг_s12!$C$2</f>
        <v>1E-3</v>
      </c>
      <c r="F68" s="22" t="str">
        <f t="shared" ref="F68:F88" si="7">ROUNDUP(ABS(B68-D68),3) &amp; " ± " &amp; ROUNDUP(ABS(C68-E68),3)</f>
        <v>0 ± 0,001</v>
      </c>
      <c r="G68" s="22" t="str">
        <f t="shared" ref="G68:G88" si="8">ROUNDUP(ABS(B68-D68)/B68*100,3) &amp; " ± " &amp; ROUNDUP(ABS(C68-E68)/B68*100,3)</f>
        <v>0 ± 0,1</v>
      </c>
      <c r="H68" s="23">
        <f>[3]Кг_s12!B67</f>
        <v>0.50014845686696907</v>
      </c>
      <c r="I68" s="23">
        <f>[3]Кг_s12!H67</f>
        <v>0.49890169305317178</v>
      </c>
      <c r="J68" s="23" t="str">
        <f t="shared" ref="J68:J88" si="9">ROUNDUP(ABS(B68-H68),3) &amp; " ± " &amp; ROUNDUP(ABS(C68-I68),3)</f>
        <v>0,5 ± 0,499</v>
      </c>
      <c r="K68" s="23" t="str">
        <f t="shared" ref="K68:K88" si="10">ROUNDUP(ABS(B68-H68)/B68*100,3) &amp; " ± " &amp; ROUNDUP(ABS(C68-I68)/B68*100,3)</f>
        <v>49,986 ± 49,891</v>
      </c>
      <c r="L68" s="24">
        <f>[4]Кг_s12!D67</f>
        <v>0.98245614035087714</v>
      </c>
      <c r="M68" s="24">
        <f>[4]Кг_s12!I67</f>
        <v>7.2055927981490931E-3</v>
      </c>
      <c r="N68" s="24" t="str">
        <f t="shared" si="5"/>
        <v>0,018 ± 0,008</v>
      </c>
      <c r="O68" s="24" t="str">
        <f t="shared" si="6"/>
        <v>1,755 ± 0,721</v>
      </c>
      <c r="Q68" s="20" cm="1">
        <f t="array" ref="Q68">PointMin3(ABS(B68-D68)+ABS(C68-E68),ABS(B68-H68)+ABS(C68-I68),ABS(B68-L68)+ABS(C68-M68),ABS(B68-D68)+ABS(C68-E68))</f>
        <v>3</v>
      </c>
      <c r="R68" s="20" cm="1">
        <f t="array" ref="R68">PointMin3(ABS(B68-D68)+ABS(C68-E68),ABS(B68-H68)+ABS(C68-I68),ABS(B68-L68)+ABS(C68-M68),ABS(B68-H68)+ABS(C68-I68))</f>
        <v>1</v>
      </c>
      <c r="S68" s="20" cm="1">
        <f t="array" ref="S68">PointMin3(ABS(B68-D68)+ABS(C68-E68),ABS(B68-H68)+ABS(C68-I68),ABS(B68-L68)+ABS(C68-M68),ABS(B68-L68)+ABS(C68-M68))</f>
        <v>2</v>
      </c>
      <c r="T68" s="20">
        <v>4</v>
      </c>
    </row>
    <row r="69" spans="1:20" x14ac:dyDescent="0.3">
      <c r="A69" s="98">
        <f t="shared" ref="A69:A78" si="11">A68+1</f>
        <v>67</v>
      </c>
      <c r="B69" s="70">
        <v>-1</v>
      </c>
      <c r="C69" s="21">
        <v>-1</v>
      </c>
      <c r="D69" s="22">
        <v>-1</v>
      </c>
      <c r="E69" s="22">
        <v>-1</v>
      </c>
      <c r="F69" s="22" t="str">
        <f t="shared" si="7"/>
        <v>0 ± 0</v>
      </c>
      <c r="G69" s="22" t="str">
        <f t="shared" si="8"/>
        <v>0 ± 0</v>
      </c>
      <c r="H69" s="23">
        <v>-1</v>
      </c>
      <c r="I69" s="23">
        <v>-1</v>
      </c>
      <c r="J69" s="23" t="str">
        <f t="shared" si="9"/>
        <v>0 ± 0</v>
      </c>
      <c r="K69" s="23" t="str">
        <f t="shared" si="10"/>
        <v>0 ± 0</v>
      </c>
      <c r="L69" s="24">
        <v>-1</v>
      </c>
      <c r="M69" s="24">
        <v>-1</v>
      </c>
      <c r="N69" s="24" t="str">
        <f t="shared" ref="N69:N88" si="12">ROUNDUP(ABS(B69-L69),3) &amp; " ± " &amp; ROUNDUP(ABS(C69-M69),3)</f>
        <v>0 ± 0</v>
      </c>
      <c r="O69" s="24" t="str">
        <f t="shared" ref="O69:O88" si="13">ROUNDUP(ABS(B69-L69)/B69*100,3) &amp; " ± " &amp; ROUNDUP(ABS(C69-M69)/B69*100,3)</f>
        <v>0 ± 0</v>
      </c>
      <c r="Q69" s="20" cm="1">
        <f t="array" ref="Q69">PointMin3(ABS(B69-D69)+ABS(C69-E69),ABS(B69-H69)+ABS(C69-I69),ABS(B69-L69)+ABS(C69-M69),ABS(B69-D69)+ABS(C69-E69))</f>
        <v>1</v>
      </c>
      <c r="R69" s="20" cm="1">
        <f t="array" ref="R69">PointMin3(ABS(B69-D69)+ABS(C69-E69),ABS(B69-H69)+ABS(C69-I69),ABS(B69-L69)+ABS(C69-M69),ABS(B69-H69)+ABS(C69-I69))</f>
        <v>1</v>
      </c>
      <c r="S69" s="20" cm="1">
        <f t="array" ref="S69">PointMin3(ABS(B69-D69)+ABS(C69-E69),ABS(B69-H69)+ABS(C69-I69),ABS(B69-L69)+ABS(C69-M69),ABS(B69-L69)+ABS(C69-M69))</f>
        <v>1</v>
      </c>
      <c r="T69" s="20">
        <v>1</v>
      </c>
    </row>
    <row r="70" spans="1:20" x14ac:dyDescent="0.3">
      <c r="A70" s="98">
        <f t="shared" si="11"/>
        <v>68</v>
      </c>
      <c r="B70" s="70">
        <v>-1</v>
      </c>
      <c r="C70" s="21">
        <v>-1</v>
      </c>
      <c r="D70" s="22">
        <v>-1</v>
      </c>
      <c r="E70" s="22">
        <v>-1</v>
      </c>
      <c r="F70" s="22" t="str">
        <f t="shared" si="7"/>
        <v>0 ± 0</v>
      </c>
      <c r="G70" s="22" t="str">
        <f t="shared" si="8"/>
        <v>0 ± 0</v>
      </c>
      <c r="H70" s="23">
        <v>-1</v>
      </c>
      <c r="I70" s="23">
        <v>-1</v>
      </c>
      <c r="J70" s="23" t="str">
        <f t="shared" si="9"/>
        <v>0 ± 0</v>
      </c>
      <c r="K70" s="23" t="str">
        <f t="shared" si="10"/>
        <v>0 ± 0</v>
      </c>
      <c r="L70" s="24">
        <v>-1</v>
      </c>
      <c r="M70" s="24">
        <v>-1</v>
      </c>
      <c r="N70" s="24" t="str">
        <f t="shared" si="12"/>
        <v>0 ± 0</v>
      </c>
      <c r="O70" s="24" t="str">
        <f t="shared" si="13"/>
        <v>0 ± 0</v>
      </c>
      <c r="Q70" s="20" cm="1">
        <f t="array" ref="Q70">PointMin3(ABS(B70-D70)+ABS(C70-E70),ABS(B70-H70)+ABS(C70-I70),ABS(B70-L70)+ABS(C70-M70),ABS(B70-D70)+ABS(C70-E70))</f>
        <v>1</v>
      </c>
      <c r="R70" s="20" cm="1">
        <f t="array" ref="R70">PointMin3(ABS(B70-D70)+ABS(C70-E70),ABS(B70-H70)+ABS(C70-I70),ABS(B70-L70)+ABS(C70-M70),ABS(B70-H70)+ABS(C70-I70))</f>
        <v>1</v>
      </c>
      <c r="S70" s="20" cm="1">
        <f t="array" ref="S70">PointMin3(ABS(B70-D70)+ABS(C70-E70),ABS(B70-H70)+ABS(C70-I70),ABS(B70-L70)+ABS(C70-M70),ABS(B70-L70)+ABS(C70-M70))</f>
        <v>1</v>
      </c>
      <c r="T70" s="20">
        <v>1</v>
      </c>
    </row>
    <row r="71" spans="1:20" x14ac:dyDescent="0.3">
      <c r="A71" s="98">
        <f t="shared" si="11"/>
        <v>69</v>
      </c>
      <c r="B71" s="70">
        <v>-1</v>
      </c>
      <c r="C71" s="21">
        <v>-1</v>
      </c>
      <c r="D71" s="22">
        <v>-1</v>
      </c>
      <c r="E71" s="22">
        <v>-1</v>
      </c>
      <c r="F71" s="22" t="str">
        <f t="shared" si="7"/>
        <v>0 ± 0</v>
      </c>
      <c r="G71" s="22" t="str">
        <f t="shared" si="8"/>
        <v>0 ± 0</v>
      </c>
      <c r="H71" s="23">
        <v>-1</v>
      </c>
      <c r="I71" s="23">
        <v>-1</v>
      </c>
      <c r="J71" s="23" t="str">
        <f t="shared" si="9"/>
        <v>0 ± 0</v>
      </c>
      <c r="K71" s="23" t="str">
        <f t="shared" si="10"/>
        <v>0 ± 0</v>
      </c>
      <c r="L71" s="24">
        <v>-1</v>
      </c>
      <c r="M71" s="24">
        <v>-1</v>
      </c>
      <c r="N71" s="24" t="str">
        <f t="shared" si="12"/>
        <v>0 ± 0</v>
      </c>
      <c r="O71" s="24" t="str">
        <f t="shared" si="13"/>
        <v>0 ± 0</v>
      </c>
      <c r="Q71" s="20" cm="1">
        <f t="array" ref="Q71">PointMin3(ABS(B71-D71)+ABS(C71-E71),ABS(B71-H71)+ABS(C71-I71),ABS(B71-L71)+ABS(C71-M71),ABS(B71-D71)+ABS(C71-E71))</f>
        <v>1</v>
      </c>
      <c r="R71" s="20" cm="1">
        <f t="array" ref="R71">PointMin3(ABS(B71-D71)+ABS(C71-E71),ABS(B71-H71)+ABS(C71-I71),ABS(B71-L71)+ABS(C71-M71),ABS(B71-H71)+ABS(C71-I71))</f>
        <v>1</v>
      </c>
      <c r="S71" s="20" cm="1">
        <f t="array" ref="S71">PointMin3(ABS(B71-D71)+ABS(C71-E71),ABS(B71-H71)+ABS(C71-I71),ABS(B71-L71)+ABS(C71-M71),ABS(B71-L71)+ABS(C71-M71))</f>
        <v>1</v>
      </c>
      <c r="T71" s="20">
        <v>1</v>
      </c>
    </row>
    <row r="72" spans="1:20" x14ac:dyDescent="0.3">
      <c r="A72" s="98">
        <f t="shared" si="11"/>
        <v>70</v>
      </c>
      <c r="B72" s="70">
        <v>-1</v>
      </c>
      <c r="C72" s="21">
        <v>-1</v>
      </c>
      <c r="D72" s="22">
        <v>-1</v>
      </c>
      <c r="E72" s="22">
        <v>-1</v>
      </c>
      <c r="F72" s="22" t="str">
        <f t="shared" si="7"/>
        <v>0 ± 0</v>
      </c>
      <c r="G72" s="22" t="str">
        <f t="shared" si="8"/>
        <v>0 ± 0</v>
      </c>
      <c r="H72" s="23">
        <v>-1</v>
      </c>
      <c r="I72" s="23">
        <v>-1</v>
      </c>
      <c r="J72" s="23" t="str">
        <f t="shared" si="9"/>
        <v>0 ± 0</v>
      </c>
      <c r="K72" s="23" t="str">
        <f t="shared" si="10"/>
        <v>0 ± 0</v>
      </c>
      <c r="L72" s="24">
        <v>-1</v>
      </c>
      <c r="M72" s="24">
        <v>-1</v>
      </c>
      <c r="N72" s="24" t="str">
        <f t="shared" si="12"/>
        <v>0 ± 0</v>
      </c>
      <c r="O72" s="24" t="str">
        <f t="shared" si="13"/>
        <v>0 ± 0</v>
      </c>
      <c r="Q72" s="20" cm="1">
        <f t="array" ref="Q72">PointMin3(ABS(B72-D72)+ABS(C72-E72),ABS(B72-H72)+ABS(C72-I72),ABS(B72-L72)+ABS(C72-M72),ABS(B72-D72)+ABS(C72-E72))</f>
        <v>1</v>
      </c>
      <c r="R72" s="20" cm="1">
        <f t="array" ref="R72">PointMin3(ABS(B72-D72)+ABS(C72-E72),ABS(B72-H72)+ABS(C72-I72),ABS(B72-L72)+ABS(C72-M72),ABS(B72-H72)+ABS(C72-I72))</f>
        <v>1</v>
      </c>
      <c r="S72" s="20" cm="1">
        <f t="array" ref="S72">PointMin3(ABS(B72-D72)+ABS(C72-E72),ABS(B72-H72)+ABS(C72-I72),ABS(B72-L72)+ABS(C72-M72),ABS(B72-L72)+ABS(C72-M72))</f>
        <v>1</v>
      </c>
      <c r="T72" s="20">
        <v>1</v>
      </c>
    </row>
    <row r="73" spans="1:20" x14ac:dyDescent="0.3">
      <c r="A73" s="99">
        <f t="shared" si="11"/>
        <v>71</v>
      </c>
      <c r="B73" s="70">
        <f>[1]Кг_s12!D72</f>
        <v>1</v>
      </c>
      <c r="C73" s="21">
        <f>[1]Кг_s12!I72</f>
        <v>0</v>
      </c>
      <c r="D73" s="22">
        <f>[2]Кг_s12!B72</f>
        <v>1</v>
      </c>
      <c r="E73" s="22">
        <f>[2]Кг_s12!$C$2</f>
        <v>1E-3</v>
      </c>
      <c r="F73" s="22" t="str">
        <f t="shared" si="7"/>
        <v>0 ± 0,001</v>
      </c>
      <c r="G73" s="22" t="str">
        <f t="shared" si="8"/>
        <v>0 ± 0,1</v>
      </c>
      <c r="H73" s="23">
        <f>[3]Кг_s12!B72</f>
        <v>0.50013224304022064</v>
      </c>
      <c r="I73" s="23">
        <f>[3]Кг_s12!H72</f>
        <v>0.49902160145822383</v>
      </c>
      <c r="J73" s="23" t="str">
        <f t="shared" si="9"/>
        <v>0,5 ± 0,5</v>
      </c>
      <c r="K73" s="23" t="str">
        <f t="shared" si="10"/>
        <v>49,987 ± 49,903</v>
      </c>
      <c r="L73" s="24">
        <f>[4]Кг_s12!D72</f>
        <v>0.98654970760233918</v>
      </c>
      <c r="M73" s="24">
        <f>[4]Кг_s12!I72</f>
        <v>6.5733843900553394E-3</v>
      </c>
      <c r="N73" s="24" t="str">
        <f t="shared" si="12"/>
        <v>0,014 ± 0,007</v>
      </c>
      <c r="O73" s="24" t="str">
        <f t="shared" si="13"/>
        <v>1,346 ± 0,658</v>
      </c>
      <c r="Q73" s="20" cm="1">
        <f t="array" ref="Q73">PointMin3(ABS(B73-D73)+ABS(C73-E73),ABS(B73-H73)+ABS(C73-I73),ABS(B73-L73)+ABS(C73-M73),ABS(B73-D73)+ABS(C73-E73))</f>
        <v>3</v>
      </c>
      <c r="R73" s="20" cm="1">
        <f t="array" ref="R73">PointMin3(ABS(B73-D73)+ABS(C73-E73),ABS(B73-H73)+ABS(C73-I73),ABS(B73-L73)+ABS(C73-M73),ABS(B73-H73)+ABS(C73-I73))</f>
        <v>1</v>
      </c>
      <c r="S73" s="20" cm="1">
        <f t="array" ref="S73">PointMin3(ABS(B73-D73)+ABS(C73-E73),ABS(B73-H73)+ABS(C73-I73),ABS(B73-L73)+ABS(C73-M73),ABS(B73-L73)+ABS(C73-M73))</f>
        <v>2</v>
      </c>
      <c r="T73" s="20">
        <v>4</v>
      </c>
    </row>
    <row r="74" spans="1:20" x14ac:dyDescent="0.3">
      <c r="A74" s="98">
        <f t="shared" si="11"/>
        <v>72</v>
      </c>
      <c r="B74" s="70">
        <v>-1</v>
      </c>
      <c r="C74" s="21">
        <v>-1</v>
      </c>
      <c r="D74" s="22">
        <v>-1</v>
      </c>
      <c r="E74" s="22">
        <v>-1</v>
      </c>
      <c r="F74" s="22" t="str">
        <f t="shared" si="7"/>
        <v>0 ± 0</v>
      </c>
      <c r="G74" s="22" t="str">
        <f t="shared" si="8"/>
        <v>0 ± 0</v>
      </c>
      <c r="H74" s="23">
        <v>-1</v>
      </c>
      <c r="I74" s="23">
        <v>-1</v>
      </c>
      <c r="J74" s="23" t="str">
        <f t="shared" si="9"/>
        <v>0 ± 0</v>
      </c>
      <c r="K74" s="23" t="str">
        <f t="shared" si="10"/>
        <v>0 ± 0</v>
      </c>
      <c r="L74" s="24">
        <v>-1</v>
      </c>
      <c r="M74" s="24">
        <v>-1</v>
      </c>
      <c r="N74" s="24" t="str">
        <f t="shared" si="12"/>
        <v>0 ± 0</v>
      </c>
      <c r="O74" s="24" t="str">
        <f t="shared" si="13"/>
        <v>0 ± 0</v>
      </c>
      <c r="Q74" s="20" cm="1">
        <f t="array" ref="Q74">PointMin3(ABS(B74-D74)+ABS(C74-E74),ABS(B74-H74)+ABS(C74-I74),ABS(B74-L74)+ABS(C74-M74),ABS(B74-D74)+ABS(C74-E74))</f>
        <v>1</v>
      </c>
      <c r="R74" s="20" cm="1">
        <f t="array" ref="R74">PointMin3(ABS(B74-D74)+ABS(C74-E74),ABS(B74-H74)+ABS(C74-I74),ABS(B74-L74)+ABS(C74-M74),ABS(B74-H74)+ABS(C74-I74))</f>
        <v>1</v>
      </c>
      <c r="S74" s="20" cm="1">
        <f t="array" ref="S74">PointMin3(ABS(B74-D74)+ABS(C74-E74),ABS(B74-H74)+ABS(C74-I74),ABS(B74-L74)+ABS(C74-M74),ABS(B74-L74)+ABS(C74-M74))</f>
        <v>1</v>
      </c>
      <c r="T74" s="20">
        <v>1</v>
      </c>
    </row>
    <row r="75" spans="1:20" x14ac:dyDescent="0.3">
      <c r="A75" s="98">
        <f t="shared" si="11"/>
        <v>73</v>
      </c>
      <c r="B75" s="70">
        <v>-1</v>
      </c>
      <c r="C75" s="21">
        <v>-1</v>
      </c>
      <c r="D75" s="22">
        <v>-1</v>
      </c>
      <c r="E75" s="22">
        <v>-1</v>
      </c>
      <c r="F75" s="22" t="str">
        <f t="shared" si="7"/>
        <v>0 ± 0</v>
      </c>
      <c r="G75" s="22" t="str">
        <f t="shared" si="8"/>
        <v>0 ± 0</v>
      </c>
      <c r="H75" s="23">
        <v>-1</v>
      </c>
      <c r="I75" s="23">
        <v>-1</v>
      </c>
      <c r="J75" s="23" t="str">
        <f t="shared" si="9"/>
        <v>0 ± 0</v>
      </c>
      <c r="K75" s="23" t="str">
        <f t="shared" si="10"/>
        <v>0 ± 0</v>
      </c>
      <c r="L75" s="24">
        <v>-1</v>
      </c>
      <c r="M75" s="24">
        <v>-1</v>
      </c>
      <c r="N75" s="24" t="str">
        <f t="shared" si="12"/>
        <v>0 ± 0</v>
      </c>
      <c r="O75" s="24" t="str">
        <f t="shared" si="13"/>
        <v>0 ± 0</v>
      </c>
      <c r="Q75" s="20" cm="1">
        <f t="array" ref="Q75">PointMin3(ABS(B75-D75)+ABS(C75-E75),ABS(B75-H75)+ABS(C75-I75),ABS(B75-L75)+ABS(C75-M75),ABS(B75-D75)+ABS(C75-E75))</f>
        <v>1</v>
      </c>
      <c r="R75" s="20" cm="1">
        <f t="array" ref="R75">PointMin3(ABS(B75-D75)+ABS(C75-E75),ABS(B75-H75)+ABS(C75-I75),ABS(B75-L75)+ABS(C75-M75),ABS(B75-H75)+ABS(C75-I75))</f>
        <v>1</v>
      </c>
      <c r="S75" s="20" cm="1">
        <f t="array" ref="S75">PointMin3(ABS(B75-D75)+ABS(C75-E75),ABS(B75-H75)+ABS(C75-I75),ABS(B75-L75)+ABS(C75-M75),ABS(B75-L75)+ABS(C75-M75))</f>
        <v>1</v>
      </c>
      <c r="T75" s="20">
        <v>1</v>
      </c>
    </row>
    <row r="76" spans="1:20" x14ac:dyDescent="0.3">
      <c r="A76" s="98">
        <f t="shared" si="11"/>
        <v>74</v>
      </c>
      <c r="B76" s="70">
        <v>-1</v>
      </c>
      <c r="C76" s="21">
        <v>-1</v>
      </c>
      <c r="D76" s="22">
        <v>-1</v>
      </c>
      <c r="E76" s="22">
        <v>-1</v>
      </c>
      <c r="F76" s="22" t="str">
        <f t="shared" si="7"/>
        <v>0 ± 0</v>
      </c>
      <c r="G76" s="22" t="str">
        <f t="shared" si="8"/>
        <v>0 ± 0</v>
      </c>
      <c r="H76" s="23">
        <v>-1</v>
      </c>
      <c r="I76" s="23">
        <v>-1</v>
      </c>
      <c r="J76" s="23" t="str">
        <f t="shared" si="9"/>
        <v>0 ± 0</v>
      </c>
      <c r="K76" s="23" t="str">
        <f t="shared" si="10"/>
        <v>0 ± 0</v>
      </c>
      <c r="L76" s="24">
        <v>-1</v>
      </c>
      <c r="M76" s="24">
        <v>-1</v>
      </c>
      <c r="N76" s="24" t="str">
        <f t="shared" si="12"/>
        <v>0 ± 0</v>
      </c>
      <c r="O76" s="24" t="str">
        <f t="shared" si="13"/>
        <v>0 ± 0</v>
      </c>
      <c r="Q76" s="20" cm="1">
        <f t="array" ref="Q76">PointMin3(ABS(B76-D76)+ABS(C76-E76),ABS(B76-H76)+ABS(C76-I76),ABS(B76-L76)+ABS(C76-M76),ABS(B76-D76)+ABS(C76-E76))</f>
        <v>1</v>
      </c>
      <c r="R76" s="20" cm="1">
        <f t="array" ref="R76">PointMin3(ABS(B76-D76)+ABS(C76-E76),ABS(B76-H76)+ABS(C76-I76),ABS(B76-L76)+ABS(C76-M76),ABS(B76-H76)+ABS(C76-I76))</f>
        <v>1</v>
      </c>
      <c r="S76" s="20" cm="1">
        <f t="array" ref="S76">PointMin3(ABS(B76-D76)+ABS(C76-E76),ABS(B76-H76)+ABS(C76-I76),ABS(B76-L76)+ABS(C76-M76),ABS(B76-L76)+ABS(C76-M76))</f>
        <v>1</v>
      </c>
      <c r="T76" s="20">
        <v>1</v>
      </c>
    </row>
    <row r="77" spans="1:20" x14ac:dyDescent="0.3">
      <c r="A77" s="98">
        <f t="shared" si="11"/>
        <v>75</v>
      </c>
      <c r="B77" s="70">
        <v>-1</v>
      </c>
      <c r="C77" s="21">
        <v>-1</v>
      </c>
      <c r="D77" s="22">
        <v>-1</v>
      </c>
      <c r="E77" s="22">
        <v>-1</v>
      </c>
      <c r="F77" s="22" t="str">
        <f t="shared" si="7"/>
        <v>0 ± 0</v>
      </c>
      <c r="G77" s="22" t="str">
        <f t="shared" si="8"/>
        <v>0 ± 0</v>
      </c>
      <c r="H77" s="23">
        <v>-1</v>
      </c>
      <c r="I77" s="23">
        <v>-1</v>
      </c>
      <c r="J77" s="23" t="str">
        <f t="shared" si="9"/>
        <v>0 ± 0</v>
      </c>
      <c r="K77" s="23" t="str">
        <f t="shared" si="10"/>
        <v>0 ± 0</v>
      </c>
      <c r="L77" s="24">
        <v>-1</v>
      </c>
      <c r="M77" s="24">
        <v>-1</v>
      </c>
      <c r="N77" s="24" t="str">
        <f t="shared" si="12"/>
        <v>0 ± 0</v>
      </c>
      <c r="O77" s="24" t="str">
        <f t="shared" si="13"/>
        <v>0 ± 0</v>
      </c>
      <c r="Q77" s="20" cm="1">
        <f t="array" ref="Q77">PointMin3(ABS(B77-D77)+ABS(C77-E77),ABS(B77-H77)+ABS(C77-I77),ABS(B77-L77)+ABS(C77-M77),ABS(B77-D77)+ABS(C77-E77))</f>
        <v>1</v>
      </c>
      <c r="R77" s="20" cm="1">
        <f t="array" ref="R77">PointMin3(ABS(B77-D77)+ABS(C77-E77),ABS(B77-H77)+ABS(C77-I77),ABS(B77-L77)+ABS(C77-M77),ABS(B77-H77)+ABS(C77-I77))</f>
        <v>1</v>
      </c>
      <c r="S77" s="20" cm="1">
        <f t="array" ref="S77">PointMin3(ABS(B77-D77)+ABS(C77-E77),ABS(B77-H77)+ABS(C77-I77),ABS(B77-L77)+ABS(C77-M77),ABS(B77-L77)+ABS(C77-M77))</f>
        <v>1</v>
      </c>
      <c r="T77" s="20">
        <v>1</v>
      </c>
    </row>
    <row r="78" spans="1:20" x14ac:dyDescent="0.3">
      <c r="A78" s="99">
        <f t="shared" si="11"/>
        <v>76</v>
      </c>
      <c r="B78" s="70">
        <f>[1]Кг_s12!D77</f>
        <v>1</v>
      </c>
      <c r="C78" s="21">
        <f>[1]Кг_s12!I77</f>
        <v>0</v>
      </c>
      <c r="D78" s="22">
        <f>[2]Кг_s12!B77</f>
        <v>5.0000000000000001E-4</v>
      </c>
      <c r="E78" s="22">
        <f>[2]Кг_s12!$C$2</f>
        <v>1E-3</v>
      </c>
      <c r="F78" s="22" t="str">
        <f t="shared" si="7"/>
        <v>1 ± 0,001</v>
      </c>
      <c r="G78" s="22" t="str">
        <f t="shared" si="8"/>
        <v>99,95 ± 0,1</v>
      </c>
      <c r="H78" s="23">
        <f>[3]Кг_s12!B77</f>
        <v>0.9946677951756242</v>
      </c>
      <c r="I78" s="23">
        <f>[3]Кг_s12!H77</f>
        <v>0.99466994705689293</v>
      </c>
      <c r="J78" s="23" t="str">
        <f t="shared" si="9"/>
        <v>0,006 ± 0,995</v>
      </c>
      <c r="K78" s="23" t="str">
        <f t="shared" si="10"/>
        <v>0,534 ± 99,467</v>
      </c>
      <c r="L78" s="24">
        <f>[4]Кг_s12!D77</f>
        <v>0.98654970760233918</v>
      </c>
      <c r="M78" s="24">
        <f>[4]Кг_s12!I77</f>
        <v>6.5733843900553394E-3</v>
      </c>
      <c r="N78" s="24" t="str">
        <f t="shared" si="12"/>
        <v>0,014 ± 0,007</v>
      </c>
      <c r="O78" s="24" t="str">
        <f t="shared" si="13"/>
        <v>1,346 ± 0,658</v>
      </c>
      <c r="Q78" s="20" cm="1">
        <f t="array" ref="Q78">PointMin3(ABS(B78-D78)+ABS(C78-E78),ABS(B78-H78)+ABS(C78-I78),ABS(B78-L78)+ABS(C78-M78),ABS(B78-D78)+ABS(C78-E78))</f>
        <v>1</v>
      </c>
      <c r="R78" s="20" cm="1">
        <f t="array" ref="R78">PointMin3(ABS(B78-D78)+ABS(C78-E78),ABS(B78-H78)+ABS(C78-I78),ABS(B78-L78)+ABS(C78-M78),ABS(B78-H78)+ABS(C78-I78))</f>
        <v>2</v>
      </c>
      <c r="S78" s="20" cm="1">
        <f t="array" ref="S78">PointMin3(ABS(B78-D78)+ABS(C78-E78),ABS(B78-H78)+ABS(C78-I78),ABS(B78-L78)+ABS(C78-M78),ABS(B78-L78)+ABS(C78-M78))</f>
        <v>3</v>
      </c>
      <c r="T78" s="20">
        <v>4</v>
      </c>
    </row>
    <row r="79" spans="1:20" x14ac:dyDescent="0.3">
      <c r="B79" s="70">
        <v>-1</v>
      </c>
      <c r="C79" s="21">
        <v>-1</v>
      </c>
      <c r="D79" s="22">
        <v>-1</v>
      </c>
      <c r="E79" s="22">
        <v>-1</v>
      </c>
      <c r="F79" s="22" t="str">
        <f t="shared" si="7"/>
        <v>0 ± 0</v>
      </c>
      <c r="G79" s="22" t="str">
        <f t="shared" si="8"/>
        <v>0 ± 0</v>
      </c>
      <c r="H79" s="23">
        <v>-1</v>
      </c>
      <c r="I79" s="23">
        <v>-1</v>
      </c>
      <c r="J79" s="23" t="str">
        <f t="shared" si="9"/>
        <v>0 ± 0</v>
      </c>
      <c r="K79" s="23" t="str">
        <f t="shared" si="10"/>
        <v>0 ± 0</v>
      </c>
      <c r="L79" s="24">
        <v>-1</v>
      </c>
      <c r="M79" s="24">
        <v>-1</v>
      </c>
      <c r="N79" s="24" t="str">
        <f t="shared" si="12"/>
        <v>0 ± 0</v>
      </c>
      <c r="O79" s="24" t="str">
        <f t="shared" si="13"/>
        <v>0 ± 0</v>
      </c>
      <c r="Q79" s="20" cm="1">
        <f t="array" ref="Q79">PointMin3(ABS(B79-D79)+ABS(C79-E79),ABS(B79-H79)+ABS(C79-I79),ABS(B79-L79)+ABS(C79-M79),ABS(B79-D79)+ABS(C79-E79))</f>
        <v>1</v>
      </c>
      <c r="R79" s="20" cm="1">
        <f t="array" ref="R79">PointMin3(ABS(B79-D79)+ABS(C79-E79),ABS(B79-H79)+ABS(C79-I79),ABS(B79-L79)+ABS(C79-M79),ABS(B79-H79)+ABS(C79-I79))</f>
        <v>1</v>
      </c>
      <c r="S79" s="20" cm="1">
        <f t="array" ref="S79">PointMin3(ABS(B79-D79)+ABS(C79-E79),ABS(B79-H79)+ABS(C79-I79),ABS(B79-L79)+ABS(C79-M79),ABS(B79-L79)+ABS(C79-M79))</f>
        <v>1</v>
      </c>
      <c r="T79" s="20">
        <v>1</v>
      </c>
    </row>
    <row r="80" spans="1:20" x14ac:dyDescent="0.3">
      <c r="B80" s="70">
        <v>-1</v>
      </c>
      <c r="C80" s="21">
        <v>-1</v>
      </c>
      <c r="D80" s="22">
        <v>-1</v>
      </c>
      <c r="E80" s="22">
        <v>-1</v>
      </c>
      <c r="F80" s="22" t="str">
        <f t="shared" si="7"/>
        <v>0 ± 0</v>
      </c>
      <c r="G80" s="22" t="str">
        <f t="shared" si="8"/>
        <v>0 ± 0</v>
      </c>
      <c r="H80" s="23">
        <v>-1</v>
      </c>
      <c r="I80" s="23">
        <v>-1</v>
      </c>
      <c r="J80" s="23" t="str">
        <f t="shared" si="9"/>
        <v>0 ± 0</v>
      </c>
      <c r="K80" s="23" t="str">
        <f t="shared" si="10"/>
        <v>0 ± 0</v>
      </c>
      <c r="L80" s="24">
        <v>-1</v>
      </c>
      <c r="M80" s="24">
        <v>-1</v>
      </c>
      <c r="N80" s="24" t="str">
        <f t="shared" si="12"/>
        <v>0 ± 0</v>
      </c>
      <c r="O80" s="24" t="str">
        <f t="shared" si="13"/>
        <v>0 ± 0</v>
      </c>
      <c r="Q80" s="20" cm="1">
        <f t="array" ref="Q80">PointMin3(ABS(B80-D80)+ABS(C80-E80),ABS(B80-H80)+ABS(C80-I80),ABS(B80-L80)+ABS(C80-M80),ABS(B80-D80)+ABS(C80-E80))</f>
        <v>1</v>
      </c>
      <c r="R80" s="20" cm="1">
        <f t="array" ref="R80">PointMin3(ABS(B80-D80)+ABS(C80-E80),ABS(B80-H80)+ABS(C80-I80),ABS(B80-L80)+ABS(C80-M80),ABS(B80-H80)+ABS(C80-I80))</f>
        <v>1</v>
      </c>
      <c r="S80" s="20" cm="1">
        <f t="array" ref="S80">PointMin3(ABS(B80-D80)+ABS(C80-E80),ABS(B80-H80)+ABS(C80-I80),ABS(B80-L80)+ABS(C80-M80),ABS(B80-L80)+ABS(C80-M80))</f>
        <v>1</v>
      </c>
      <c r="T80" s="20">
        <v>1</v>
      </c>
    </row>
    <row r="81" spans="1:20" x14ac:dyDescent="0.3">
      <c r="A81" s="99" t="s">
        <v>51</v>
      </c>
      <c r="B81" s="70">
        <f>[1]Кг_s12!D80</f>
        <v>1</v>
      </c>
      <c r="C81" s="21">
        <f>[1]Кг_s12!I80</f>
        <v>0</v>
      </c>
      <c r="D81" s="22">
        <f>[2]Кг_s12!B80</f>
        <v>1</v>
      </c>
      <c r="E81" s="22">
        <f>[2]Кг_s12!$C$2</f>
        <v>1E-3</v>
      </c>
      <c r="F81" s="22" t="str">
        <f t="shared" si="7"/>
        <v>0 ± 0,001</v>
      </c>
      <c r="G81" s="22" t="str">
        <f t="shared" si="8"/>
        <v>0 ± 0,1</v>
      </c>
      <c r="H81" s="23">
        <f>[3]Кг_s12!B80</f>
        <v>0.72561549925484359</v>
      </c>
      <c r="I81" s="23">
        <f>[3]Кг_s12!H80</f>
        <v>5.25574104982919E-2</v>
      </c>
      <c r="J81" s="23" t="str">
        <f t="shared" si="9"/>
        <v>0,275 ± 0,053</v>
      </c>
      <c r="K81" s="23" t="str">
        <f t="shared" si="10"/>
        <v>27,439 ± 5,256</v>
      </c>
      <c r="L81" s="24">
        <f>[4]Кг_s12!D80</f>
        <v>0.99941520467836253</v>
      </c>
      <c r="M81" s="24">
        <f>[4]Кг_s12!I80</f>
        <v>1.1689068722470016E-3</v>
      </c>
      <c r="N81" s="24" t="str">
        <f t="shared" si="12"/>
        <v>0,001 ± 0,002</v>
      </c>
      <c r="O81" s="24" t="str">
        <f t="shared" si="13"/>
        <v>0,059 ± 0,117</v>
      </c>
      <c r="Q81" s="20" cm="1">
        <f t="array" ref="Q81">PointMin3(ABS(B81-D81)+ABS(C81-E81),ABS(B81-H81)+ABS(C81-I81),ABS(B81-L81)+ABS(C81-M81),ABS(B81-D81)+ABS(C81-E81))</f>
        <v>3</v>
      </c>
      <c r="R81" s="20" cm="1">
        <f t="array" ref="R81">PointMin3(ABS(B81-D81)+ABS(C81-E81),ABS(B81-H81)+ABS(C81-I81),ABS(B81-L81)+ABS(C81-M81),ABS(B81-H81)+ABS(C81-I81))</f>
        <v>1</v>
      </c>
      <c r="S81" s="20" cm="1">
        <f t="array" ref="S81">PointMin3(ABS(B81-D81)+ABS(C81-E81),ABS(B81-H81)+ABS(C81-I81),ABS(B81-L81)+ABS(C81-M81),ABS(B81-L81)+ABS(C81-M81))</f>
        <v>2</v>
      </c>
      <c r="T81" s="20">
        <v>4</v>
      </c>
    </row>
    <row r="82" spans="1:20" x14ac:dyDescent="0.3">
      <c r="A82" s="99" t="s">
        <v>52</v>
      </c>
      <c r="B82" s="70">
        <f>[1]Кг_s12!D81</f>
        <v>1</v>
      </c>
      <c r="C82" s="21">
        <f>[1]Кг_s12!I81</f>
        <v>0</v>
      </c>
      <c r="D82" s="22">
        <f>[2]Кг_s12!B81</f>
        <v>1</v>
      </c>
      <c r="E82" s="22">
        <f>[2]Кг_s12!$C$2</f>
        <v>1E-3</v>
      </c>
      <c r="F82" s="22" t="str">
        <f t="shared" si="7"/>
        <v>0 ± 0,001</v>
      </c>
      <c r="G82" s="22" t="str">
        <f t="shared" si="8"/>
        <v>0 ± 0,1</v>
      </c>
      <c r="H82" s="23">
        <f>[3]Кг_s12!B81</f>
        <v>0.72561549925484359</v>
      </c>
      <c r="I82" s="23">
        <f>[3]Кг_s12!H81</f>
        <v>5.25574104982919E-2</v>
      </c>
      <c r="J82" s="23" t="str">
        <f t="shared" si="9"/>
        <v>0,275 ± 0,053</v>
      </c>
      <c r="K82" s="23" t="str">
        <f t="shared" si="10"/>
        <v>27,439 ± 5,256</v>
      </c>
      <c r="L82" s="24">
        <f>[4]Кг_s12!D81</f>
        <v>1</v>
      </c>
      <c r="M82" s="24">
        <f>[4]Кг_s12!I81</f>
        <v>0</v>
      </c>
      <c r="N82" s="24" t="str">
        <f t="shared" si="12"/>
        <v>0 ± 0</v>
      </c>
      <c r="O82" s="24" t="str">
        <f t="shared" si="13"/>
        <v>0 ± 0</v>
      </c>
      <c r="Q82" s="20" cm="1">
        <f t="array" ref="Q82">PointMin3(ABS(B82-D82)+ABS(C82-E82),ABS(B82-H82)+ABS(C82-I82),ABS(B82-L82)+ABS(C82-M82),ABS(B82-D82)+ABS(C82-E82))</f>
        <v>2</v>
      </c>
      <c r="R82" s="20" cm="1">
        <f t="array" ref="R82">PointMin3(ABS(B82-D82)+ABS(C82-E82),ABS(B82-H82)+ABS(C82-I82),ABS(B82-L82)+ABS(C82-M82),ABS(B82-H82)+ABS(C82-I82))</f>
        <v>1</v>
      </c>
      <c r="S82" s="20" cm="1">
        <f t="array" ref="S82">PointMin3(ABS(B82-D82)+ABS(C82-E82),ABS(B82-H82)+ABS(C82-I82),ABS(B82-L82)+ABS(C82-M82),ABS(B82-L82)+ABS(C82-M82))</f>
        <v>3</v>
      </c>
      <c r="T82" s="20">
        <v>1</v>
      </c>
    </row>
    <row r="83" spans="1:20" x14ac:dyDescent="0.3">
      <c r="A83" s="99" t="s">
        <v>53</v>
      </c>
      <c r="B83" s="70">
        <f>[1]Кг_s12!D82</f>
        <v>0.8468451536844982</v>
      </c>
      <c r="C83" s="21">
        <f>[1]Кг_s12!I82</f>
        <v>0.13594658225371029</v>
      </c>
      <c r="D83" s="22">
        <f>[2]Кг_s12!B82</f>
        <v>0.64600000000000002</v>
      </c>
      <c r="E83" s="22">
        <f>[2]Кг_s12!$C$2</f>
        <v>1E-3</v>
      </c>
      <c r="F83" s="22" t="str">
        <f t="shared" si="7"/>
        <v>0,201 ± 0,135</v>
      </c>
      <c r="G83" s="22" t="str">
        <f t="shared" si="8"/>
        <v>23,717 ± 15,936</v>
      </c>
      <c r="H83" s="23">
        <f>[3]Кг_s12!B82</f>
        <v>0.51206048552319727</v>
      </c>
      <c r="I83" s="23">
        <f>[3]Кг_s12!H82</f>
        <v>0.39629540531256913</v>
      </c>
      <c r="J83" s="23" t="str">
        <f t="shared" si="9"/>
        <v>0,335 ± 0,261</v>
      </c>
      <c r="K83" s="23" t="str">
        <f t="shared" si="10"/>
        <v>39,534 ± 30,744</v>
      </c>
      <c r="L83" s="24">
        <f>[4]Кг_s12!D82</f>
        <v>0.88771929824561402</v>
      </c>
      <c r="M83" s="24">
        <f>[4]Кг_s12!I82</f>
        <v>3.6365552271776166E-2</v>
      </c>
      <c r="N83" s="24" t="str">
        <f t="shared" si="12"/>
        <v>0,041 ± 0,1</v>
      </c>
      <c r="O83" s="24" t="str">
        <f t="shared" si="13"/>
        <v>4,827 ± 11,76</v>
      </c>
      <c r="Q83" s="20" cm="1">
        <f t="array" ref="Q83">PointMin3(ABS(B83-D83)+ABS(C83-E83),ABS(B83-H83)+ABS(C83-I83),ABS(B83-L83)+ABS(C83-M83),ABS(B83-D83)+ABS(C83-E83))</f>
        <v>2</v>
      </c>
      <c r="R83" s="20" cm="1">
        <f t="array" ref="R83">PointMin3(ABS(B83-D83)+ABS(C83-E83),ABS(B83-H83)+ABS(C83-I83),ABS(B83-L83)+ABS(C83-M83),ABS(B83-H83)+ABS(C83-I83))</f>
        <v>1</v>
      </c>
      <c r="S83" s="20" cm="1">
        <f t="array" ref="S83">PointMin3(ABS(B83-D83)+ABS(C83-E83),ABS(B83-H83)+ABS(C83-I83),ABS(B83-L83)+ABS(C83-M83),ABS(B83-L83)+ABS(C83-M83))</f>
        <v>3</v>
      </c>
      <c r="T83" s="20">
        <v>4</v>
      </c>
    </row>
    <row r="84" spans="1:20" x14ac:dyDescent="0.3">
      <c r="A84" s="99" t="s">
        <v>54</v>
      </c>
      <c r="B84" s="70">
        <f>[1]Кг_s12!D83</f>
        <v>0.87245034292330981</v>
      </c>
      <c r="C84" s="21">
        <f>[1]Кг_s12!I83</f>
        <v>4.2498556665950378E-2</v>
      </c>
      <c r="D84" s="22">
        <f>[2]Кг_s12!B83</f>
        <v>0.624</v>
      </c>
      <c r="E84" s="22">
        <f>[2]Кг_s12!$C$2</f>
        <v>1E-3</v>
      </c>
      <c r="F84" s="22" t="str">
        <f t="shared" si="7"/>
        <v>0,249 ± 0,042</v>
      </c>
      <c r="G84" s="22" t="str">
        <f t="shared" si="8"/>
        <v>28,478 ± 4,757</v>
      </c>
      <c r="H84" s="23">
        <f>[3]Кг_s12!B83</f>
        <v>0.39562356911263008</v>
      </c>
      <c r="I84" s="23">
        <f>[3]Кг_s12!H83</f>
        <v>0.30197061606512338</v>
      </c>
      <c r="J84" s="23" t="str">
        <f t="shared" si="9"/>
        <v>0,477 ± 0,26</v>
      </c>
      <c r="K84" s="23" t="str">
        <f t="shared" si="10"/>
        <v>54,654 ± 29,741</v>
      </c>
      <c r="L84" s="24">
        <f>[4]Кг_s12!D83</f>
        <v>0.88771929824561402</v>
      </c>
      <c r="M84" s="24">
        <f>[4]Кг_s12!I83</f>
        <v>3.6334382683232719E-2</v>
      </c>
      <c r="N84" s="24" t="str">
        <f t="shared" si="12"/>
        <v>0,016 ± 0,007</v>
      </c>
      <c r="O84" s="24" t="str">
        <f t="shared" si="13"/>
        <v>1,751 ± 0,707</v>
      </c>
      <c r="Q84" s="20" cm="1">
        <f t="array" ref="Q84">PointMin3(ABS(B84-D84)+ABS(C84-E84),ABS(B84-H84)+ABS(C84-I84),ABS(B84-L84)+ABS(C84-M84),ABS(B84-D84)+ABS(C84-E84))</f>
        <v>2</v>
      </c>
      <c r="R84" s="20" cm="1">
        <f t="array" ref="R84">PointMin3(ABS(B84-D84)+ABS(C84-E84),ABS(B84-H84)+ABS(C84-I84),ABS(B84-L84)+ABS(C84-M84),ABS(B84-H84)+ABS(C84-I84))</f>
        <v>1</v>
      </c>
      <c r="S84" s="20" cm="1">
        <f t="array" ref="S84">PointMin3(ABS(B84-D84)+ABS(C84-E84),ABS(B84-H84)+ABS(C84-I84),ABS(B84-L84)+ABS(C84-M84),ABS(B84-L84)+ABS(C84-M84))</f>
        <v>3</v>
      </c>
      <c r="T84" s="20">
        <v>4</v>
      </c>
    </row>
    <row r="85" spans="1:20" x14ac:dyDescent="0.3">
      <c r="A85" s="99" t="s">
        <v>55</v>
      </c>
      <c r="B85" s="70">
        <f>[1]Кг_s12!D84</f>
        <v>1</v>
      </c>
      <c r="C85" s="21">
        <f>[1]Кг_s12!I84</f>
        <v>0</v>
      </c>
      <c r="D85" s="22">
        <f>[2]Кг_s12!B84</f>
        <v>1</v>
      </c>
      <c r="E85" s="22">
        <f>[2]Кг_s12!$C$2</f>
        <v>1E-3</v>
      </c>
      <c r="F85" s="22" t="str">
        <f t="shared" si="7"/>
        <v>0 ± 0,001</v>
      </c>
      <c r="G85" s="22" t="str">
        <f t="shared" si="8"/>
        <v>0 ± 0,1</v>
      </c>
      <c r="H85" s="23">
        <f>[3]Кг_s12!B84</f>
        <v>0.50022977297478433</v>
      </c>
      <c r="I85" s="23">
        <f>[3]Кг_s12!H84</f>
        <v>0.49830048785490022</v>
      </c>
      <c r="J85" s="23" t="str">
        <f t="shared" si="9"/>
        <v>0,5 ± 0,499</v>
      </c>
      <c r="K85" s="23" t="str">
        <f t="shared" si="10"/>
        <v>49,978 ± 49,831</v>
      </c>
      <c r="L85" s="24">
        <f>[4]Кг_s12!D84</f>
        <v>0.96959064327485378</v>
      </c>
      <c r="M85" s="24">
        <f>[4]Кг_s12!I84</f>
        <v>1.2843241390343088E-2</v>
      </c>
      <c r="N85" s="24" t="str">
        <f t="shared" si="12"/>
        <v>0,031 ± 0,013</v>
      </c>
      <c r="O85" s="24" t="str">
        <f t="shared" si="13"/>
        <v>3,041 ± 1,285</v>
      </c>
      <c r="Q85" s="20" cm="1">
        <f t="array" ref="Q85">PointMin3(ABS(B85-D85)+ABS(C85-E85),ABS(B85-H85)+ABS(C85-I85),ABS(B85-L85)+ABS(C85-M85),ABS(B85-D85)+ABS(C85-E85))</f>
        <v>3</v>
      </c>
      <c r="R85" s="20" cm="1">
        <f t="array" ref="R85">PointMin3(ABS(B85-D85)+ABS(C85-E85),ABS(B85-H85)+ABS(C85-I85),ABS(B85-L85)+ABS(C85-M85),ABS(B85-H85)+ABS(C85-I85))</f>
        <v>1</v>
      </c>
      <c r="S85" s="20" cm="1">
        <f t="array" ref="S85">PointMin3(ABS(B85-D85)+ABS(C85-E85),ABS(B85-H85)+ABS(C85-I85),ABS(B85-L85)+ABS(C85-M85),ABS(B85-L85)+ABS(C85-M85))</f>
        <v>2</v>
      </c>
      <c r="T85" s="20">
        <v>4</v>
      </c>
    </row>
    <row r="86" spans="1:20" x14ac:dyDescent="0.3">
      <c r="A86" s="99" t="s">
        <v>56</v>
      </c>
      <c r="B86" s="70">
        <f>[1]Кг_s12!D85</f>
        <v>0.99920898270745739</v>
      </c>
      <c r="C86" s="21">
        <f>[1]Кг_s12!I85</f>
        <v>3.4663077875842223E-3</v>
      </c>
      <c r="D86" s="22">
        <f>[2]Кг_s12!B85</f>
        <v>0.66700000000000004</v>
      </c>
      <c r="E86" s="22">
        <f>[2]Кг_s12!$C$2</f>
        <v>1E-3</v>
      </c>
      <c r="F86" s="22" t="str">
        <f t="shared" si="7"/>
        <v>0,333 ± 0,003</v>
      </c>
      <c r="G86" s="22" t="str">
        <f t="shared" si="8"/>
        <v>33,248 ± 0,247</v>
      </c>
      <c r="H86" s="23">
        <f>[3]Кг_s12!B85</f>
        <v>0.16584786798361839</v>
      </c>
      <c r="I86" s="23">
        <f>[3]Кг_s12!H85</f>
        <v>0.16355224655339071</v>
      </c>
      <c r="J86" s="23" t="str">
        <f t="shared" si="9"/>
        <v>0,834 ± 0,161</v>
      </c>
      <c r="K86" s="23" t="str">
        <f t="shared" si="10"/>
        <v>83,403 ± 16,022</v>
      </c>
      <c r="L86" s="24">
        <f>[4]Кг_s12!D85</f>
        <v>0.97251461988304089</v>
      </c>
      <c r="M86" s="24">
        <f>[4]Кг_s12!I85</f>
        <v>1.0693236980638203E-2</v>
      </c>
      <c r="N86" s="24" t="str">
        <f t="shared" si="12"/>
        <v>0,027 ± 0,008</v>
      </c>
      <c r="O86" s="24" t="str">
        <f t="shared" si="13"/>
        <v>2,672 ± 0,724</v>
      </c>
      <c r="Q86" s="20" cm="1">
        <f t="array" ref="Q86">PointMin3(ABS(B86-D86)+ABS(C86-E86),ABS(B86-H86)+ABS(C86-I86),ABS(B86-L86)+ABS(C86-M86),ABS(B86-D86)+ABS(C86-E86))</f>
        <v>2</v>
      </c>
      <c r="R86" s="20" cm="1">
        <f t="array" ref="R86">PointMin3(ABS(B86-D86)+ABS(C86-E86),ABS(B86-H86)+ABS(C86-I86),ABS(B86-L86)+ABS(C86-M86),ABS(B86-H86)+ABS(C86-I86))</f>
        <v>1</v>
      </c>
      <c r="S86" s="20" cm="1">
        <f t="array" ref="S86">PointMin3(ABS(B86-D86)+ABS(C86-E86),ABS(B86-H86)+ABS(C86-I86),ABS(B86-L86)+ABS(C86-M86),ABS(B86-L86)+ABS(C86-M86))</f>
        <v>3</v>
      </c>
      <c r="T86" s="20">
        <v>4</v>
      </c>
    </row>
    <row r="87" spans="1:20" x14ac:dyDescent="0.3">
      <c r="A87" s="99" t="s">
        <v>57</v>
      </c>
      <c r="B87" s="70">
        <f>[1]Кг_s12!D86</f>
        <v>0.82177843432841091</v>
      </c>
      <c r="C87" s="21">
        <f>[1]Кг_s12!I86</f>
        <v>0.11094443425691701</v>
      </c>
      <c r="D87" s="22">
        <f>[2]Кг_s12!B86</f>
        <v>0.68</v>
      </c>
      <c r="E87" s="22">
        <f>[2]Кг_s12!$C$2</f>
        <v>1E-3</v>
      </c>
      <c r="F87" s="22" t="str">
        <f t="shared" si="7"/>
        <v>0,142 ± 0,11</v>
      </c>
      <c r="G87" s="22" t="str">
        <f t="shared" si="8"/>
        <v>17,253 ± 13,379</v>
      </c>
      <c r="H87" s="23">
        <f>[3]Кг_s12!B86</f>
        <v>0.42701224842538738</v>
      </c>
      <c r="I87" s="23">
        <f>[3]Кг_s12!H86</f>
        <v>3.3401248911804224E-2</v>
      </c>
      <c r="J87" s="23" t="str">
        <f t="shared" si="9"/>
        <v>0,395 ± 0,078</v>
      </c>
      <c r="K87" s="23" t="str">
        <f t="shared" si="10"/>
        <v>48,039 ± 9,437</v>
      </c>
      <c r="L87" s="24">
        <f>[4]Кг_s12!D86</f>
        <v>0.86549707602339176</v>
      </c>
      <c r="M87" s="24">
        <f>[4]Кг_s12!I86</f>
        <v>3.4911498914578808E-2</v>
      </c>
      <c r="N87" s="24" t="str">
        <f t="shared" si="12"/>
        <v>0,044 ± 0,077</v>
      </c>
      <c r="O87" s="24" t="str">
        <f t="shared" si="13"/>
        <v>5,321 ± 9,253</v>
      </c>
      <c r="Q87" s="20" cm="1">
        <f t="array" ref="Q87">PointMin3(ABS(B87-D87)+ABS(C87-E87),ABS(B87-H87)+ABS(C87-I87),ABS(B87-L87)+ABS(C87-M87),ABS(B87-D87)+ABS(C87-E87))</f>
        <v>2</v>
      </c>
      <c r="R87" s="20" cm="1">
        <f t="array" ref="R87">PointMin3(ABS(B87-D87)+ABS(C87-E87),ABS(B87-H87)+ABS(C87-I87),ABS(B87-L87)+ABS(C87-M87),ABS(B87-H87)+ABS(C87-I87))</f>
        <v>1</v>
      </c>
      <c r="S87" s="20" cm="1">
        <f t="array" ref="S87">PointMin3(ABS(B87-D87)+ABS(C87-E87),ABS(B87-H87)+ABS(C87-I87),ABS(B87-L87)+ABS(C87-M87),ABS(B87-L87)+ABS(C87-M87))</f>
        <v>3</v>
      </c>
      <c r="T87" s="20">
        <v>4</v>
      </c>
    </row>
    <row r="88" spans="1:20" x14ac:dyDescent="0.3">
      <c r="A88" s="99" t="s">
        <v>58</v>
      </c>
      <c r="B88" s="70">
        <f>[1]Кг_s12!D87</f>
        <v>0.62402618280146083</v>
      </c>
      <c r="C88" s="21">
        <f>[1]Кг_s12!I87</f>
        <v>0.20837802940781933</v>
      </c>
      <c r="D88" s="22">
        <f>[2]Кг_s12!B87</f>
        <v>0.68700000000000006</v>
      </c>
      <c r="E88" s="22">
        <f>[2]Кг_s12!$C$2</f>
        <v>1E-3</v>
      </c>
      <c r="F88" s="22" t="str">
        <f t="shared" si="7"/>
        <v>0,063 ± 0,208</v>
      </c>
      <c r="G88" s="22" t="str">
        <f t="shared" si="8"/>
        <v>10,092 ± 33,233</v>
      </c>
      <c r="H88" s="23">
        <f>[3]Кг_s12!B87</f>
        <v>0.33071654122214522</v>
      </c>
      <c r="I88" s="23">
        <f>[3]Кг_s12!H87</f>
        <v>4.2448894390490308E-2</v>
      </c>
      <c r="J88" s="23" t="str">
        <f t="shared" si="9"/>
        <v>0,294 ± 0,166</v>
      </c>
      <c r="K88" s="23" t="str">
        <f t="shared" si="10"/>
        <v>47,003 ± 26,591</v>
      </c>
      <c r="L88" s="24">
        <f>[4]Кг_s12!D87</f>
        <v>0.73216374269005846</v>
      </c>
      <c r="M88" s="24">
        <f>[4]Кг_s12!I87</f>
        <v>5.7871721599729545E-2</v>
      </c>
      <c r="N88" s="24" t="str">
        <f t="shared" si="12"/>
        <v>0,109 ± 0,151</v>
      </c>
      <c r="O88" s="24" t="str">
        <f t="shared" si="13"/>
        <v>17,33 ± 24,119</v>
      </c>
      <c r="Q88" s="20" cm="1">
        <f t="array" ref="Q88">PointMin3(ABS(B88-D88)+ABS(C88-E88),ABS(B88-H88)+ABS(C88-I88),ABS(B88-L88)+ABS(C88-M88),ABS(B88-D88)+ABS(C88-E88))</f>
        <v>2</v>
      </c>
      <c r="R88" s="20" cm="1">
        <f t="array" ref="R88">PointMin3(ABS(B88-D88)+ABS(C88-E88),ABS(B88-H88)+ABS(C88-I88),ABS(B88-L88)+ABS(C88-M88),ABS(B88-H88)+ABS(C88-I88))</f>
        <v>1</v>
      </c>
      <c r="S88" s="20" cm="1">
        <f t="array" ref="S88">PointMin3(ABS(B88-D88)+ABS(C88-E88),ABS(B88-H88)+ABS(C88-I88),ABS(B88-L88)+ABS(C88-M88),ABS(B88-L88)+ABS(C88-M88))</f>
        <v>3</v>
      </c>
      <c r="T88" s="20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5132A-80C4-410D-A18F-1C32BE43DD94}">
  <sheetPr codeName="Лист12"/>
  <dimension ref="A1:S88"/>
  <sheetViews>
    <sheetView workbookViewId="0">
      <pane xSplit="1" topLeftCell="B1" activePane="topRight" state="frozen"/>
      <selection pane="topRight" activeCell="F8" sqref="F8"/>
    </sheetView>
  </sheetViews>
  <sheetFormatPr defaultRowHeight="14.4" x14ac:dyDescent="0.3"/>
  <cols>
    <col min="1" max="1" width="33.21875" style="98" customWidth="1"/>
    <col min="2" max="2" width="10.5546875" style="71" customWidth="1"/>
    <col min="3" max="3" width="9.77734375" style="5" customWidth="1"/>
    <col min="4" max="4" width="10.88671875" style="1" customWidth="1"/>
    <col min="5" max="5" width="10.21875" style="1" customWidth="1"/>
    <col min="6" max="6" width="11.88671875" style="14" customWidth="1"/>
    <col min="7" max="7" width="9.21875" style="14" customWidth="1"/>
    <col min="8" max="8" width="13.5546875" style="19" customWidth="1"/>
    <col min="9" max="9" width="11.44140625" style="19" customWidth="1"/>
    <col min="10" max="10" width="18" style="9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.5546875" style="4" customWidth="1"/>
    <col min="17" max="17" width="13.6640625" style="4" customWidth="1"/>
    <col min="18" max="18" width="14.21875" style="4" customWidth="1"/>
    <col min="19" max="19" width="15.109375" style="4" customWidth="1"/>
    <col min="20" max="16384" width="8.88671875" style="4"/>
  </cols>
  <sheetData>
    <row r="1" spans="1:19" s="2" customFormat="1" x14ac:dyDescent="0.3">
      <c r="A1" s="101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9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2"/>
      <c r="B2" s="69" t="s">
        <v>8</v>
      </c>
      <c r="C2" s="26" t="s">
        <v>9</v>
      </c>
      <c r="D2" s="27" t="s">
        <v>8</v>
      </c>
      <c r="E2" s="27" t="s">
        <v>9</v>
      </c>
      <c r="F2" s="28" t="s">
        <v>8</v>
      </c>
      <c r="G2" s="28" t="s">
        <v>9</v>
      </c>
      <c r="H2" s="29" t="s">
        <v>8</v>
      </c>
      <c r="I2" s="29" t="s">
        <v>10</v>
      </c>
      <c r="J2" s="94"/>
      <c r="K2" s="32"/>
      <c r="L2" s="32"/>
      <c r="M2" s="32"/>
      <c r="N2" s="32"/>
      <c r="O2" s="33"/>
    </row>
    <row r="3" spans="1:19" s="20" customFormat="1" x14ac:dyDescent="0.3">
      <c r="A3" s="97">
        <v>1</v>
      </c>
      <c r="B3" s="70">
        <f>[1]Время!G3</f>
        <v>155.23766666666668</v>
      </c>
      <c r="C3" s="21">
        <f>[1]Время!S3</f>
        <v>9.3975495196590479</v>
      </c>
      <c r="D3" s="22">
        <f>[2]Время!G3</f>
        <v>1.2</v>
      </c>
      <c r="E3" s="22">
        <f>[2]Время!S3</f>
        <v>0</v>
      </c>
      <c r="F3" s="23">
        <f>[3]Время!G3</f>
        <v>1</v>
      </c>
      <c r="G3" s="23">
        <f>[3]Время!S3</f>
        <v>0</v>
      </c>
      <c r="H3" s="24">
        <f>[4]Время!B3/30</f>
        <v>223</v>
      </c>
      <c r="I3" s="24">
        <f>[4]Время!I3</f>
        <v>0</v>
      </c>
      <c r="J3" s="95"/>
      <c r="K3" s="35" cm="1">
        <f t="array" ref="K3">PointMin4(B3+C3,D3+E3,F3+G3,H3+I3,B3+C3)</f>
        <v>2</v>
      </c>
      <c r="L3" s="35" cm="1">
        <f t="array" ref="L3">PointMin4(B3+C3,D3+E3,F3+G3,H3+I3,D3+E3)</f>
        <v>3</v>
      </c>
      <c r="M3" s="35" cm="1">
        <f t="array" ref="M3">PointMin4(B3+C3,D3+E3,F3+G3,H3+I3,F3+G3)</f>
        <v>4</v>
      </c>
      <c r="N3" s="35" cm="1">
        <f t="array" ref="N3">PointMin4(B3+C3,D3+E3,F3+G3,H3+I3,H3+I3)</f>
        <v>1</v>
      </c>
      <c r="O3" s="31"/>
      <c r="P3" s="35">
        <f>SUM(K:K)</f>
        <v>122</v>
      </c>
      <c r="Q3" s="35">
        <f>SUM(L:L)</f>
        <v>138</v>
      </c>
      <c r="R3" s="35">
        <f>SUM(M:M)</f>
        <v>164</v>
      </c>
      <c r="S3" s="35">
        <f>SUM(N:N)</f>
        <v>88</v>
      </c>
    </row>
    <row r="4" spans="1:19" x14ac:dyDescent="0.3">
      <c r="A4" s="98">
        <f>A3+1</f>
        <v>2</v>
      </c>
      <c r="B4" s="70">
        <v>-1</v>
      </c>
      <c r="C4" s="21">
        <v>-1</v>
      </c>
      <c r="D4" s="22">
        <f>[2]Время!G4</f>
        <v>0</v>
      </c>
      <c r="E4" s="22">
        <f>[2]Время!S4</f>
        <v>0</v>
      </c>
      <c r="F4" s="23">
        <f>[3]Время!G4</f>
        <v>0</v>
      </c>
      <c r="G4" s="23">
        <f>[3]Время!S4</f>
        <v>0</v>
      </c>
      <c r="H4" s="24">
        <f>[4]Время!B4/30</f>
        <v>0</v>
      </c>
      <c r="I4" s="24">
        <f>[4]Время!I4</f>
        <v>0</v>
      </c>
      <c r="J4" s="95"/>
      <c r="K4" s="35" cm="1">
        <f t="array" ref="K4">PointMin4(B4+C4,D4+E4,F4+G4,H4+I4,B4+C4)</f>
        <v>4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1</v>
      </c>
      <c r="O4" s="31"/>
    </row>
    <row r="5" spans="1:19" x14ac:dyDescent="0.3">
      <c r="A5" s="98">
        <f t="shared" ref="A5:A68" si="0">A4+1</f>
        <v>3</v>
      </c>
      <c r="B5" s="70">
        <v>-1</v>
      </c>
      <c r="C5" s="21">
        <v>-1</v>
      </c>
      <c r="D5" s="22">
        <f>[2]Время!G5</f>
        <v>0</v>
      </c>
      <c r="E5" s="22">
        <f>[2]Время!S5</f>
        <v>0</v>
      </c>
      <c r="F5" s="23">
        <f>[3]Время!G5</f>
        <v>0</v>
      </c>
      <c r="G5" s="23">
        <f>[3]Время!S5</f>
        <v>0</v>
      </c>
      <c r="H5" s="24">
        <f>[4]Время!B5/30</f>
        <v>0</v>
      </c>
      <c r="I5" s="24">
        <f>[4]Время!I5</f>
        <v>0</v>
      </c>
      <c r="J5" s="95"/>
      <c r="K5" s="35" cm="1">
        <f t="array" ref="K5">PointMin4(B5+C5,D5+E5,F5+G5,H5+I5,B5+C5)</f>
        <v>4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1</v>
      </c>
      <c r="O5" s="31"/>
    </row>
    <row r="6" spans="1:19" x14ac:dyDescent="0.3">
      <c r="A6" s="98">
        <f t="shared" si="0"/>
        <v>4</v>
      </c>
      <c r="B6" s="70">
        <v>-1</v>
      </c>
      <c r="C6" s="21">
        <v>-1</v>
      </c>
      <c r="D6" s="22">
        <f>[2]Время!G6</f>
        <v>0</v>
      </c>
      <c r="E6" s="22">
        <f>[2]Время!S6</f>
        <v>0</v>
      </c>
      <c r="F6" s="23">
        <f>[3]Время!G6</f>
        <v>0</v>
      </c>
      <c r="G6" s="23">
        <f>[3]Время!S6</f>
        <v>0</v>
      </c>
      <c r="H6" s="24">
        <f>[4]Время!B6/30</f>
        <v>0</v>
      </c>
      <c r="I6" s="24">
        <f>[4]Время!I6</f>
        <v>0</v>
      </c>
      <c r="J6" s="95"/>
      <c r="K6" s="35" cm="1">
        <f t="array" ref="K6">PointMin4(B6+C6,D6+E6,F6+G6,H6+I6,B6+C6)</f>
        <v>4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1</v>
      </c>
      <c r="O6" s="31"/>
    </row>
    <row r="7" spans="1:19" x14ac:dyDescent="0.3">
      <c r="A7" s="98">
        <f t="shared" si="0"/>
        <v>5</v>
      </c>
      <c r="B7" s="70">
        <v>-1</v>
      </c>
      <c r="C7" s="21">
        <v>-1</v>
      </c>
      <c r="D7" s="22">
        <f>[2]Время!G7</f>
        <v>0</v>
      </c>
      <c r="E7" s="22">
        <f>[2]Время!S7</f>
        <v>0</v>
      </c>
      <c r="F7" s="23">
        <f>[3]Время!G7</f>
        <v>0</v>
      </c>
      <c r="G7" s="23">
        <f>[3]Время!S7</f>
        <v>0</v>
      </c>
      <c r="H7" s="24">
        <f>[4]Время!B7/30</f>
        <v>0</v>
      </c>
      <c r="I7" s="24">
        <f>[4]Время!I7</f>
        <v>0</v>
      </c>
      <c r="J7" s="95"/>
      <c r="K7" s="35" cm="1">
        <f t="array" ref="K7">PointMin4(B7+C7,D7+E7,F7+G7,H7+I7,B7+C7)</f>
        <v>4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1</v>
      </c>
      <c r="O7" s="31"/>
    </row>
    <row r="8" spans="1:19" x14ac:dyDescent="0.3">
      <c r="A8" s="99">
        <f t="shared" si="0"/>
        <v>6</v>
      </c>
      <c r="B8" s="70">
        <f>[1]Время!G8</f>
        <v>146.49466666666669</v>
      </c>
      <c r="C8" s="21">
        <f>[1]Время!S8</f>
        <v>7.0440424038883762</v>
      </c>
      <c r="D8" s="22">
        <f>[2]Время!G8</f>
        <v>1.2</v>
      </c>
      <c r="E8" s="22">
        <f>[2]Время!S8</f>
        <v>0</v>
      </c>
      <c r="F8" s="23">
        <f>[3]Время!G8</f>
        <v>1</v>
      </c>
      <c r="G8" s="23">
        <f>[3]Время!S8</f>
        <v>0</v>
      </c>
      <c r="H8" s="24">
        <f>[4]Время!B8/30</f>
        <v>222.96666666666667</v>
      </c>
      <c r="I8" s="24">
        <f>[4]Время!I8</f>
        <v>0</v>
      </c>
      <c r="J8" s="95"/>
      <c r="K8" s="35" cm="1">
        <f t="array" ref="K8">PointMin4(B8+C8,D8+E8,F8+G8,H8+I8,B8+C8)</f>
        <v>2</v>
      </c>
      <c r="L8" s="35" cm="1">
        <f t="array" ref="L8">PointMin4(B8+C8,D8+E8,F8+G8,H8+I8,D8+E8)</f>
        <v>3</v>
      </c>
      <c r="M8" s="35" cm="1">
        <f t="array" ref="M8">PointMin4(B8+C8,D8+E8,F8+G8,H8+I8,F8+G8)</f>
        <v>4</v>
      </c>
      <c r="N8" s="35" cm="1">
        <f t="array" ref="N8">PointMin4(B8+C8,D8+E8,F8+G8,H8+I8,H8+I8)</f>
        <v>1</v>
      </c>
      <c r="O8" s="31"/>
    </row>
    <row r="9" spans="1:19" x14ac:dyDescent="0.3">
      <c r="A9" s="98">
        <f t="shared" si="0"/>
        <v>7</v>
      </c>
      <c r="B9" s="70">
        <f>[1]Время!G9</f>
        <v>0</v>
      </c>
      <c r="C9" s="21">
        <f>[1]Время!S9</f>
        <v>0</v>
      </c>
      <c r="D9" s="22">
        <f>[2]Время!G9</f>
        <v>0</v>
      </c>
      <c r="E9" s="22">
        <f>[2]Время!S9</f>
        <v>0</v>
      </c>
      <c r="F9" s="23">
        <f>[3]Время!G9</f>
        <v>0</v>
      </c>
      <c r="G9" s="23">
        <f>[3]Время!S9</f>
        <v>0</v>
      </c>
      <c r="H9" s="24">
        <f>[4]Время!B9/30</f>
        <v>0</v>
      </c>
      <c r="I9" s="24">
        <f>[4]Время!I9</f>
        <v>0</v>
      </c>
      <c r="K9" s="35" cm="1">
        <f t="array" ref="K9">PointMin4(B9+C9,D9+E9,F9+G9,H9+I9,B9+C9)</f>
        <v>1</v>
      </c>
      <c r="L9" s="35" cm="1">
        <f t="array" ref="L9">PointMin4(B9+C9,D9+E9,F9+G9,H9+I9,D9+E9)</f>
        <v>1</v>
      </c>
      <c r="M9" s="35" cm="1">
        <f t="array" ref="M9">PointMin4(B9+C9,D9+E9,F9+G9,H9+I9,F9+G9)</f>
        <v>1</v>
      </c>
      <c r="N9" s="35" cm="1">
        <f t="array" ref="N9">PointMin4(B9+C9,D9+E9,F9+G9,H9+I9,H9+I9)</f>
        <v>1</v>
      </c>
    </row>
    <row r="10" spans="1:19" x14ac:dyDescent="0.3">
      <c r="A10" s="98">
        <f t="shared" si="0"/>
        <v>8</v>
      </c>
      <c r="B10" s="70">
        <f>[1]Время!G10</f>
        <v>0</v>
      </c>
      <c r="C10" s="21">
        <f>[1]Время!S10</f>
        <v>0</v>
      </c>
      <c r="D10" s="22">
        <f>[2]Время!G10</f>
        <v>0</v>
      </c>
      <c r="E10" s="22">
        <f>[2]Время!S10</f>
        <v>0</v>
      </c>
      <c r="F10" s="23">
        <f>[3]Время!G10</f>
        <v>0</v>
      </c>
      <c r="G10" s="23">
        <f>[3]Время!S10</f>
        <v>0</v>
      </c>
      <c r="H10" s="24">
        <f>[4]Время!B10/30</f>
        <v>0</v>
      </c>
      <c r="I10" s="24">
        <f>[4]Время!I10</f>
        <v>0</v>
      </c>
      <c r="K10" s="35" cm="1">
        <f t="array" ref="K10">PointMin4(B10+C10,D10+E10,F10+G10,H10+I10,B10+C10)</f>
        <v>1</v>
      </c>
      <c r="L10" s="35" cm="1">
        <f t="array" ref="L10">PointMin4(B10+C10,D10+E10,F10+G10,H10+I10,D10+E10)</f>
        <v>1</v>
      </c>
      <c r="M10" s="35" cm="1">
        <f t="array" ref="M10">PointMin4(B10+C10,D10+E10,F10+G10,H10+I10,F10+G10)</f>
        <v>1</v>
      </c>
      <c r="N10" s="35" cm="1">
        <f t="array" ref="N10">PointMin4(B10+C10,D10+E10,F10+G10,H10+I10,H10+I10)</f>
        <v>1</v>
      </c>
    </row>
    <row r="11" spans="1:19" x14ac:dyDescent="0.3">
      <c r="A11" s="98">
        <f t="shared" si="0"/>
        <v>9</v>
      </c>
      <c r="B11" s="70">
        <f>[1]Время!G11</f>
        <v>0</v>
      </c>
      <c r="C11" s="21">
        <f>[1]Время!S11</f>
        <v>0</v>
      </c>
      <c r="D11" s="22">
        <f>[2]Время!G11</f>
        <v>0</v>
      </c>
      <c r="E11" s="22">
        <f>[2]Время!S11</f>
        <v>0</v>
      </c>
      <c r="F11" s="23">
        <f>[3]Время!G11</f>
        <v>0</v>
      </c>
      <c r="G11" s="23">
        <f>[3]Время!S11</f>
        <v>0</v>
      </c>
      <c r="H11" s="24">
        <f>[4]Время!B11/30</f>
        <v>0</v>
      </c>
      <c r="I11" s="24">
        <f>[4]Время!I11</f>
        <v>0</v>
      </c>
      <c r="K11" s="35" cm="1">
        <f t="array" ref="K11">PointMin4(B11+C11,D11+E11,F11+G11,H11+I11,B11+C11)</f>
        <v>1</v>
      </c>
      <c r="L11" s="35" cm="1">
        <f t="array" ref="L11">PointMin4(B11+C11,D11+E11,F11+G11,H11+I11,D11+E11)</f>
        <v>1</v>
      </c>
      <c r="M11" s="35" cm="1">
        <f t="array" ref="M11">PointMin4(B11+C11,D11+E11,F11+G11,H11+I11,F11+G11)</f>
        <v>1</v>
      </c>
      <c r="N11" s="35" cm="1">
        <f t="array" ref="N11">PointMin4(B11+C11,D11+E11,F11+G11,H11+I11,H11+I11)</f>
        <v>1</v>
      </c>
    </row>
    <row r="12" spans="1:19" x14ac:dyDescent="0.3">
      <c r="A12" s="98">
        <f t="shared" si="0"/>
        <v>10</v>
      </c>
      <c r="B12" s="70">
        <f>[1]Время!G12</f>
        <v>0</v>
      </c>
      <c r="C12" s="21">
        <f>[1]Время!S12</f>
        <v>0</v>
      </c>
      <c r="D12" s="22">
        <f>[2]Время!G12</f>
        <v>0</v>
      </c>
      <c r="E12" s="22">
        <f>[2]Время!S12</f>
        <v>0</v>
      </c>
      <c r="F12" s="23">
        <f>[3]Время!G12</f>
        <v>0</v>
      </c>
      <c r="G12" s="23">
        <f>[3]Время!S12</f>
        <v>0</v>
      </c>
      <c r="H12" s="24">
        <f>[4]Время!B12/30</f>
        <v>0</v>
      </c>
      <c r="I12" s="24">
        <f>[4]Время!I12</f>
        <v>0</v>
      </c>
      <c r="K12" s="35" cm="1">
        <f t="array" ref="K12">PointMin4(B12+C12,D12+E12,F12+G12,H12+I12,B12+C12)</f>
        <v>1</v>
      </c>
      <c r="L12" s="35" cm="1">
        <f t="array" ref="L12">PointMin4(B12+C12,D12+E12,F12+G12,H12+I12,D12+E12)</f>
        <v>1</v>
      </c>
      <c r="M12" s="35" cm="1">
        <f t="array" ref="M12">PointMin4(B12+C12,D12+E12,F12+G12,H12+I12,F12+G12)</f>
        <v>1</v>
      </c>
      <c r="N12" s="35" cm="1">
        <f t="array" ref="N12">PointMin4(B12+C12,D12+E12,F12+G12,H12+I12,H12+I12)</f>
        <v>1</v>
      </c>
    </row>
    <row r="13" spans="1:19" x14ac:dyDescent="0.3">
      <c r="A13" s="99">
        <f t="shared" si="0"/>
        <v>11</v>
      </c>
      <c r="B13" s="70">
        <f>[1]Время!G13</f>
        <v>146.71599999999998</v>
      </c>
      <c r="C13" s="21">
        <f>[1]Время!S13</f>
        <v>3.8526568239766168</v>
      </c>
      <c r="D13" s="22">
        <f>[2]Время!G13</f>
        <v>11.333333333333334</v>
      </c>
      <c r="E13" s="22">
        <f>[2]Время!S13</f>
        <v>0.62477551524082975</v>
      </c>
      <c r="F13" s="23">
        <f>[3]Время!G13</f>
        <v>1</v>
      </c>
      <c r="G13" s="23">
        <f>[3]Время!S13</f>
        <v>0</v>
      </c>
      <c r="H13" s="24">
        <f>[4]Время!B13/30</f>
        <v>223.36666666666667</v>
      </c>
      <c r="I13" s="24">
        <f>[4]Время!I13</f>
        <v>0</v>
      </c>
      <c r="K13" s="35" cm="1">
        <f t="array" ref="K13">PointMin4(B13+C13,D13+E13,F13+G13,H13+I13,B13+C13)</f>
        <v>2</v>
      </c>
      <c r="L13" s="35" cm="1">
        <f t="array" ref="L13">PointMin4(B13+C13,D13+E13,F13+G13,H13+I13,D13+E13)</f>
        <v>3</v>
      </c>
      <c r="M13" s="35" cm="1">
        <f t="array" ref="M13">PointMin4(B13+C13,D13+E13,F13+G13,H13+I13,F13+G13)</f>
        <v>4</v>
      </c>
      <c r="N13" s="35" cm="1">
        <f t="array" ref="N13">PointMin4(B13+C13,D13+E13,F13+G13,H13+I13,H13+I13)</f>
        <v>1</v>
      </c>
    </row>
    <row r="14" spans="1:19" x14ac:dyDescent="0.3">
      <c r="A14" s="98">
        <f t="shared" si="0"/>
        <v>12</v>
      </c>
      <c r="B14" s="70">
        <f>[1]Время!G14</f>
        <v>0</v>
      </c>
      <c r="C14" s="21">
        <f>[1]Время!S14</f>
        <v>0</v>
      </c>
      <c r="D14" s="22">
        <f>[2]Время!G14</f>
        <v>0</v>
      </c>
      <c r="E14" s="22">
        <f>[2]Время!S14</f>
        <v>0</v>
      </c>
      <c r="F14" s="23">
        <f>[3]Время!G14</f>
        <v>0</v>
      </c>
      <c r="G14" s="23">
        <f>[3]Время!S14</f>
        <v>0</v>
      </c>
      <c r="H14" s="24">
        <f>[4]Время!B14/30</f>
        <v>0</v>
      </c>
      <c r="I14" s="24">
        <f>[4]Время!I14</f>
        <v>0</v>
      </c>
      <c r="K14" s="35" cm="1">
        <f t="array" ref="K14">PointMin4(B14+C14,D14+E14,F14+G14,H14+I14,B14+C14)</f>
        <v>1</v>
      </c>
      <c r="L14" s="35" cm="1">
        <f t="array" ref="L14">PointMin4(B14+C14,D14+E14,F14+G14,H14+I14,D14+E14)</f>
        <v>1</v>
      </c>
      <c r="M14" s="35" cm="1">
        <f t="array" ref="M14">PointMin4(B14+C14,D14+E14,F14+G14,H14+I14,F14+G14)</f>
        <v>1</v>
      </c>
      <c r="N14" s="35" cm="1">
        <f t="array" ref="N14">PointMin4(B14+C14,D14+E14,F14+G14,H14+I14,H14+I14)</f>
        <v>1</v>
      </c>
    </row>
    <row r="15" spans="1:19" x14ac:dyDescent="0.3">
      <c r="A15" s="98">
        <f t="shared" si="0"/>
        <v>13</v>
      </c>
      <c r="B15" s="70">
        <f>[1]Время!G15</f>
        <v>0</v>
      </c>
      <c r="C15" s="21">
        <f>[1]Время!S15</f>
        <v>0</v>
      </c>
      <c r="D15" s="22">
        <f>[2]Время!G15</f>
        <v>0</v>
      </c>
      <c r="E15" s="22">
        <f>[2]Время!S15</f>
        <v>0</v>
      </c>
      <c r="F15" s="23">
        <f>[3]Время!G15</f>
        <v>0</v>
      </c>
      <c r="G15" s="23">
        <f>[3]Время!S15</f>
        <v>0</v>
      </c>
      <c r="H15" s="24">
        <f>[4]Время!B15/30</f>
        <v>0</v>
      </c>
      <c r="I15" s="24">
        <f>[4]Время!I15</f>
        <v>0</v>
      </c>
      <c r="K15" s="35" cm="1">
        <f t="array" ref="K15">PointMin4(B15+C15,D15+E15,F15+G15,H15+I15,B15+C15)</f>
        <v>1</v>
      </c>
      <c r="L15" s="35" cm="1">
        <f t="array" ref="L15">PointMin4(B15+C15,D15+E15,F15+G15,H15+I15,D15+E15)</f>
        <v>1</v>
      </c>
      <c r="M15" s="35" cm="1">
        <f t="array" ref="M15">PointMin4(B15+C15,D15+E15,F15+G15,H15+I15,F15+G15)</f>
        <v>1</v>
      </c>
      <c r="N15" s="35" cm="1">
        <f t="array" ref="N15">PointMin4(B15+C15,D15+E15,F15+G15,H15+I15,H15+I15)</f>
        <v>1</v>
      </c>
    </row>
    <row r="16" spans="1:19" x14ac:dyDescent="0.3">
      <c r="A16" s="98">
        <f t="shared" si="0"/>
        <v>14</v>
      </c>
      <c r="B16" s="70">
        <f>[1]Время!G16</f>
        <v>0</v>
      </c>
      <c r="C16" s="21">
        <f>[1]Время!S16</f>
        <v>0</v>
      </c>
      <c r="D16" s="22">
        <f>[2]Время!G16</f>
        <v>0</v>
      </c>
      <c r="E16" s="22">
        <f>[2]Время!S16</f>
        <v>0</v>
      </c>
      <c r="F16" s="23">
        <f>[3]Время!G16</f>
        <v>0</v>
      </c>
      <c r="G16" s="23">
        <f>[3]Время!S16</f>
        <v>0</v>
      </c>
      <c r="H16" s="24">
        <f>[4]Время!B16/30</f>
        <v>0</v>
      </c>
      <c r="I16" s="24">
        <f>[4]Время!I16</f>
        <v>0</v>
      </c>
      <c r="K16" s="35" cm="1">
        <f t="array" ref="K16">PointMin4(B16+C16,D16+E16,F16+G16,H16+I16,B16+C16)</f>
        <v>1</v>
      </c>
      <c r="L16" s="35" cm="1">
        <f t="array" ref="L16">PointMin4(B16+C16,D16+E16,F16+G16,H16+I16,D16+E16)</f>
        <v>1</v>
      </c>
      <c r="M16" s="35" cm="1">
        <f t="array" ref="M16">PointMin4(B16+C16,D16+E16,F16+G16,H16+I16,F16+G16)</f>
        <v>1</v>
      </c>
      <c r="N16" s="35" cm="1">
        <f t="array" ref="N16">PointMin4(B16+C16,D16+E16,F16+G16,H16+I16,H16+I16)</f>
        <v>1</v>
      </c>
    </row>
    <row r="17" spans="1:14" x14ac:dyDescent="0.3">
      <c r="A17" s="98">
        <f t="shared" si="0"/>
        <v>15</v>
      </c>
      <c r="B17" s="70">
        <f>[1]Время!G17</f>
        <v>0</v>
      </c>
      <c r="C17" s="21">
        <f>[1]Время!S17</f>
        <v>0</v>
      </c>
      <c r="D17" s="22">
        <f>[2]Время!G17</f>
        <v>0</v>
      </c>
      <c r="E17" s="22">
        <f>[2]Время!S17</f>
        <v>0</v>
      </c>
      <c r="F17" s="23">
        <f>[3]Время!G17</f>
        <v>0</v>
      </c>
      <c r="G17" s="23">
        <f>[3]Время!S17</f>
        <v>0</v>
      </c>
      <c r="H17" s="24">
        <f>[4]Время!B17/30</f>
        <v>0</v>
      </c>
      <c r="I17" s="24">
        <f>[4]Время!I17</f>
        <v>0</v>
      </c>
      <c r="K17" s="35" cm="1">
        <f t="array" ref="K17">PointMin4(B17+C17,D17+E17,F17+G17,H17+I17,B17+C17)</f>
        <v>1</v>
      </c>
      <c r="L17" s="35" cm="1">
        <f t="array" ref="L17">PointMin4(B17+C17,D17+E17,F17+G17,H17+I17,D17+E17)</f>
        <v>1</v>
      </c>
      <c r="M17" s="35" cm="1">
        <f t="array" ref="M17">PointMin4(B17+C17,D17+E17,F17+G17,H17+I17,F17+G17)</f>
        <v>1</v>
      </c>
      <c r="N17" s="35" cm="1">
        <f t="array" ref="N17">PointMin4(B17+C17,D17+E17,F17+G17,H17+I17,H17+I17)</f>
        <v>1</v>
      </c>
    </row>
    <row r="18" spans="1:14" x14ac:dyDescent="0.3">
      <c r="A18" s="99">
        <f t="shared" si="0"/>
        <v>16</v>
      </c>
      <c r="B18" s="70">
        <f>[1]Время!G18</f>
        <v>161.822</v>
      </c>
      <c r="C18" s="21">
        <f>[1]Время!S18</f>
        <v>5.3511514661176696</v>
      </c>
      <c r="D18" s="22">
        <f>[2]Время!G18</f>
        <v>2.9</v>
      </c>
      <c r="E18" s="22">
        <f>[2]Время!S18</f>
        <v>0.43000000000000038</v>
      </c>
      <c r="F18" s="23">
        <f>[3]Время!G18</f>
        <v>0.5</v>
      </c>
      <c r="G18" s="23">
        <f>[3]Время!S18</f>
        <v>0</v>
      </c>
      <c r="H18" s="24">
        <f>[4]Время!B18/30</f>
        <v>221.4</v>
      </c>
      <c r="I18" s="24">
        <f>[4]Время!I18</f>
        <v>0</v>
      </c>
      <c r="K18" s="35" cm="1">
        <f t="array" ref="K18">PointMin4(B18+C18,D18+E18,F18+G18,H18+I18,B18+C18)</f>
        <v>2</v>
      </c>
      <c r="L18" s="35" cm="1">
        <f t="array" ref="L18">PointMin4(B18+C18,D18+E18,F18+G18,H18+I18,D18+E18)</f>
        <v>3</v>
      </c>
      <c r="M18" s="35" cm="1">
        <f t="array" ref="M18">PointMin4(B18+C18,D18+E18,F18+G18,H18+I18,F18+G18)</f>
        <v>4</v>
      </c>
      <c r="N18" s="35" cm="1">
        <f t="array" ref="N18">PointMin4(B18+C18,D18+E18,F18+G18,H18+I18,H18+I18)</f>
        <v>1</v>
      </c>
    </row>
    <row r="19" spans="1:14" x14ac:dyDescent="0.3">
      <c r="A19" s="98">
        <f t="shared" si="0"/>
        <v>17</v>
      </c>
      <c r="B19" s="70">
        <f>[1]Время!G19</f>
        <v>0</v>
      </c>
      <c r="C19" s="21">
        <f>[1]Время!S19</f>
        <v>0</v>
      </c>
      <c r="D19" s="22">
        <f>[2]Время!G19</f>
        <v>0</v>
      </c>
      <c r="E19" s="22">
        <f>[2]Время!S19</f>
        <v>0</v>
      </c>
      <c r="F19" s="23">
        <f>[3]Время!G19</f>
        <v>0</v>
      </c>
      <c r="G19" s="23">
        <f>[3]Время!S19</f>
        <v>0</v>
      </c>
      <c r="H19" s="24">
        <f>[4]Время!B19/30</f>
        <v>0</v>
      </c>
      <c r="I19" s="24">
        <f>[4]Время!I19</f>
        <v>0</v>
      </c>
      <c r="K19" s="35" cm="1">
        <f t="array" ref="K19">PointMin4(B19+C19,D19+E19,F19+G19,H19+I19,B19+C19)</f>
        <v>1</v>
      </c>
      <c r="L19" s="35" cm="1">
        <f t="array" ref="L19">PointMin4(B19+C19,D19+E19,F19+G19,H19+I19,D19+E19)</f>
        <v>1</v>
      </c>
      <c r="M19" s="35" cm="1">
        <f t="array" ref="M19">PointMin4(B19+C19,D19+E19,F19+G19,H19+I19,F19+G19)</f>
        <v>1</v>
      </c>
      <c r="N19" s="35" cm="1">
        <f t="array" ref="N19">PointMin4(B19+C19,D19+E19,F19+G19,H19+I19,H19+I19)</f>
        <v>1</v>
      </c>
    </row>
    <row r="20" spans="1:14" x14ac:dyDescent="0.3">
      <c r="A20" s="98">
        <f t="shared" si="0"/>
        <v>18</v>
      </c>
      <c r="B20" s="70">
        <f>[1]Время!G20</f>
        <v>0</v>
      </c>
      <c r="C20" s="21">
        <f>[1]Время!S20</f>
        <v>0</v>
      </c>
      <c r="D20" s="22">
        <f>[2]Время!G20</f>
        <v>0</v>
      </c>
      <c r="E20" s="22">
        <f>[2]Время!S20</f>
        <v>0</v>
      </c>
      <c r="F20" s="23">
        <f>[3]Время!G20</f>
        <v>0</v>
      </c>
      <c r="G20" s="23">
        <f>[3]Время!S20</f>
        <v>0</v>
      </c>
      <c r="H20" s="24">
        <f>[4]Время!B20/30</f>
        <v>0</v>
      </c>
      <c r="I20" s="24">
        <f>[4]Время!I20</f>
        <v>0</v>
      </c>
      <c r="K20" s="35" cm="1">
        <f t="array" ref="K20">PointMin4(B20+C20,D20+E20,F20+G20,H20+I20,B20+C20)</f>
        <v>1</v>
      </c>
      <c r="L20" s="35" cm="1">
        <f t="array" ref="L20">PointMin4(B20+C20,D20+E20,F20+G20,H20+I20,D20+E20)</f>
        <v>1</v>
      </c>
      <c r="M20" s="35" cm="1">
        <f t="array" ref="M20">PointMin4(B20+C20,D20+E20,F20+G20,H20+I20,F20+G20)</f>
        <v>1</v>
      </c>
      <c r="N20" s="35" cm="1">
        <f t="array" ref="N20">PointMin4(B20+C20,D20+E20,F20+G20,H20+I20,H20+I20)</f>
        <v>1</v>
      </c>
    </row>
    <row r="21" spans="1:14" x14ac:dyDescent="0.3">
      <c r="A21" s="98">
        <f t="shared" si="0"/>
        <v>19</v>
      </c>
      <c r="B21" s="70">
        <f>[1]Время!G21</f>
        <v>0</v>
      </c>
      <c r="C21" s="21">
        <f>[1]Время!S21</f>
        <v>0</v>
      </c>
      <c r="D21" s="22">
        <f>[2]Время!G21</f>
        <v>0</v>
      </c>
      <c r="E21" s="22">
        <f>[2]Время!S21</f>
        <v>0</v>
      </c>
      <c r="F21" s="23">
        <f>[3]Время!G21</f>
        <v>0</v>
      </c>
      <c r="G21" s="23">
        <f>[3]Время!S21</f>
        <v>0</v>
      </c>
      <c r="H21" s="24">
        <f>[4]Время!B21/30</f>
        <v>0</v>
      </c>
      <c r="I21" s="24">
        <f>[4]Время!I21</f>
        <v>0</v>
      </c>
      <c r="K21" s="35" cm="1">
        <f t="array" ref="K21">PointMin4(B21+C21,D21+E21,F21+G21,H21+I21,B21+C21)</f>
        <v>1</v>
      </c>
      <c r="L21" s="35" cm="1">
        <f t="array" ref="L21">PointMin4(B21+C21,D21+E21,F21+G21,H21+I21,D21+E21)</f>
        <v>1</v>
      </c>
      <c r="M21" s="35" cm="1">
        <f t="array" ref="M21">PointMin4(B21+C21,D21+E21,F21+G21,H21+I21,F21+G21)</f>
        <v>1</v>
      </c>
      <c r="N21" s="35" cm="1">
        <f t="array" ref="N21">PointMin4(B21+C21,D21+E21,F21+G21,H21+I21,H21+I21)</f>
        <v>1</v>
      </c>
    </row>
    <row r="22" spans="1:14" x14ac:dyDescent="0.3">
      <c r="A22" s="98">
        <f t="shared" si="0"/>
        <v>20</v>
      </c>
      <c r="B22" s="70">
        <f>[1]Время!G22</f>
        <v>0</v>
      </c>
      <c r="C22" s="21">
        <f>[1]Время!S22</f>
        <v>0</v>
      </c>
      <c r="D22" s="22">
        <f>[2]Время!G22</f>
        <v>0</v>
      </c>
      <c r="E22" s="22">
        <f>[2]Время!S22</f>
        <v>0</v>
      </c>
      <c r="F22" s="23">
        <f>[3]Время!G22</f>
        <v>0</v>
      </c>
      <c r="G22" s="23">
        <f>[3]Время!S22</f>
        <v>0</v>
      </c>
      <c r="H22" s="24">
        <f>[4]Время!B22/30</f>
        <v>0</v>
      </c>
      <c r="I22" s="24">
        <f>[4]Время!I22</f>
        <v>0</v>
      </c>
      <c r="K22" s="35" cm="1">
        <f t="array" ref="K22">PointMin4(B22+C22,D22+E22,F22+G22,H22+I22,B22+C22)</f>
        <v>1</v>
      </c>
      <c r="L22" s="35" cm="1">
        <f t="array" ref="L22">PointMin4(B22+C22,D22+E22,F22+G22,H22+I22,D22+E22)</f>
        <v>1</v>
      </c>
      <c r="M22" s="35" cm="1">
        <f t="array" ref="M22">PointMin4(B22+C22,D22+E22,F22+G22,H22+I22,F22+G22)</f>
        <v>1</v>
      </c>
      <c r="N22" s="35" cm="1">
        <f t="array" ref="N22">PointMin4(B22+C22,D22+E22,F22+G22,H22+I22,H22+I22)</f>
        <v>1</v>
      </c>
    </row>
    <row r="23" spans="1:14" x14ac:dyDescent="0.3">
      <c r="A23" s="99">
        <f t="shared" si="0"/>
        <v>21</v>
      </c>
      <c r="B23" s="70">
        <f>[1]Время!G23</f>
        <v>158.21199999999999</v>
      </c>
      <c r="C23" s="21">
        <f>[1]Время!S23</f>
        <v>5.164280904766243</v>
      </c>
      <c r="D23" s="22">
        <f>[2]Время!G23</f>
        <v>2.8333333333333335</v>
      </c>
      <c r="E23" s="22">
        <f>[2]Время!S23</f>
        <v>0.28666666666666629</v>
      </c>
      <c r="F23" s="23">
        <f>[3]Время!G23</f>
        <v>0.5</v>
      </c>
      <c r="G23" s="23">
        <f>[3]Время!S23</f>
        <v>0</v>
      </c>
      <c r="H23" s="24">
        <f>[4]Время!B23/30</f>
        <v>222.7</v>
      </c>
      <c r="I23" s="24">
        <f>[4]Время!I23</f>
        <v>0</v>
      </c>
      <c r="K23" s="35" cm="1">
        <f t="array" ref="K23">PointMin4(B23+C23,D23+E23,F23+G23,H23+I23,B23+C23)</f>
        <v>2</v>
      </c>
      <c r="L23" s="35" cm="1">
        <f t="array" ref="L23">PointMin4(B23+C23,D23+E23,F23+G23,H23+I23,D23+E23)</f>
        <v>3</v>
      </c>
      <c r="M23" s="35" cm="1">
        <f t="array" ref="M23">PointMin4(B23+C23,D23+E23,F23+G23,H23+I23,F23+G23)</f>
        <v>4</v>
      </c>
      <c r="N23" s="35" cm="1">
        <f t="array" ref="N23">PointMin4(B23+C23,D23+E23,F23+G23,H23+I23,H23+I23)</f>
        <v>1</v>
      </c>
    </row>
    <row r="24" spans="1:14" x14ac:dyDescent="0.3">
      <c r="A24" s="67">
        <f t="shared" si="0"/>
        <v>22</v>
      </c>
      <c r="B24" s="70">
        <f>[1]Время!G24</f>
        <v>0</v>
      </c>
      <c r="C24" s="21">
        <f>[1]Время!S24</f>
        <v>0</v>
      </c>
      <c r="D24" s="22">
        <f>[2]Время!G24</f>
        <v>0</v>
      </c>
      <c r="E24" s="22">
        <f>[2]Время!S24</f>
        <v>0</v>
      </c>
      <c r="F24" s="23">
        <f>[3]Время!G24</f>
        <v>0</v>
      </c>
      <c r="G24" s="23">
        <f>[3]Время!S24</f>
        <v>0</v>
      </c>
      <c r="H24" s="24">
        <f>[4]Время!B24/30</f>
        <v>0</v>
      </c>
      <c r="I24" s="24">
        <f>[4]Время!I24</f>
        <v>0</v>
      </c>
      <c r="K24" s="35" cm="1">
        <f t="array" ref="K24">PointMin4(B24+C24,D24+E24,F24+G24,H24+I24,B24+C24)</f>
        <v>1</v>
      </c>
      <c r="L24" s="35" cm="1">
        <f t="array" ref="L24">PointMin4(B24+C24,D24+E24,F24+G24,H24+I24,D24+E24)</f>
        <v>1</v>
      </c>
      <c r="M24" s="35" cm="1">
        <f t="array" ref="M24">PointMin4(B24+C24,D24+E24,F24+G24,H24+I24,F24+G24)</f>
        <v>1</v>
      </c>
      <c r="N24" s="35" cm="1">
        <f t="array" ref="N24">PointMin4(B24+C24,D24+E24,F24+G24,H24+I24,H24+I24)</f>
        <v>1</v>
      </c>
    </row>
    <row r="25" spans="1:14" x14ac:dyDescent="0.3">
      <c r="A25" s="67">
        <f t="shared" si="0"/>
        <v>23</v>
      </c>
      <c r="B25" s="70">
        <f>[1]Время!G25</f>
        <v>0</v>
      </c>
      <c r="C25" s="21">
        <f>[1]Время!S25</f>
        <v>0</v>
      </c>
      <c r="D25" s="22">
        <f>[2]Время!G25</f>
        <v>0</v>
      </c>
      <c r="E25" s="22">
        <f>[2]Время!S25</f>
        <v>0</v>
      </c>
      <c r="F25" s="23">
        <f>[3]Время!G25</f>
        <v>0</v>
      </c>
      <c r="G25" s="23">
        <f>[3]Время!S25</f>
        <v>0</v>
      </c>
      <c r="H25" s="24">
        <f>[4]Время!B25/30</f>
        <v>0</v>
      </c>
      <c r="I25" s="24">
        <f>[4]Время!I25</f>
        <v>0</v>
      </c>
      <c r="K25" s="35" cm="1">
        <f t="array" ref="K25">PointMin4(B25+C25,D25+E25,F25+G25,H25+I25,B25+C25)</f>
        <v>1</v>
      </c>
      <c r="L25" s="35" cm="1">
        <f t="array" ref="L25">PointMin4(B25+C25,D25+E25,F25+G25,H25+I25,D25+E25)</f>
        <v>1</v>
      </c>
      <c r="M25" s="35" cm="1">
        <f t="array" ref="M25">PointMin4(B25+C25,D25+E25,F25+G25,H25+I25,F25+G25)</f>
        <v>1</v>
      </c>
      <c r="N25" s="35" cm="1">
        <f t="array" ref="N25">PointMin4(B25+C25,D25+E25,F25+G25,H25+I25,H25+I25)</f>
        <v>1</v>
      </c>
    </row>
    <row r="26" spans="1:14" x14ac:dyDescent="0.3">
      <c r="A26" s="67">
        <f t="shared" si="0"/>
        <v>24</v>
      </c>
      <c r="B26" s="70">
        <f>[1]Время!G26</f>
        <v>0</v>
      </c>
      <c r="C26" s="21">
        <f>[1]Время!S26</f>
        <v>0</v>
      </c>
      <c r="D26" s="22">
        <f>[2]Время!G26</f>
        <v>0</v>
      </c>
      <c r="E26" s="22">
        <f>[2]Время!S26</f>
        <v>0</v>
      </c>
      <c r="F26" s="23">
        <f>[3]Время!G26</f>
        <v>0</v>
      </c>
      <c r="G26" s="23">
        <f>[3]Время!S26</f>
        <v>0</v>
      </c>
      <c r="H26" s="24">
        <f>[4]Время!B26/30</f>
        <v>0</v>
      </c>
      <c r="I26" s="24">
        <f>[4]Время!I26</f>
        <v>0</v>
      </c>
      <c r="K26" s="35" cm="1">
        <f t="array" ref="K26">PointMin4(B26+C26,D26+E26,F26+G26,H26+I26,B26+C26)</f>
        <v>1</v>
      </c>
      <c r="L26" s="35" cm="1">
        <f t="array" ref="L26">PointMin4(B26+C26,D26+E26,F26+G26,H26+I26,D26+E26)</f>
        <v>1</v>
      </c>
      <c r="M26" s="35" cm="1">
        <f t="array" ref="M26">PointMin4(B26+C26,D26+E26,F26+G26,H26+I26,F26+G26)</f>
        <v>1</v>
      </c>
      <c r="N26" s="35" cm="1">
        <f t="array" ref="N26">PointMin4(B26+C26,D26+E26,F26+G26,H26+I26,H26+I26)</f>
        <v>1</v>
      </c>
    </row>
    <row r="27" spans="1:14" x14ac:dyDescent="0.3">
      <c r="A27" s="67">
        <f t="shared" si="0"/>
        <v>25</v>
      </c>
      <c r="B27" s="70">
        <f>[1]Время!G27</f>
        <v>0</v>
      </c>
      <c r="C27" s="21">
        <f>[1]Время!S27</f>
        <v>0</v>
      </c>
      <c r="D27" s="22">
        <f>[2]Время!G27</f>
        <v>0</v>
      </c>
      <c r="E27" s="22">
        <f>[2]Время!S27</f>
        <v>0</v>
      </c>
      <c r="F27" s="23">
        <f>[3]Время!G27</f>
        <v>0</v>
      </c>
      <c r="G27" s="23">
        <f>[3]Время!S27</f>
        <v>0</v>
      </c>
      <c r="H27" s="24">
        <f>[4]Время!B27/30</f>
        <v>0</v>
      </c>
      <c r="I27" s="24">
        <f>[4]Время!I27</f>
        <v>0</v>
      </c>
      <c r="K27" s="35" cm="1">
        <f t="array" ref="K27">PointMin4(B27+C27,D27+E27,F27+G27,H27+I27,B27+C27)</f>
        <v>1</v>
      </c>
      <c r="L27" s="35" cm="1">
        <f t="array" ref="L27">PointMin4(B27+C27,D27+E27,F27+G27,H27+I27,D27+E27)</f>
        <v>1</v>
      </c>
      <c r="M27" s="35" cm="1">
        <f t="array" ref="M27">PointMin4(B27+C27,D27+E27,F27+G27,H27+I27,F27+G27)</f>
        <v>1</v>
      </c>
      <c r="N27" s="35" cm="1">
        <f t="array" ref="N27">PointMin4(B27+C27,D27+E27,F27+G27,H27+I27,H27+I27)</f>
        <v>1</v>
      </c>
    </row>
    <row r="28" spans="1:14" x14ac:dyDescent="0.3">
      <c r="A28" s="99">
        <f t="shared" si="0"/>
        <v>26</v>
      </c>
      <c r="B28" s="70">
        <f>[1]Время!G28</f>
        <v>146.71599999999998</v>
      </c>
      <c r="C28" s="21">
        <f>[1]Время!S28</f>
        <v>3.8526568239766168</v>
      </c>
      <c r="D28" s="22">
        <f>[2]Время!G28</f>
        <v>2.8333333333333335</v>
      </c>
      <c r="E28" s="22">
        <f>[2]Время!S28</f>
        <v>0.14333333333333348</v>
      </c>
      <c r="F28" s="23">
        <f>[3]Время!G28</f>
        <v>0.5</v>
      </c>
      <c r="G28" s="23">
        <f>[3]Время!S28</f>
        <v>0</v>
      </c>
      <c r="H28" s="24">
        <f>[4]Время!B28/30</f>
        <v>229.7</v>
      </c>
      <c r="I28" s="24">
        <f>[4]Время!I28</f>
        <v>0</v>
      </c>
      <c r="K28" s="35" cm="1">
        <f t="array" ref="K28">PointMin4(B28+C28,D28+E28,F28+G28,H28+I28,B28+C28)</f>
        <v>2</v>
      </c>
      <c r="L28" s="35" cm="1">
        <f t="array" ref="L28">PointMin4(B28+C28,D28+E28,F28+G28,H28+I28,D28+E28)</f>
        <v>3</v>
      </c>
      <c r="M28" s="35" cm="1">
        <f t="array" ref="M28">PointMin4(B28+C28,D28+E28,F28+G28,H28+I28,F28+G28)</f>
        <v>4</v>
      </c>
      <c r="N28" s="35" cm="1">
        <f t="array" ref="N28">PointMin4(B28+C28,D28+E28,F28+G28,H28+I28,H28+I28)</f>
        <v>1</v>
      </c>
    </row>
    <row r="29" spans="1:14" x14ac:dyDescent="0.3">
      <c r="A29" s="67">
        <f t="shared" si="0"/>
        <v>27</v>
      </c>
      <c r="B29" s="70">
        <f>[1]Время!G29</f>
        <v>0</v>
      </c>
      <c r="C29" s="21">
        <f>[1]Время!S29</f>
        <v>0</v>
      </c>
      <c r="D29" s="22">
        <f>[2]Время!G29</f>
        <v>0</v>
      </c>
      <c r="E29" s="22">
        <f>[2]Время!S29</f>
        <v>0</v>
      </c>
      <c r="F29" s="23">
        <f>[3]Время!G29</f>
        <v>0</v>
      </c>
      <c r="G29" s="23">
        <f>[3]Время!S29</f>
        <v>0</v>
      </c>
      <c r="H29" s="24">
        <f>[4]Время!B29/30</f>
        <v>0</v>
      </c>
      <c r="I29" s="24">
        <f>[4]Время!I29</f>
        <v>0</v>
      </c>
      <c r="K29" s="35" cm="1">
        <f t="array" ref="K29">PointMin4(B29+C29,D29+E29,F29+G29,H29+I29,B29+C29)</f>
        <v>1</v>
      </c>
      <c r="L29" s="35" cm="1">
        <f t="array" ref="L29">PointMin4(B29+C29,D29+E29,F29+G29,H29+I29,D29+E29)</f>
        <v>1</v>
      </c>
      <c r="M29" s="35" cm="1">
        <f t="array" ref="M29">PointMin4(B29+C29,D29+E29,F29+G29,H29+I29,F29+G29)</f>
        <v>1</v>
      </c>
      <c r="N29" s="35" cm="1">
        <f t="array" ref="N29">PointMin4(B29+C29,D29+E29,F29+G29,H29+I29,H29+I29)</f>
        <v>1</v>
      </c>
    </row>
    <row r="30" spans="1:14" x14ac:dyDescent="0.3">
      <c r="A30" s="67">
        <f t="shared" si="0"/>
        <v>28</v>
      </c>
      <c r="B30" s="70">
        <f>[1]Время!G30</f>
        <v>0</v>
      </c>
      <c r="C30" s="21">
        <f>[1]Время!S30</f>
        <v>0</v>
      </c>
      <c r="D30" s="22">
        <f>[2]Время!G30</f>
        <v>0</v>
      </c>
      <c r="E30" s="22">
        <f>[2]Время!S30</f>
        <v>0</v>
      </c>
      <c r="F30" s="23">
        <f>[3]Время!G30</f>
        <v>0</v>
      </c>
      <c r="G30" s="23">
        <f>[3]Время!S30</f>
        <v>0</v>
      </c>
      <c r="H30" s="24">
        <f>[4]Время!B30/30</f>
        <v>0</v>
      </c>
      <c r="I30" s="24">
        <f>[4]Время!I30</f>
        <v>0</v>
      </c>
      <c r="K30" s="35" cm="1">
        <f t="array" ref="K30">PointMin4(B30+C30,D30+E30,F30+G30,H30+I30,B30+C30)</f>
        <v>1</v>
      </c>
      <c r="L30" s="35" cm="1">
        <f t="array" ref="L30">PointMin4(B30+C30,D30+E30,F30+G30,H30+I30,D30+E30)</f>
        <v>1</v>
      </c>
      <c r="M30" s="35" cm="1">
        <f t="array" ref="M30">PointMin4(B30+C30,D30+E30,F30+G30,H30+I30,F30+G30)</f>
        <v>1</v>
      </c>
      <c r="N30" s="35" cm="1">
        <f t="array" ref="N30">PointMin4(B30+C30,D30+E30,F30+G30,H30+I30,H30+I30)</f>
        <v>1</v>
      </c>
    </row>
    <row r="31" spans="1:14" x14ac:dyDescent="0.3">
      <c r="A31" s="67">
        <f t="shared" si="0"/>
        <v>29</v>
      </c>
      <c r="B31" s="70">
        <f>[1]Время!G31</f>
        <v>0</v>
      </c>
      <c r="C31" s="21">
        <f>[1]Время!S31</f>
        <v>0</v>
      </c>
      <c r="D31" s="22">
        <f>[2]Время!G31</f>
        <v>0</v>
      </c>
      <c r="E31" s="22">
        <f>[2]Время!S31</f>
        <v>0</v>
      </c>
      <c r="F31" s="23">
        <f>[3]Время!G31</f>
        <v>0</v>
      </c>
      <c r="G31" s="23">
        <f>[3]Время!S31</f>
        <v>0</v>
      </c>
      <c r="H31" s="24">
        <f>[4]Время!B31/30</f>
        <v>0</v>
      </c>
      <c r="I31" s="24">
        <f>[4]Время!I31</f>
        <v>0</v>
      </c>
      <c r="K31" s="35" cm="1">
        <f t="array" ref="K31">PointMin4(B31+C31,D31+E31,F31+G31,H31+I31,B31+C31)</f>
        <v>1</v>
      </c>
      <c r="L31" s="35" cm="1">
        <f t="array" ref="L31">PointMin4(B31+C31,D31+E31,F31+G31,H31+I31,D31+E31)</f>
        <v>1</v>
      </c>
      <c r="M31" s="35" cm="1">
        <f t="array" ref="M31">PointMin4(B31+C31,D31+E31,F31+G31,H31+I31,F31+G31)</f>
        <v>1</v>
      </c>
      <c r="N31" s="35" cm="1">
        <f t="array" ref="N31">PointMin4(B31+C31,D31+E31,F31+G31,H31+I31,H31+I31)</f>
        <v>1</v>
      </c>
    </row>
    <row r="32" spans="1:14" x14ac:dyDescent="0.3">
      <c r="A32" s="67">
        <f t="shared" si="0"/>
        <v>30</v>
      </c>
      <c r="B32" s="70">
        <f>[1]Время!G32</f>
        <v>0</v>
      </c>
      <c r="C32" s="21">
        <f>[1]Время!S32</f>
        <v>0</v>
      </c>
      <c r="D32" s="22">
        <f>[2]Время!G32</f>
        <v>0</v>
      </c>
      <c r="E32" s="22">
        <f>[2]Время!S32</f>
        <v>0</v>
      </c>
      <c r="F32" s="23">
        <f>[3]Время!G32</f>
        <v>0</v>
      </c>
      <c r="G32" s="23">
        <f>[3]Время!S32</f>
        <v>0</v>
      </c>
      <c r="H32" s="24">
        <f>[4]Время!B32/30</f>
        <v>0</v>
      </c>
      <c r="I32" s="24">
        <f>[4]Время!I32</f>
        <v>0</v>
      </c>
      <c r="K32" s="35" cm="1">
        <f t="array" ref="K32">PointMin4(B32+C32,D32+E32,F32+G32,H32+I32,B32+C32)</f>
        <v>1</v>
      </c>
      <c r="L32" s="35" cm="1">
        <f t="array" ref="L32">PointMin4(B32+C32,D32+E32,F32+G32,H32+I32,D32+E32)</f>
        <v>1</v>
      </c>
      <c r="M32" s="35" cm="1">
        <f t="array" ref="M32">PointMin4(B32+C32,D32+E32,F32+G32,H32+I32,F32+G32)</f>
        <v>1</v>
      </c>
      <c r="N32" s="35" cm="1">
        <f t="array" ref="N32">PointMin4(B32+C32,D32+E32,F32+G32,H32+I32,H32+I32)</f>
        <v>1</v>
      </c>
    </row>
    <row r="33" spans="1:14" x14ac:dyDescent="0.3">
      <c r="A33" s="99">
        <f t="shared" si="0"/>
        <v>31</v>
      </c>
      <c r="B33" s="70">
        <f>[1]Время!G33</f>
        <v>161.822</v>
      </c>
      <c r="C33" s="21">
        <f>[1]Время!S33</f>
        <v>5.3511514661176696</v>
      </c>
      <c r="D33" s="22">
        <f>[2]Время!G33</f>
        <v>2.8333333333333335</v>
      </c>
      <c r="E33" s="22">
        <f>[2]Время!S33</f>
        <v>0.14333333333333348</v>
      </c>
      <c r="F33" s="23">
        <f>[3]Время!G33</f>
        <v>0.5</v>
      </c>
      <c r="G33" s="23">
        <f>[3]Время!S33</f>
        <v>0</v>
      </c>
      <c r="H33" s="24">
        <f>[4]Время!B33/30</f>
        <v>229.9</v>
      </c>
      <c r="I33" s="24">
        <f>[4]Время!I33</f>
        <v>0</v>
      </c>
      <c r="K33" s="35" cm="1">
        <f t="array" ref="K33">PointMin4(B33+C33,D33+E33,F33+G33,H33+I33,B33+C33)</f>
        <v>2</v>
      </c>
      <c r="L33" s="35" cm="1">
        <f t="array" ref="L33">PointMin4(B33+C33,D33+E33,F33+G33,H33+I33,D33+E33)</f>
        <v>3</v>
      </c>
      <c r="M33" s="35" cm="1">
        <f t="array" ref="M33">PointMin4(B33+C33,D33+E33,F33+G33,H33+I33,F33+G33)</f>
        <v>4</v>
      </c>
      <c r="N33" s="35" cm="1">
        <f t="array" ref="N33">PointMin4(B33+C33,D33+E33,F33+G33,H33+I33,H33+I33)</f>
        <v>1</v>
      </c>
    </row>
    <row r="34" spans="1:14" x14ac:dyDescent="0.3">
      <c r="A34" s="67">
        <f t="shared" si="0"/>
        <v>32</v>
      </c>
      <c r="B34" s="70">
        <f>[1]Время!G34</f>
        <v>0</v>
      </c>
      <c r="C34" s="21">
        <f>[1]Время!S34</f>
        <v>0</v>
      </c>
      <c r="D34" s="22">
        <f>[2]Время!G34</f>
        <v>0</v>
      </c>
      <c r="E34" s="22">
        <f>[2]Время!S34</f>
        <v>0</v>
      </c>
      <c r="F34" s="23">
        <f>[3]Время!G34</f>
        <v>0</v>
      </c>
      <c r="G34" s="23">
        <f>[3]Время!S34</f>
        <v>0</v>
      </c>
      <c r="H34" s="24">
        <f>[4]Время!B34/30</f>
        <v>0</v>
      </c>
      <c r="I34" s="24">
        <f>[4]Время!I34</f>
        <v>0</v>
      </c>
      <c r="K34" s="35" cm="1">
        <f t="array" ref="K34">PointMin4(B34+C34,D34+E34,F34+G34,H34+I34,B34+C34)</f>
        <v>1</v>
      </c>
      <c r="L34" s="35" cm="1">
        <f t="array" ref="L34">PointMin4(B34+C34,D34+E34,F34+G34,H34+I34,D34+E34)</f>
        <v>1</v>
      </c>
      <c r="M34" s="35" cm="1">
        <f t="array" ref="M34">PointMin4(B34+C34,D34+E34,F34+G34,H34+I34,F34+G34)</f>
        <v>1</v>
      </c>
      <c r="N34" s="35" cm="1">
        <f t="array" ref="N34">PointMin4(B34+C34,D34+E34,F34+G34,H34+I34,H34+I34)</f>
        <v>1</v>
      </c>
    </row>
    <row r="35" spans="1:14" x14ac:dyDescent="0.3">
      <c r="A35" s="67">
        <f t="shared" si="0"/>
        <v>33</v>
      </c>
      <c r="B35" s="70">
        <f>[1]Время!G35</f>
        <v>0</v>
      </c>
      <c r="C35" s="21">
        <f>[1]Время!S35</f>
        <v>0</v>
      </c>
      <c r="D35" s="22">
        <f>[2]Время!G35</f>
        <v>0</v>
      </c>
      <c r="E35" s="22">
        <f>[2]Время!S35</f>
        <v>0</v>
      </c>
      <c r="F35" s="23">
        <f>[3]Время!G35</f>
        <v>0</v>
      </c>
      <c r="G35" s="23">
        <f>[3]Время!S35</f>
        <v>0</v>
      </c>
      <c r="H35" s="24">
        <f>[4]Время!B35/30</f>
        <v>0</v>
      </c>
      <c r="I35" s="24">
        <f>[4]Время!I35</f>
        <v>0</v>
      </c>
      <c r="K35" s="35" cm="1">
        <f t="array" ref="K35">PointMin4(B35+C35,D35+E35,F35+G35,H35+I35,B35+C35)</f>
        <v>1</v>
      </c>
      <c r="L35" s="35" cm="1">
        <f t="array" ref="L35">PointMin4(B35+C35,D35+E35,F35+G35,H35+I35,D35+E35)</f>
        <v>1</v>
      </c>
      <c r="M35" s="35" cm="1">
        <f t="array" ref="M35">PointMin4(B35+C35,D35+E35,F35+G35,H35+I35,F35+G35)</f>
        <v>1</v>
      </c>
      <c r="N35" s="35" cm="1">
        <f t="array" ref="N35">PointMin4(B35+C35,D35+E35,F35+G35,H35+I35,H35+I35)</f>
        <v>1</v>
      </c>
    </row>
    <row r="36" spans="1:14" x14ac:dyDescent="0.3">
      <c r="A36" s="67">
        <f t="shared" si="0"/>
        <v>34</v>
      </c>
      <c r="B36" s="70">
        <f>[1]Время!G36</f>
        <v>0</v>
      </c>
      <c r="C36" s="21">
        <f>[1]Время!S36</f>
        <v>0</v>
      </c>
      <c r="D36" s="22">
        <f>[2]Время!G36</f>
        <v>0</v>
      </c>
      <c r="E36" s="22">
        <f>[2]Время!S36</f>
        <v>0</v>
      </c>
      <c r="F36" s="23">
        <f>[3]Время!G36</f>
        <v>0</v>
      </c>
      <c r="G36" s="23">
        <f>[3]Время!S36</f>
        <v>0</v>
      </c>
      <c r="H36" s="24">
        <f>[4]Время!B36/30</f>
        <v>0</v>
      </c>
      <c r="I36" s="24">
        <f>[4]Время!I36</f>
        <v>0</v>
      </c>
      <c r="K36" s="35" cm="1">
        <f t="array" ref="K36">PointMin4(B36+C36,D36+E36,F36+G36,H36+I36,B36+C36)</f>
        <v>1</v>
      </c>
      <c r="L36" s="35" cm="1">
        <f t="array" ref="L36">PointMin4(B36+C36,D36+E36,F36+G36,H36+I36,D36+E36)</f>
        <v>1</v>
      </c>
      <c r="M36" s="35" cm="1">
        <f t="array" ref="M36">PointMin4(B36+C36,D36+E36,F36+G36,H36+I36,F36+G36)</f>
        <v>1</v>
      </c>
      <c r="N36" s="35" cm="1">
        <f t="array" ref="N36">PointMin4(B36+C36,D36+E36,F36+G36,H36+I36,H36+I36)</f>
        <v>1</v>
      </c>
    </row>
    <row r="37" spans="1:14" x14ac:dyDescent="0.3">
      <c r="A37" s="67">
        <f t="shared" si="0"/>
        <v>35</v>
      </c>
      <c r="B37" s="70">
        <f>[1]Время!G37</f>
        <v>0</v>
      </c>
      <c r="C37" s="21">
        <f>[1]Время!S37</f>
        <v>0</v>
      </c>
      <c r="D37" s="22">
        <f>[2]Время!G37</f>
        <v>0</v>
      </c>
      <c r="E37" s="22">
        <f>[2]Время!S37</f>
        <v>0</v>
      </c>
      <c r="F37" s="23">
        <f>[3]Время!G37</f>
        <v>0</v>
      </c>
      <c r="G37" s="23">
        <f>[3]Время!S37</f>
        <v>0</v>
      </c>
      <c r="H37" s="24">
        <f>[4]Время!B37/30</f>
        <v>0</v>
      </c>
      <c r="I37" s="24">
        <f>[4]Время!I37</f>
        <v>0</v>
      </c>
      <c r="K37" s="35" cm="1">
        <f t="array" ref="K37">PointMin4(B37+C37,D37+E37,F37+G37,H37+I37,B37+C37)</f>
        <v>1</v>
      </c>
      <c r="L37" s="35" cm="1">
        <f t="array" ref="L37">PointMin4(B37+C37,D37+E37,F37+G37,H37+I37,D37+E37)</f>
        <v>1</v>
      </c>
      <c r="M37" s="35" cm="1">
        <f t="array" ref="M37">PointMin4(B37+C37,D37+E37,F37+G37,H37+I37,F37+G37)</f>
        <v>1</v>
      </c>
      <c r="N37" s="35" cm="1">
        <f t="array" ref="N37">PointMin4(B37+C37,D37+E37,F37+G37,H37+I37,H37+I37)</f>
        <v>1</v>
      </c>
    </row>
    <row r="38" spans="1:14" x14ac:dyDescent="0.3">
      <c r="A38" s="99">
        <f t="shared" si="0"/>
        <v>36</v>
      </c>
      <c r="B38" s="70">
        <f>[1]Время!G38</f>
        <v>146.49466666666669</v>
      </c>
      <c r="C38" s="21">
        <f>[1]Время!S38</f>
        <v>7.0440424038883762</v>
      </c>
      <c r="D38" s="22">
        <f>[2]Время!G38</f>
        <v>4</v>
      </c>
      <c r="E38" s="22">
        <f>[2]Время!S38</f>
        <v>0.24826061575153877</v>
      </c>
      <c r="F38" s="23">
        <f>[3]Время!G38</f>
        <v>0.5</v>
      </c>
      <c r="G38" s="23">
        <f>[3]Время!S38</f>
        <v>0</v>
      </c>
      <c r="H38" s="24">
        <f>[4]Время!B38/30</f>
        <v>224.43333333333334</v>
      </c>
      <c r="I38" s="24">
        <f>[4]Время!I38</f>
        <v>0</v>
      </c>
      <c r="K38" s="35" cm="1">
        <f t="array" ref="K38">PointMin4(B38+C38,D38+E38,F38+G38,H38+I38,B38+C38)</f>
        <v>2</v>
      </c>
      <c r="L38" s="35" cm="1">
        <f t="array" ref="L38">PointMin4(B38+C38,D38+E38,F38+G38,H38+I38,D38+E38)</f>
        <v>3</v>
      </c>
      <c r="M38" s="35" cm="1">
        <f t="array" ref="M38">PointMin4(B38+C38,D38+E38,F38+G38,H38+I38,F38+G38)</f>
        <v>4</v>
      </c>
      <c r="N38" s="35" cm="1">
        <f t="array" ref="N38">PointMin4(B38+C38,D38+E38,F38+G38,H38+I38,H38+I38)</f>
        <v>1</v>
      </c>
    </row>
    <row r="39" spans="1:14" x14ac:dyDescent="0.3">
      <c r="A39" s="67">
        <f t="shared" si="0"/>
        <v>37</v>
      </c>
      <c r="B39" s="70">
        <f>[1]Время!G39</f>
        <v>0</v>
      </c>
      <c r="C39" s="21">
        <f>[1]Время!S39</f>
        <v>0</v>
      </c>
      <c r="D39" s="22">
        <f>[2]Время!G39</f>
        <v>0</v>
      </c>
      <c r="E39" s="22">
        <f>[2]Время!S39</f>
        <v>0</v>
      </c>
      <c r="F39" s="23">
        <f>[3]Время!G39</f>
        <v>0</v>
      </c>
      <c r="G39" s="23">
        <f>[3]Время!S39</f>
        <v>0</v>
      </c>
      <c r="H39" s="24">
        <f>[4]Время!B39/30</f>
        <v>0</v>
      </c>
      <c r="I39" s="24">
        <f>[4]Время!I39</f>
        <v>0</v>
      </c>
      <c r="K39" s="35" cm="1">
        <f t="array" ref="K39">PointMin4(B39+C39,D39+E39,F39+G39,H39+I39,B39+C39)</f>
        <v>1</v>
      </c>
      <c r="L39" s="35" cm="1">
        <f t="array" ref="L39">PointMin4(B39+C39,D39+E39,F39+G39,H39+I39,D39+E39)</f>
        <v>1</v>
      </c>
      <c r="M39" s="35" cm="1">
        <f t="array" ref="M39">PointMin4(B39+C39,D39+E39,F39+G39,H39+I39,F39+G39)</f>
        <v>1</v>
      </c>
      <c r="N39" s="35" cm="1">
        <f t="array" ref="N39">PointMin4(B39+C39,D39+E39,F39+G39,H39+I39,H39+I39)</f>
        <v>1</v>
      </c>
    </row>
    <row r="40" spans="1:14" x14ac:dyDescent="0.3">
      <c r="A40" s="67">
        <f t="shared" si="0"/>
        <v>38</v>
      </c>
      <c r="B40" s="70">
        <f>[1]Время!G40</f>
        <v>0</v>
      </c>
      <c r="C40" s="21">
        <f>[1]Время!S40</f>
        <v>0</v>
      </c>
      <c r="D40" s="22">
        <f>[2]Время!G40</f>
        <v>0</v>
      </c>
      <c r="E40" s="22">
        <f>[2]Время!S40</f>
        <v>0</v>
      </c>
      <c r="F40" s="23">
        <f>[3]Время!G40</f>
        <v>0</v>
      </c>
      <c r="G40" s="23">
        <f>[3]Время!S40</f>
        <v>0</v>
      </c>
      <c r="H40" s="24">
        <f>[4]Время!B40/30</f>
        <v>0</v>
      </c>
      <c r="I40" s="24">
        <f>[4]Время!I40</f>
        <v>0</v>
      </c>
      <c r="K40" s="35" cm="1">
        <f t="array" ref="K40">PointMin4(B40+C40,D40+E40,F40+G40,H40+I40,B40+C40)</f>
        <v>1</v>
      </c>
      <c r="L40" s="35" cm="1">
        <f t="array" ref="L40">PointMin4(B40+C40,D40+E40,F40+G40,H40+I40,D40+E40)</f>
        <v>1</v>
      </c>
      <c r="M40" s="35" cm="1">
        <f t="array" ref="M40">PointMin4(B40+C40,D40+E40,F40+G40,H40+I40,F40+G40)</f>
        <v>1</v>
      </c>
      <c r="N40" s="35" cm="1">
        <f t="array" ref="N40">PointMin4(B40+C40,D40+E40,F40+G40,H40+I40,H40+I40)</f>
        <v>1</v>
      </c>
    </row>
    <row r="41" spans="1:14" x14ac:dyDescent="0.3">
      <c r="A41" s="67">
        <f t="shared" si="0"/>
        <v>39</v>
      </c>
      <c r="B41" s="70">
        <f>[1]Время!G41</f>
        <v>0</v>
      </c>
      <c r="C41" s="21">
        <f>[1]Время!S41</f>
        <v>0</v>
      </c>
      <c r="D41" s="22">
        <f>[2]Время!G41</f>
        <v>0</v>
      </c>
      <c r="E41" s="22">
        <f>[2]Время!S41</f>
        <v>0</v>
      </c>
      <c r="F41" s="23">
        <f>[3]Время!G41</f>
        <v>0</v>
      </c>
      <c r="G41" s="23">
        <f>[3]Время!S41</f>
        <v>0</v>
      </c>
      <c r="H41" s="24">
        <f>[4]Время!B41/30</f>
        <v>0</v>
      </c>
      <c r="I41" s="24">
        <f>[4]Время!I41</f>
        <v>0</v>
      </c>
      <c r="K41" s="35" cm="1">
        <f t="array" ref="K41">PointMin4(B41+C41,D41+E41,F41+G41,H41+I41,B41+C41)</f>
        <v>1</v>
      </c>
      <c r="L41" s="35" cm="1">
        <f t="array" ref="L41">PointMin4(B41+C41,D41+E41,F41+G41,H41+I41,D41+E41)</f>
        <v>1</v>
      </c>
      <c r="M41" s="35" cm="1">
        <f t="array" ref="M41">PointMin4(B41+C41,D41+E41,F41+G41,H41+I41,F41+G41)</f>
        <v>1</v>
      </c>
      <c r="N41" s="35" cm="1">
        <f t="array" ref="N41">PointMin4(B41+C41,D41+E41,F41+G41,H41+I41,H41+I41)</f>
        <v>1</v>
      </c>
    </row>
    <row r="42" spans="1:14" x14ac:dyDescent="0.3">
      <c r="A42" s="67">
        <f t="shared" si="0"/>
        <v>40</v>
      </c>
      <c r="B42" s="70">
        <f>[1]Время!G42</f>
        <v>0</v>
      </c>
      <c r="C42" s="21">
        <f>[1]Время!S42</f>
        <v>0</v>
      </c>
      <c r="D42" s="22">
        <f>[2]Время!G42</f>
        <v>0</v>
      </c>
      <c r="E42" s="22">
        <f>[2]Время!S42</f>
        <v>0</v>
      </c>
      <c r="F42" s="23">
        <f>[3]Время!G42</f>
        <v>0</v>
      </c>
      <c r="G42" s="23">
        <f>[3]Время!S42</f>
        <v>0</v>
      </c>
      <c r="H42" s="24">
        <f>[4]Время!B42/30</f>
        <v>0</v>
      </c>
      <c r="I42" s="24">
        <f>[4]Время!I42</f>
        <v>0</v>
      </c>
      <c r="K42" s="35" cm="1">
        <f t="array" ref="K42">PointMin4(B42+C42,D42+E42,F42+G42,H42+I42,B42+C42)</f>
        <v>1</v>
      </c>
      <c r="L42" s="35" cm="1">
        <f t="array" ref="L42">PointMin4(B42+C42,D42+E42,F42+G42,H42+I42,D42+E42)</f>
        <v>1</v>
      </c>
      <c r="M42" s="35" cm="1">
        <f t="array" ref="M42">PointMin4(B42+C42,D42+E42,F42+G42,H42+I42,F42+G42)</f>
        <v>1</v>
      </c>
      <c r="N42" s="35" cm="1">
        <f t="array" ref="N42">PointMin4(B42+C42,D42+E42,F42+G42,H42+I42,H42+I42)</f>
        <v>1</v>
      </c>
    </row>
    <row r="43" spans="1:14" x14ac:dyDescent="0.3">
      <c r="A43" s="99">
        <f t="shared" si="0"/>
        <v>41</v>
      </c>
      <c r="B43" s="70">
        <f>[1]Время!G43</f>
        <v>172.7353333333333</v>
      </c>
      <c r="C43" s="21">
        <f>[1]Время!S43</f>
        <v>13.526013075100064</v>
      </c>
      <c r="D43" s="22">
        <f>[2]Время!G43</f>
        <v>1.2</v>
      </c>
      <c r="E43" s="22">
        <f>[2]Время!S43</f>
        <v>0</v>
      </c>
      <c r="F43" s="23">
        <f>[3]Время!G43</f>
        <v>1</v>
      </c>
      <c r="G43" s="23">
        <f>[3]Время!S43</f>
        <v>0</v>
      </c>
      <c r="H43" s="24">
        <f>[4]Время!B43/30</f>
        <v>228.83333333333334</v>
      </c>
      <c r="I43" s="24">
        <f>[4]Время!I43</f>
        <v>0</v>
      </c>
      <c r="K43" s="35" cm="1">
        <f t="array" ref="K43">PointMin4(B43+C43,D43+E43,F43+G43,H43+I43,B43+C43)</f>
        <v>2</v>
      </c>
      <c r="L43" s="35" cm="1">
        <f t="array" ref="L43">PointMin4(B43+C43,D43+E43,F43+G43,H43+I43,D43+E43)</f>
        <v>3</v>
      </c>
      <c r="M43" s="35" cm="1">
        <f t="array" ref="M43">PointMin4(B43+C43,D43+E43,F43+G43,H43+I43,F43+G43)</f>
        <v>4</v>
      </c>
      <c r="N43" s="35" cm="1">
        <f t="array" ref="N43">PointMin4(B43+C43,D43+E43,F43+G43,H43+I43,H43+I43)</f>
        <v>1</v>
      </c>
    </row>
    <row r="44" spans="1:14" x14ac:dyDescent="0.3">
      <c r="A44" s="98">
        <f t="shared" si="0"/>
        <v>42</v>
      </c>
      <c r="B44" s="70">
        <f>[1]Время!G44</f>
        <v>0</v>
      </c>
      <c r="C44" s="21">
        <f>[1]Время!S44</f>
        <v>0</v>
      </c>
      <c r="D44" s="22">
        <f>[2]Время!G44</f>
        <v>0</v>
      </c>
      <c r="E44" s="22">
        <f>[2]Время!S44</f>
        <v>0</v>
      </c>
      <c r="F44" s="23">
        <f>[3]Время!G44</f>
        <v>0</v>
      </c>
      <c r="G44" s="23">
        <f>[3]Время!S44</f>
        <v>0</v>
      </c>
      <c r="H44" s="24">
        <f>[4]Время!B44/30</f>
        <v>0</v>
      </c>
      <c r="I44" s="24">
        <f>[4]Время!I44</f>
        <v>0</v>
      </c>
      <c r="K44" s="35" cm="1">
        <f t="array" ref="K44">PointMin4(B44+C44,D44+E44,F44+G44,H44+I44,B44+C44)</f>
        <v>1</v>
      </c>
      <c r="L44" s="35" cm="1">
        <f t="array" ref="L44">PointMin4(B44+C44,D44+E44,F44+G44,H44+I44,D44+E44)</f>
        <v>1</v>
      </c>
      <c r="M44" s="35" cm="1">
        <f t="array" ref="M44">PointMin4(B44+C44,D44+E44,F44+G44,H44+I44,F44+G44)</f>
        <v>1</v>
      </c>
      <c r="N44" s="35" cm="1">
        <f t="array" ref="N44">PointMin4(B44+C44,D44+E44,F44+G44,H44+I44,H44+I44)</f>
        <v>1</v>
      </c>
    </row>
    <row r="45" spans="1:14" x14ac:dyDescent="0.3">
      <c r="A45" s="98">
        <f t="shared" si="0"/>
        <v>43</v>
      </c>
      <c r="B45" s="70">
        <f>[1]Время!G45</f>
        <v>0</v>
      </c>
      <c r="C45" s="21">
        <f>[1]Время!S45</f>
        <v>0</v>
      </c>
      <c r="D45" s="22">
        <f>[2]Время!G45</f>
        <v>0</v>
      </c>
      <c r="E45" s="22">
        <f>[2]Время!S45</f>
        <v>0</v>
      </c>
      <c r="F45" s="23">
        <f>[3]Время!G45</f>
        <v>0</v>
      </c>
      <c r="G45" s="23">
        <f>[3]Время!S45</f>
        <v>0</v>
      </c>
      <c r="H45" s="24">
        <f>[4]Время!B45/30</f>
        <v>0</v>
      </c>
      <c r="I45" s="24">
        <f>[4]Время!I45</f>
        <v>0</v>
      </c>
      <c r="K45" s="35" cm="1">
        <f t="array" ref="K45">PointMin4(B45+C45,D45+E45,F45+G45,H45+I45,B45+C45)</f>
        <v>1</v>
      </c>
      <c r="L45" s="35" cm="1">
        <f t="array" ref="L45">PointMin4(B45+C45,D45+E45,F45+G45,H45+I45,D45+E45)</f>
        <v>1</v>
      </c>
      <c r="M45" s="35" cm="1">
        <f t="array" ref="M45">PointMin4(B45+C45,D45+E45,F45+G45,H45+I45,F45+G45)</f>
        <v>1</v>
      </c>
      <c r="N45" s="35" cm="1">
        <f t="array" ref="N45">PointMin4(B45+C45,D45+E45,F45+G45,H45+I45,H45+I45)</f>
        <v>1</v>
      </c>
    </row>
    <row r="46" spans="1:14" x14ac:dyDescent="0.3">
      <c r="A46" s="98">
        <f t="shared" si="0"/>
        <v>44</v>
      </c>
      <c r="B46" s="70">
        <f>[1]Время!G46</f>
        <v>0</v>
      </c>
      <c r="C46" s="21">
        <f>[1]Время!S46</f>
        <v>0</v>
      </c>
      <c r="D46" s="22">
        <f>[2]Время!G46</f>
        <v>0</v>
      </c>
      <c r="E46" s="22">
        <f>[2]Время!S46</f>
        <v>0</v>
      </c>
      <c r="F46" s="23">
        <f>[3]Время!G46</f>
        <v>0</v>
      </c>
      <c r="G46" s="23">
        <f>[3]Время!S46</f>
        <v>0</v>
      </c>
      <c r="H46" s="24">
        <f>[4]Время!B46/30</f>
        <v>0</v>
      </c>
      <c r="I46" s="24">
        <f>[4]Время!I46</f>
        <v>0</v>
      </c>
      <c r="K46" s="35" cm="1">
        <f t="array" ref="K46">PointMin4(B46+C46,D46+E46,F46+G46,H46+I46,B46+C46)</f>
        <v>1</v>
      </c>
      <c r="L46" s="35" cm="1">
        <f t="array" ref="L46">PointMin4(B46+C46,D46+E46,F46+G46,H46+I46,D46+E46)</f>
        <v>1</v>
      </c>
      <c r="M46" s="35" cm="1">
        <f t="array" ref="M46">PointMin4(B46+C46,D46+E46,F46+G46,H46+I46,F46+G46)</f>
        <v>1</v>
      </c>
      <c r="N46" s="35" cm="1">
        <f t="array" ref="N46">PointMin4(B46+C46,D46+E46,F46+G46,H46+I46,H46+I46)</f>
        <v>1</v>
      </c>
    </row>
    <row r="47" spans="1:14" x14ac:dyDescent="0.3">
      <c r="A47" s="98">
        <f t="shared" si="0"/>
        <v>45</v>
      </c>
      <c r="B47" s="70">
        <f>[1]Время!G47</f>
        <v>0</v>
      </c>
      <c r="C47" s="21">
        <f>[1]Время!S47</f>
        <v>0</v>
      </c>
      <c r="D47" s="22">
        <f>[2]Время!G47</f>
        <v>0</v>
      </c>
      <c r="E47" s="22">
        <f>[2]Время!S47</f>
        <v>0</v>
      </c>
      <c r="F47" s="23">
        <f>[3]Время!G47</f>
        <v>0</v>
      </c>
      <c r="G47" s="23">
        <f>[3]Время!S47</f>
        <v>0</v>
      </c>
      <c r="H47" s="24">
        <f>[4]Время!B47/30</f>
        <v>0</v>
      </c>
      <c r="I47" s="24">
        <f>[4]Время!I47</f>
        <v>0</v>
      </c>
      <c r="K47" s="35" cm="1">
        <f t="array" ref="K47">PointMin4(B47+C47,D47+E47,F47+G47,H47+I47,B47+C47)</f>
        <v>1</v>
      </c>
      <c r="L47" s="35" cm="1">
        <f t="array" ref="L47">PointMin4(B47+C47,D47+E47,F47+G47,H47+I47,D47+E47)</f>
        <v>1</v>
      </c>
      <c r="M47" s="35" cm="1">
        <f t="array" ref="M47">PointMin4(B47+C47,D47+E47,F47+G47,H47+I47,F47+G47)</f>
        <v>1</v>
      </c>
      <c r="N47" s="35" cm="1">
        <f t="array" ref="N47">PointMin4(B47+C47,D47+E47,F47+G47,H47+I47,H47+I47)</f>
        <v>1</v>
      </c>
    </row>
    <row r="48" spans="1:14" x14ac:dyDescent="0.3">
      <c r="A48" s="99">
        <f t="shared" si="0"/>
        <v>46</v>
      </c>
      <c r="B48" s="70">
        <f>[1]Время!G48</f>
        <v>174.37733333333335</v>
      </c>
      <c r="C48" s="21">
        <f>[1]Время!S48</f>
        <v>4.7270733572099823</v>
      </c>
      <c r="D48" s="22">
        <f>[2]Время!G48</f>
        <v>1.2</v>
      </c>
      <c r="E48" s="22">
        <f>[2]Время!S48</f>
        <v>0</v>
      </c>
      <c r="F48" s="23">
        <f>[3]Время!G48</f>
        <v>1</v>
      </c>
      <c r="G48" s="23">
        <f>[3]Время!S48</f>
        <v>0</v>
      </c>
      <c r="H48" s="24">
        <f>[4]Время!B48/30</f>
        <v>230.56666666666666</v>
      </c>
      <c r="I48" s="24">
        <f>[4]Время!I48</f>
        <v>0</v>
      </c>
      <c r="K48" s="35" cm="1">
        <f t="array" ref="K48">PointMin4(B48+C48,D48+E48,F48+G48,H48+I48,B48+C48)</f>
        <v>2</v>
      </c>
      <c r="L48" s="35" cm="1">
        <f t="array" ref="L48">PointMin4(B48+C48,D48+E48,F48+G48,H48+I48,D48+E48)</f>
        <v>3</v>
      </c>
      <c r="M48" s="35" cm="1">
        <f t="array" ref="M48">PointMin4(B48+C48,D48+E48,F48+G48,H48+I48,F48+G48)</f>
        <v>4</v>
      </c>
      <c r="N48" s="35" cm="1">
        <f t="array" ref="N48">PointMin4(B48+C48,D48+E48,F48+G48,H48+I48,H48+I48)</f>
        <v>1</v>
      </c>
    </row>
    <row r="49" spans="1:14" x14ac:dyDescent="0.3">
      <c r="A49" s="98">
        <f t="shared" si="0"/>
        <v>47</v>
      </c>
      <c r="B49" s="70">
        <f>[1]Время!G49</f>
        <v>0</v>
      </c>
      <c r="C49" s="21">
        <f>[1]Время!S49</f>
        <v>0</v>
      </c>
      <c r="D49" s="22">
        <f>[2]Время!G49</f>
        <v>0</v>
      </c>
      <c r="E49" s="22">
        <f>[2]Время!S49</f>
        <v>0</v>
      </c>
      <c r="F49" s="23">
        <f>[3]Время!G49</f>
        <v>0</v>
      </c>
      <c r="G49" s="23">
        <f>[3]Время!S49</f>
        <v>0</v>
      </c>
      <c r="H49" s="24">
        <f>[4]Время!B49/30</f>
        <v>0</v>
      </c>
      <c r="I49" s="24">
        <f>[4]Время!I49</f>
        <v>0</v>
      </c>
      <c r="K49" s="35" cm="1">
        <f t="array" ref="K49">PointMin4(B49+C49,D49+E49,F49+G49,H49+I49,B49+C49)</f>
        <v>1</v>
      </c>
      <c r="L49" s="35" cm="1">
        <f t="array" ref="L49">PointMin4(B49+C49,D49+E49,F49+G49,H49+I49,D49+E49)</f>
        <v>1</v>
      </c>
      <c r="M49" s="35" cm="1">
        <f t="array" ref="M49">PointMin4(B49+C49,D49+E49,F49+G49,H49+I49,F49+G49)</f>
        <v>1</v>
      </c>
      <c r="N49" s="35" cm="1">
        <f t="array" ref="N49">PointMin4(B49+C49,D49+E49,F49+G49,H49+I49,H49+I49)</f>
        <v>1</v>
      </c>
    </row>
    <row r="50" spans="1:14" x14ac:dyDescent="0.3">
      <c r="A50" s="67">
        <f t="shared" si="0"/>
        <v>48</v>
      </c>
      <c r="B50" s="70">
        <f>[1]Время!G50</f>
        <v>0</v>
      </c>
      <c r="C50" s="21">
        <f>[1]Время!S50</f>
        <v>0</v>
      </c>
      <c r="D50" s="22">
        <f>[2]Время!G50</f>
        <v>0</v>
      </c>
      <c r="E50" s="22">
        <f>[2]Время!S50</f>
        <v>0</v>
      </c>
      <c r="F50" s="23">
        <f>[3]Время!G50</f>
        <v>0</v>
      </c>
      <c r="G50" s="23">
        <f>[3]Время!S50</f>
        <v>0</v>
      </c>
      <c r="H50" s="24">
        <f>[4]Время!B50/30</f>
        <v>0</v>
      </c>
      <c r="I50" s="24">
        <f>[4]Время!I50</f>
        <v>0</v>
      </c>
      <c r="K50" s="35" cm="1">
        <f t="array" ref="K50">PointMin4(B50+C50,D50+E50,F50+G50,H50+I50,B50+C50)</f>
        <v>1</v>
      </c>
      <c r="L50" s="35" cm="1">
        <f t="array" ref="L50">PointMin4(B50+C50,D50+E50,F50+G50,H50+I50,D50+E50)</f>
        <v>1</v>
      </c>
      <c r="M50" s="35" cm="1">
        <f t="array" ref="M50">PointMin4(B50+C50,D50+E50,F50+G50,H50+I50,F50+G50)</f>
        <v>1</v>
      </c>
      <c r="N50" s="35" cm="1">
        <f t="array" ref="N50">PointMin4(B50+C50,D50+E50,F50+G50,H50+I50,H50+I50)</f>
        <v>1</v>
      </c>
    </row>
    <row r="51" spans="1:14" x14ac:dyDescent="0.3">
      <c r="A51" s="67">
        <f t="shared" si="0"/>
        <v>49</v>
      </c>
      <c r="B51" s="70">
        <f>[1]Время!G51</f>
        <v>0</v>
      </c>
      <c r="C51" s="21">
        <f>[1]Время!S51</f>
        <v>0</v>
      </c>
      <c r="D51" s="22">
        <f>[2]Время!G51</f>
        <v>0</v>
      </c>
      <c r="E51" s="22">
        <f>[2]Время!S51</f>
        <v>0</v>
      </c>
      <c r="F51" s="23">
        <f>[3]Время!G51</f>
        <v>0</v>
      </c>
      <c r="G51" s="23">
        <f>[3]Время!S51</f>
        <v>0</v>
      </c>
      <c r="H51" s="24">
        <f>[4]Время!B51/30</f>
        <v>0</v>
      </c>
      <c r="I51" s="24">
        <f>[4]Время!I51</f>
        <v>0</v>
      </c>
      <c r="K51" s="35" cm="1">
        <f t="array" ref="K51">PointMin4(B51+C51,D51+E51,F51+G51,H51+I51,B51+C51)</f>
        <v>1</v>
      </c>
      <c r="L51" s="35" cm="1">
        <f t="array" ref="L51">PointMin4(B51+C51,D51+E51,F51+G51,H51+I51,D51+E51)</f>
        <v>1</v>
      </c>
      <c r="M51" s="35" cm="1">
        <f t="array" ref="M51">PointMin4(B51+C51,D51+E51,F51+G51,H51+I51,F51+G51)</f>
        <v>1</v>
      </c>
      <c r="N51" s="35" cm="1">
        <f t="array" ref="N51">PointMin4(B51+C51,D51+E51,F51+G51,H51+I51,H51+I51)</f>
        <v>1</v>
      </c>
    </row>
    <row r="52" spans="1:14" x14ac:dyDescent="0.3">
      <c r="A52" s="67">
        <f t="shared" si="0"/>
        <v>50</v>
      </c>
      <c r="B52" s="70">
        <f>[1]Время!G52</f>
        <v>0</v>
      </c>
      <c r="C52" s="21">
        <f>[1]Время!S52</f>
        <v>0</v>
      </c>
      <c r="D52" s="22">
        <f>[2]Время!G52</f>
        <v>0</v>
      </c>
      <c r="E52" s="22">
        <f>[2]Время!S52</f>
        <v>0</v>
      </c>
      <c r="F52" s="23">
        <f>[3]Время!G52</f>
        <v>0</v>
      </c>
      <c r="G52" s="23">
        <f>[3]Время!S52</f>
        <v>0</v>
      </c>
      <c r="H52" s="24">
        <f>[4]Время!B52/30</f>
        <v>0</v>
      </c>
      <c r="I52" s="24">
        <f>[4]Время!I52</f>
        <v>0</v>
      </c>
      <c r="K52" s="35" cm="1">
        <f t="array" ref="K52">PointMin4(B52+C52,D52+E52,F52+G52,H52+I52,B52+C52)</f>
        <v>1</v>
      </c>
      <c r="L52" s="35" cm="1">
        <f t="array" ref="L52">PointMin4(B52+C52,D52+E52,F52+G52,H52+I52,D52+E52)</f>
        <v>1</v>
      </c>
      <c r="M52" s="35" cm="1">
        <f t="array" ref="M52">PointMin4(B52+C52,D52+E52,F52+G52,H52+I52,F52+G52)</f>
        <v>1</v>
      </c>
      <c r="N52" s="35" cm="1">
        <f t="array" ref="N52">PointMin4(B52+C52,D52+E52,F52+G52,H52+I52,H52+I52)</f>
        <v>1</v>
      </c>
    </row>
    <row r="53" spans="1:14" x14ac:dyDescent="0.3">
      <c r="A53" s="99">
        <f t="shared" si="0"/>
        <v>51</v>
      </c>
      <c r="B53" s="70">
        <f>[1]Время!G53</f>
        <v>172.47366666666667</v>
      </c>
      <c r="C53" s="21">
        <f>[1]Время!S53</f>
        <v>6.8177004369345529</v>
      </c>
      <c r="D53" s="22">
        <f>[2]Время!G53</f>
        <v>1.2</v>
      </c>
      <c r="E53" s="22">
        <f>[2]Время!S53</f>
        <v>0</v>
      </c>
      <c r="F53" s="23">
        <f>[3]Время!G53</f>
        <v>1</v>
      </c>
      <c r="G53" s="23">
        <f>[3]Время!S53</f>
        <v>0</v>
      </c>
      <c r="H53" s="24">
        <f>[4]Время!B53/30</f>
        <v>231.36666666666667</v>
      </c>
      <c r="I53" s="24">
        <f>[4]Время!I53</f>
        <v>0</v>
      </c>
      <c r="K53" s="35" cm="1">
        <f t="array" ref="K53">PointMin4(B53+C53,D53+E53,F53+G53,H53+I53,B53+C53)</f>
        <v>2</v>
      </c>
      <c r="L53" s="35" cm="1">
        <f t="array" ref="L53">PointMin4(B53+C53,D53+E53,F53+G53,H53+I53,D53+E53)</f>
        <v>3</v>
      </c>
      <c r="M53" s="35" cm="1">
        <f t="array" ref="M53">PointMin4(B53+C53,D53+E53,F53+G53,H53+I53,F53+G53)</f>
        <v>4</v>
      </c>
      <c r="N53" s="35" cm="1">
        <f t="array" ref="N53">PointMin4(B53+C53,D53+E53,F53+G53,H53+I53,H53+I53)</f>
        <v>1</v>
      </c>
    </row>
    <row r="54" spans="1:14" x14ac:dyDescent="0.3">
      <c r="A54" s="99">
        <f t="shared" si="0"/>
        <v>52</v>
      </c>
      <c r="B54" s="70">
        <f>[1]Время!G54</f>
        <v>1401.6890000000001</v>
      </c>
      <c r="C54" s="21">
        <f>[1]Время!S54</f>
        <v>24.902444709773736</v>
      </c>
      <c r="D54" s="22">
        <f>[2]Время!G54</f>
        <v>1.2</v>
      </c>
      <c r="E54" s="22">
        <f>[2]Время!S54</f>
        <v>0</v>
      </c>
      <c r="F54" s="23">
        <f>[3]Время!G54</f>
        <v>1</v>
      </c>
      <c r="G54" s="23">
        <f>[3]Время!S54</f>
        <v>0</v>
      </c>
      <c r="H54" s="24">
        <f>[4]Время!B54/30</f>
        <v>423.46666666666664</v>
      </c>
      <c r="I54" s="24">
        <f>[4]Время!I54</f>
        <v>0</v>
      </c>
      <c r="K54" s="35" cm="1">
        <f t="array" ref="K54">PointMin4(B54+C54,D54+E54,F54+G54,H54+I54,B54+C54)</f>
        <v>1</v>
      </c>
      <c r="L54" s="35" cm="1">
        <f t="array" ref="L54">PointMin4(B54+C54,D54+E54,F54+G54,H54+I54,D54+E54)</f>
        <v>3</v>
      </c>
      <c r="M54" s="35" cm="1">
        <f t="array" ref="M54">PointMin4(B54+C54,D54+E54,F54+G54,H54+I54,F54+G54)</f>
        <v>4</v>
      </c>
      <c r="N54" s="35" cm="1">
        <f t="array" ref="N54">PointMin4(B54+C54,D54+E54,F54+G54,H54+I54,H54+I54)</f>
        <v>2</v>
      </c>
    </row>
    <row r="55" spans="1:14" x14ac:dyDescent="0.3">
      <c r="A55" s="67">
        <f t="shared" si="0"/>
        <v>53</v>
      </c>
      <c r="B55" s="70">
        <f>[1]Время!G55</f>
        <v>0</v>
      </c>
      <c r="C55" s="21">
        <f>[1]Время!S55</f>
        <v>0</v>
      </c>
      <c r="D55" s="22">
        <f>[2]Время!G55</f>
        <v>0</v>
      </c>
      <c r="E55" s="22">
        <f>[2]Время!S55</f>
        <v>0</v>
      </c>
      <c r="F55" s="23">
        <f>[3]Время!G55</f>
        <v>0</v>
      </c>
      <c r="G55" s="23">
        <f>[3]Время!S55</f>
        <v>0</v>
      </c>
      <c r="H55" s="24">
        <f>[4]Время!B55/30</f>
        <v>0</v>
      </c>
      <c r="I55" s="24">
        <f>[4]Время!I55</f>
        <v>0</v>
      </c>
      <c r="K55" s="35" cm="1">
        <f t="array" ref="K55">PointMin4(B55+C55,D55+E55,F55+G55,H55+I55,B55+C55)</f>
        <v>1</v>
      </c>
      <c r="L55" s="35" cm="1">
        <f t="array" ref="L55">PointMin4(B55+C55,D55+E55,F55+G55,H55+I55,D55+E55)</f>
        <v>1</v>
      </c>
      <c r="M55" s="35" cm="1">
        <f t="array" ref="M55">PointMin4(B55+C55,D55+E55,F55+G55,H55+I55,F55+G55)</f>
        <v>1</v>
      </c>
      <c r="N55" s="35" cm="1">
        <f t="array" ref="N55">PointMin4(B55+C55,D55+E55,F55+G55,H55+I55,H55+I55)</f>
        <v>1</v>
      </c>
    </row>
    <row r="56" spans="1:14" x14ac:dyDescent="0.3">
      <c r="A56" s="67">
        <f t="shared" si="0"/>
        <v>54</v>
      </c>
      <c r="B56" s="70">
        <f>[1]Время!G56</f>
        <v>0</v>
      </c>
      <c r="C56" s="21">
        <f>[1]Время!S56</f>
        <v>0</v>
      </c>
      <c r="D56" s="22">
        <f>[2]Время!G56</f>
        <v>0</v>
      </c>
      <c r="E56" s="22">
        <f>[2]Время!S56</f>
        <v>0</v>
      </c>
      <c r="F56" s="23">
        <f>[3]Время!G56</f>
        <v>0</v>
      </c>
      <c r="G56" s="23">
        <f>[3]Время!S56</f>
        <v>0</v>
      </c>
      <c r="H56" s="24">
        <f>[4]Время!B56/30</f>
        <v>0</v>
      </c>
      <c r="I56" s="24">
        <f>[4]Время!I56</f>
        <v>0</v>
      </c>
      <c r="K56" s="35" cm="1">
        <f t="array" ref="K56">PointMin4(B56+C56,D56+E56,F56+G56,H56+I56,B56+C56)</f>
        <v>1</v>
      </c>
      <c r="L56" s="35" cm="1">
        <f t="array" ref="L56">PointMin4(B56+C56,D56+E56,F56+G56,H56+I56,D56+E56)</f>
        <v>1</v>
      </c>
      <c r="M56" s="35" cm="1">
        <f t="array" ref="M56">PointMin4(B56+C56,D56+E56,F56+G56,H56+I56,F56+G56)</f>
        <v>1</v>
      </c>
      <c r="N56" s="35" cm="1">
        <f t="array" ref="N56">PointMin4(B56+C56,D56+E56,F56+G56,H56+I56,H56+I56)</f>
        <v>1</v>
      </c>
    </row>
    <row r="57" spans="1:14" x14ac:dyDescent="0.3">
      <c r="A57" s="67">
        <f t="shared" si="0"/>
        <v>55</v>
      </c>
      <c r="B57" s="70">
        <f>[1]Время!G57</f>
        <v>0</v>
      </c>
      <c r="C57" s="21">
        <f>[1]Время!S57</f>
        <v>0</v>
      </c>
      <c r="D57" s="22">
        <f>[2]Время!G57</f>
        <v>0</v>
      </c>
      <c r="E57" s="22">
        <f>[2]Время!S57</f>
        <v>0</v>
      </c>
      <c r="F57" s="23">
        <f>[3]Время!G57</f>
        <v>0</v>
      </c>
      <c r="G57" s="23">
        <f>[3]Время!S57</f>
        <v>0</v>
      </c>
      <c r="H57" s="24">
        <f>[4]Время!B57/30</f>
        <v>0</v>
      </c>
      <c r="I57" s="24">
        <f>[4]Время!I57</f>
        <v>0</v>
      </c>
      <c r="K57" s="35" cm="1">
        <f t="array" ref="K57">PointMin4(B57+C57,D57+E57,F57+G57,H57+I57,B57+C57)</f>
        <v>1</v>
      </c>
      <c r="L57" s="35" cm="1">
        <f t="array" ref="L57">PointMin4(B57+C57,D57+E57,F57+G57,H57+I57,D57+E57)</f>
        <v>1</v>
      </c>
      <c r="M57" s="35" cm="1">
        <f t="array" ref="M57">PointMin4(B57+C57,D57+E57,F57+G57,H57+I57,F57+G57)</f>
        <v>1</v>
      </c>
      <c r="N57" s="35" cm="1">
        <f t="array" ref="N57">PointMin4(B57+C57,D57+E57,F57+G57,H57+I57,H57+I57)</f>
        <v>1</v>
      </c>
    </row>
    <row r="58" spans="1:14" x14ac:dyDescent="0.3">
      <c r="A58" s="99">
        <f t="shared" si="0"/>
        <v>56</v>
      </c>
      <c r="B58" s="70">
        <f>[1]Время!G58</f>
        <v>179.76966666666667</v>
      </c>
      <c r="C58" s="21">
        <f>[1]Время!S58</f>
        <v>7.971469126272245</v>
      </c>
      <c r="D58" s="22">
        <f>[2]Время!G58</f>
        <v>1.2</v>
      </c>
      <c r="E58" s="22">
        <f>[2]Время!S58</f>
        <v>0</v>
      </c>
      <c r="F58" s="23">
        <f>[3]Время!G58</f>
        <v>1</v>
      </c>
      <c r="G58" s="23">
        <f>[3]Время!S58</f>
        <v>0</v>
      </c>
      <c r="H58" s="24">
        <f>[4]Время!B58/30</f>
        <v>230.56666666666666</v>
      </c>
      <c r="I58" s="24">
        <f>[4]Время!I58</f>
        <v>0</v>
      </c>
      <c r="K58" s="35" cm="1">
        <f t="array" ref="K58">PointMin4(B58+C58,D58+E58,F58+G58,H58+I58,B58+C58)</f>
        <v>2</v>
      </c>
      <c r="L58" s="35" cm="1">
        <f t="array" ref="L58">PointMin4(B58+C58,D58+E58,F58+G58,H58+I58,D58+E58)</f>
        <v>3</v>
      </c>
      <c r="M58" s="35" cm="1">
        <f t="array" ref="M58">PointMin4(B58+C58,D58+E58,F58+G58,H58+I58,F58+G58)</f>
        <v>4</v>
      </c>
      <c r="N58" s="35" cm="1">
        <f t="array" ref="N58">PointMin4(B58+C58,D58+E58,F58+G58,H58+I58,H58+I58)</f>
        <v>1</v>
      </c>
    </row>
    <row r="59" spans="1:14" x14ac:dyDescent="0.3">
      <c r="A59" s="99">
        <f t="shared" si="0"/>
        <v>57</v>
      </c>
      <c r="B59" s="70">
        <f>[1]Время!G59</f>
        <v>1404.7733333333333</v>
      </c>
      <c r="C59" s="21">
        <f>[1]Время!S59</f>
        <v>25.648288586462044</v>
      </c>
      <c r="D59" s="22">
        <f>[2]Время!G59</f>
        <v>1.2</v>
      </c>
      <c r="E59" s="22">
        <f>[2]Время!S59</f>
        <v>0</v>
      </c>
      <c r="F59" s="23">
        <f>[3]Время!G59</f>
        <v>1</v>
      </c>
      <c r="G59" s="23">
        <f>[3]Время!S59</f>
        <v>0</v>
      </c>
      <c r="H59" s="24">
        <f>[4]Время!B59/30</f>
        <v>426.1</v>
      </c>
      <c r="I59" s="24">
        <f>[4]Время!I59</f>
        <v>0</v>
      </c>
      <c r="K59" s="35" cm="1">
        <f t="array" ref="K59">PointMin4(B59+C59,D59+E59,F59+G59,H59+I59,B59+C59)</f>
        <v>1</v>
      </c>
      <c r="L59" s="35" cm="1">
        <f t="array" ref="L59">PointMin4(B59+C59,D59+E59,F59+G59,H59+I59,D59+E59)</f>
        <v>3</v>
      </c>
      <c r="M59" s="35" cm="1">
        <f t="array" ref="M59">PointMin4(B59+C59,D59+E59,F59+G59,H59+I59,F59+G59)</f>
        <v>4</v>
      </c>
      <c r="N59" s="35" cm="1">
        <f t="array" ref="N59">PointMin4(B59+C59,D59+E59,F59+G59,H59+I59,H59+I59)</f>
        <v>2</v>
      </c>
    </row>
    <row r="60" spans="1:14" x14ac:dyDescent="0.3">
      <c r="A60" s="67">
        <f t="shared" si="0"/>
        <v>58</v>
      </c>
      <c r="B60" s="70">
        <f>[1]Время!G60</f>
        <v>0</v>
      </c>
      <c r="C60" s="21">
        <f>[1]Время!S60</f>
        <v>0</v>
      </c>
      <c r="D60" s="22">
        <f>[2]Время!G60</f>
        <v>0</v>
      </c>
      <c r="E60" s="22">
        <f>[2]Время!S60</f>
        <v>0</v>
      </c>
      <c r="F60" s="23">
        <f>[3]Время!G60</f>
        <v>0</v>
      </c>
      <c r="G60" s="23">
        <f>[3]Время!S60</f>
        <v>0</v>
      </c>
      <c r="H60" s="24">
        <f>[4]Время!B60/30</f>
        <v>0</v>
      </c>
      <c r="I60" s="24">
        <f>[4]Время!I60</f>
        <v>0</v>
      </c>
      <c r="K60" s="35" cm="1">
        <f t="array" ref="K60">PointMin4(B60+C60,D60+E60,F60+G60,H60+I60,B60+C60)</f>
        <v>1</v>
      </c>
      <c r="L60" s="35" cm="1">
        <f t="array" ref="L60">PointMin4(B60+C60,D60+E60,F60+G60,H60+I60,D60+E60)</f>
        <v>1</v>
      </c>
      <c r="M60" s="35" cm="1">
        <f t="array" ref="M60">PointMin4(B60+C60,D60+E60,F60+G60,H60+I60,F60+G60)</f>
        <v>1</v>
      </c>
      <c r="N60" s="35" cm="1">
        <f t="array" ref="N60">PointMin4(B60+C60,D60+E60,F60+G60,H60+I60,H60+I60)</f>
        <v>1</v>
      </c>
    </row>
    <row r="61" spans="1:14" x14ac:dyDescent="0.3">
      <c r="A61" s="67">
        <f t="shared" si="0"/>
        <v>59</v>
      </c>
      <c r="B61" s="70">
        <f>[1]Время!G61</f>
        <v>0</v>
      </c>
      <c r="C61" s="21">
        <f>[1]Время!S61</f>
        <v>0</v>
      </c>
      <c r="D61" s="22">
        <f>[2]Время!G61</f>
        <v>0</v>
      </c>
      <c r="E61" s="22">
        <f>[2]Время!S61</f>
        <v>0</v>
      </c>
      <c r="F61" s="23">
        <f>[3]Время!G61</f>
        <v>0</v>
      </c>
      <c r="G61" s="23">
        <f>[3]Время!S61</f>
        <v>0</v>
      </c>
      <c r="H61" s="24">
        <f>[4]Время!B61/30</f>
        <v>0</v>
      </c>
      <c r="I61" s="24">
        <f>[4]Время!I61</f>
        <v>0</v>
      </c>
      <c r="K61" s="35" cm="1">
        <f t="array" ref="K61">PointMin4(B61+C61,D61+E61,F61+G61,H61+I61,B61+C61)</f>
        <v>1</v>
      </c>
      <c r="L61" s="35" cm="1">
        <f t="array" ref="L61">PointMin4(B61+C61,D61+E61,F61+G61,H61+I61,D61+E61)</f>
        <v>1</v>
      </c>
      <c r="M61" s="35" cm="1">
        <f t="array" ref="M61">PointMin4(B61+C61,D61+E61,F61+G61,H61+I61,F61+G61)</f>
        <v>1</v>
      </c>
      <c r="N61" s="35" cm="1">
        <f t="array" ref="N61">PointMin4(B61+C61,D61+E61,F61+G61,H61+I61,H61+I61)</f>
        <v>1</v>
      </c>
    </row>
    <row r="62" spans="1:14" x14ac:dyDescent="0.3">
      <c r="A62" s="67">
        <f t="shared" si="0"/>
        <v>60</v>
      </c>
      <c r="B62" s="70">
        <f>[1]Время!G62</f>
        <v>0</v>
      </c>
      <c r="C62" s="21">
        <f>[1]Время!S62</f>
        <v>0</v>
      </c>
      <c r="D62" s="22">
        <f>[2]Время!G62</f>
        <v>0</v>
      </c>
      <c r="E62" s="22">
        <f>[2]Время!S62</f>
        <v>0</v>
      </c>
      <c r="F62" s="23">
        <f>[3]Время!G62</f>
        <v>0</v>
      </c>
      <c r="G62" s="23">
        <f>[3]Время!S62</f>
        <v>0</v>
      </c>
      <c r="H62" s="24">
        <f>[4]Время!B62/30</f>
        <v>0</v>
      </c>
      <c r="I62" s="24">
        <f>[4]Время!I62</f>
        <v>0</v>
      </c>
      <c r="K62" s="35" cm="1">
        <f t="array" ref="K62">PointMin4(B62+C62,D62+E62,F62+G62,H62+I62,B62+C62)</f>
        <v>1</v>
      </c>
      <c r="L62" s="35" cm="1">
        <f t="array" ref="L62">PointMin4(B62+C62,D62+E62,F62+G62,H62+I62,D62+E62)</f>
        <v>1</v>
      </c>
      <c r="M62" s="35" cm="1">
        <f t="array" ref="M62">PointMin4(B62+C62,D62+E62,F62+G62,H62+I62,F62+G62)</f>
        <v>1</v>
      </c>
      <c r="N62" s="35" cm="1">
        <f t="array" ref="N62">PointMin4(B62+C62,D62+E62,F62+G62,H62+I62,H62+I62)</f>
        <v>1</v>
      </c>
    </row>
    <row r="63" spans="1:14" x14ac:dyDescent="0.3">
      <c r="A63" s="100">
        <f t="shared" si="0"/>
        <v>61</v>
      </c>
      <c r="B63" s="70">
        <f>[1]Время!G63</f>
        <v>172.07966666666667</v>
      </c>
      <c r="C63" s="21">
        <f>[1]Время!S63</f>
        <v>5.8863410449767075</v>
      </c>
      <c r="D63" s="22">
        <f>[2]Время!G63</f>
        <v>2.8333333333333335</v>
      </c>
      <c r="E63" s="22">
        <f>[2]Время!S63</f>
        <v>0.14333333333333348</v>
      </c>
      <c r="F63" s="23">
        <f>[3]Время!G63</f>
        <v>0.5</v>
      </c>
      <c r="G63" s="23">
        <f>[3]Время!S63</f>
        <v>0</v>
      </c>
      <c r="H63" s="24">
        <f>[4]Время!B63/30</f>
        <v>226.9</v>
      </c>
      <c r="I63" s="24">
        <f>[4]Время!I63</f>
        <v>0</v>
      </c>
      <c r="K63" s="35" cm="1">
        <f t="array" ref="K63">PointMin4(B63+C63,D63+E63,F63+G63,H63+I63,B63+C63)</f>
        <v>2</v>
      </c>
      <c r="L63" s="35" cm="1">
        <f t="array" ref="L63">PointMin4(B63+C63,D63+E63,F63+G63,H63+I63,D63+E63)</f>
        <v>3</v>
      </c>
      <c r="M63" s="35" cm="1">
        <f t="array" ref="M63">PointMin4(B63+C63,D63+E63,F63+G63,H63+I63,F63+G63)</f>
        <v>4</v>
      </c>
      <c r="N63" s="35" cm="1">
        <f t="array" ref="N63">PointMin4(B63+C63,D63+E63,F63+G63,H63+I63,H63+I63)</f>
        <v>1</v>
      </c>
    </row>
    <row r="64" spans="1:14" x14ac:dyDescent="0.3">
      <c r="A64" s="98">
        <f t="shared" si="0"/>
        <v>62</v>
      </c>
      <c r="B64" s="70">
        <f>[1]Время!G64</f>
        <v>0</v>
      </c>
      <c r="C64" s="21">
        <f>[1]Время!S64</f>
        <v>0</v>
      </c>
      <c r="D64" s="22">
        <f>[2]Время!G64</f>
        <v>0</v>
      </c>
      <c r="E64" s="22">
        <f>[2]Время!S64</f>
        <v>0</v>
      </c>
      <c r="F64" s="23">
        <f>[3]Время!G64</f>
        <v>0</v>
      </c>
      <c r="G64" s="23">
        <f>[3]Время!S64</f>
        <v>0</v>
      </c>
      <c r="H64" s="24">
        <f>[4]Время!B64/30</f>
        <v>0</v>
      </c>
      <c r="I64" s="24">
        <f>[4]Время!I64</f>
        <v>0</v>
      </c>
      <c r="K64" s="35" cm="1">
        <f t="array" ref="K64">PointMin4(B64+C64,D64+E64,F64+G64,H64+I64,B64+C64)</f>
        <v>1</v>
      </c>
      <c r="L64" s="35" cm="1">
        <f t="array" ref="L64">PointMin4(B64+C64,D64+E64,F64+G64,H64+I64,D64+E64)</f>
        <v>1</v>
      </c>
      <c r="M64" s="35" cm="1">
        <f t="array" ref="M64">PointMin4(B64+C64,D64+E64,F64+G64,H64+I64,F64+G64)</f>
        <v>1</v>
      </c>
      <c r="N64" s="35" cm="1">
        <f t="array" ref="N64">PointMin4(B64+C64,D64+E64,F64+G64,H64+I64,H64+I64)</f>
        <v>1</v>
      </c>
    </row>
    <row r="65" spans="1:14" x14ac:dyDescent="0.3">
      <c r="A65" s="98">
        <f t="shared" si="0"/>
        <v>63</v>
      </c>
      <c r="B65" s="70">
        <f>[1]Время!G65</f>
        <v>0</v>
      </c>
      <c r="C65" s="21">
        <f>[1]Время!S65</f>
        <v>0</v>
      </c>
      <c r="D65" s="22">
        <f>[2]Время!G65</f>
        <v>0</v>
      </c>
      <c r="E65" s="22">
        <f>[2]Время!S65</f>
        <v>0</v>
      </c>
      <c r="F65" s="23">
        <f>[3]Время!G65</f>
        <v>0</v>
      </c>
      <c r="G65" s="23">
        <f>[3]Время!S65</f>
        <v>0</v>
      </c>
      <c r="H65" s="24">
        <f>[4]Время!B65/30</f>
        <v>0</v>
      </c>
      <c r="I65" s="24">
        <f>[4]Время!I65</f>
        <v>0</v>
      </c>
      <c r="K65" s="35" cm="1">
        <f t="array" ref="K65">PointMin4(B65+C65,D65+E65,F65+G65,H65+I65,B65+C65)</f>
        <v>1</v>
      </c>
      <c r="L65" s="35" cm="1">
        <f t="array" ref="L65">PointMin4(B65+C65,D65+E65,F65+G65,H65+I65,D65+E65)</f>
        <v>1</v>
      </c>
      <c r="M65" s="35" cm="1">
        <f t="array" ref="M65">PointMin4(B65+C65,D65+E65,F65+G65,H65+I65,F65+G65)</f>
        <v>1</v>
      </c>
      <c r="N65" s="35" cm="1">
        <f t="array" ref="N65">PointMin4(B65+C65,D65+E65,F65+G65,H65+I65,H65+I65)</f>
        <v>1</v>
      </c>
    </row>
    <row r="66" spans="1:14" x14ac:dyDescent="0.3">
      <c r="A66" s="98">
        <f t="shared" si="0"/>
        <v>64</v>
      </c>
      <c r="B66" s="70">
        <f>[1]Время!G66</f>
        <v>0</v>
      </c>
      <c r="C66" s="21">
        <f>[1]Время!S66</f>
        <v>0</v>
      </c>
      <c r="D66" s="22">
        <f>[2]Время!G66</f>
        <v>0</v>
      </c>
      <c r="E66" s="22">
        <f>[2]Время!S66</f>
        <v>0</v>
      </c>
      <c r="F66" s="23">
        <f>[3]Время!G66</f>
        <v>0</v>
      </c>
      <c r="G66" s="23">
        <f>[3]Время!S66</f>
        <v>0</v>
      </c>
      <c r="H66" s="24">
        <f>[4]Время!B66/30</f>
        <v>0</v>
      </c>
      <c r="I66" s="24">
        <f>[4]Время!I66</f>
        <v>0</v>
      </c>
      <c r="K66" s="35" cm="1">
        <f t="array" ref="K66">PointMin4(B66+C66,D66+E66,F66+G66,H66+I66,B66+C66)</f>
        <v>1</v>
      </c>
      <c r="L66" s="35" cm="1">
        <f t="array" ref="L66">PointMin4(B66+C66,D66+E66,F66+G66,H66+I66,D66+E66)</f>
        <v>1</v>
      </c>
      <c r="M66" s="35" cm="1">
        <f t="array" ref="M66">PointMin4(B66+C66,D66+E66,F66+G66,H66+I66,F66+G66)</f>
        <v>1</v>
      </c>
      <c r="N66" s="35" cm="1">
        <f t="array" ref="N66">PointMin4(B66+C66,D66+E66,F66+G66,H66+I66,H66+I66)</f>
        <v>1</v>
      </c>
    </row>
    <row r="67" spans="1:14" x14ac:dyDescent="0.3">
      <c r="A67" s="98">
        <f t="shared" si="0"/>
        <v>65</v>
      </c>
      <c r="B67" s="70">
        <f>[1]Время!G67</f>
        <v>0</v>
      </c>
      <c r="C67" s="21">
        <f>[1]Время!S67</f>
        <v>0</v>
      </c>
      <c r="D67" s="22">
        <f>[2]Время!G67</f>
        <v>0</v>
      </c>
      <c r="E67" s="22">
        <f>[2]Время!S67</f>
        <v>0</v>
      </c>
      <c r="F67" s="23">
        <f>[3]Время!G67</f>
        <v>0</v>
      </c>
      <c r="G67" s="23">
        <f>[3]Время!S67</f>
        <v>0</v>
      </c>
      <c r="H67" s="24">
        <f>[4]Время!B67/30</f>
        <v>0</v>
      </c>
      <c r="I67" s="24">
        <f>[4]Время!I67</f>
        <v>0</v>
      </c>
      <c r="K67" s="35" cm="1">
        <f t="array" ref="K67">PointMin4(B67+C67,D67+E67,F67+G67,H67+I67,B67+C67)</f>
        <v>1</v>
      </c>
      <c r="L67" s="35" cm="1">
        <f t="array" ref="L67">PointMin4(B67+C67,D67+E67,F67+G67,H67+I67,D67+E67)</f>
        <v>1</v>
      </c>
      <c r="M67" s="35" cm="1">
        <f t="array" ref="M67">PointMin4(B67+C67,D67+E67,F67+G67,H67+I67,F67+G67)</f>
        <v>1</v>
      </c>
      <c r="N67" s="35" cm="1">
        <f t="array" ref="N67">PointMin4(B67+C67,D67+E67,F67+G67,H67+I67,H67+I67)</f>
        <v>1</v>
      </c>
    </row>
    <row r="68" spans="1:14" x14ac:dyDescent="0.3">
      <c r="A68" s="99">
        <f t="shared" si="0"/>
        <v>66</v>
      </c>
      <c r="B68" s="70">
        <f>[1]Время!G68</f>
        <v>177.13766666666666</v>
      </c>
      <c r="C68" s="21">
        <f>[1]Время!S68</f>
        <v>6.9879768794535737</v>
      </c>
      <c r="D68" s="22">
        <f>[2]Время!G68</f>
        <v>1.6000000000000003</v>
      </c>
      <c r="E68" s="22">
        <f>[2]Время!S68</f>
        <v>0.24826061575153904</v>
      </c>
      <c r="F68" s="23">
        <f>[3]Время!G68</f>
        <v>0.5</v>
      </c>
      <c r="G68" s="23">
        <f>[3]Время!S68</f>
        <v>0</v>
      </c>
      <c r="H68" s="24">
        <f>[4]Время!B68/30</f>
        <v>224.7</v>
      </c>
      <c r="I68" s="24">
        <f>[4]Время!I68</f>
        <v>0</v>
      </c>
      <c r="K68" s="35" cm="1">
        <f t="array" ref="K68">PointMin4(B68+C68,D68+E68,F68+G68,H68+I68,B68+C68)</f>
        <v>2</v>
      </c>
      <c r="L68" s="35" cm="1">
        <f t="array" ref="L68">PointMin4(B68+C68,D68+E68,F68+G68,H68+I68,D68+E68)</f>
        <v>3</v>
      </c>
      <c r="M68" s="35" cm="1">
        <f t="array" ref="M68">PointMin4(B68+C68,D68+E68,F68+G68,H68+I68,F68+G68)</f>
        <v>4</v>
      </c>
      <c r="N68" s="35" cm="1">
        <f t="array" ref="N68">PointMin4(B68+C68,D68+E68,F68+G68,H68+I68,H68+I68)</f>
        <v>1</v>
      </c>
    </row>
    <row r="69" spans="1:14" x14ac:dyDescent="0.3">
      <c r="A69" s="98">
        <f t="shared" ref="A69:A78" si="1">A68+1</f>
        <v>67</v>
      </c>
      <c r="B69" s="70">
        <f>[1]Время!G69</f>
        <v>0</v>
      </c>
      <c r="C69" s="21">
        <f>[1]Время!S69</f>
        <v>0</v>
      </c>
      <c r="D69" s="22">
        <f>[2]Время!G69</f>
        <v>0</v>
      </c>
      <c r="E69" s="22">
        <f>[2]Время!S69</f>
        <v>0</v>
      </c>
      <c r="F69" s="23">
        <f>[3]Время!G69</f>
        <v>0</v>
      </c>
      <c r="G69" s="23">
        <f>[3]Время!S69</f>
        <v>0</v>
      </c>
      <c r="H69" s="24">
        <f>[4]Время!B69/30</f>
        <v>0</v>
      </c>
      <c r="I69" s="24">
        <f>[4]Время!I69</f>
        <v>0</v>
      </c>
      <c r="K69" s="35" cm="1">
        <f t="array" ref="K69">PointMin4(B69+C69,D69+E69,F69+G69,H69+I69,B69+C69)</f>
        <v>1</v>
      </c>
      <c r="L69" s="35" cm="1">
        <f t="array" ref="L69">PointMin4(B69+C69,D69+E69,F69+G69,H69+I69,D69+E69)</f>
        <v>1</v>
      </c>
      <c r="M69" s="35" cm="1">
        <f t="array" ref="M69">PointMin4(B69+C69,D69+E69,F69+G69,H69+I69,F69+G69)</f>
        <v>1</v>
      </c>
      <c r="N69" s="35" cm="1">
        <f t="array" ref="N69">PointMin4(B69+C69,D69+E69,F69+G69,H69+I69,H69+I69)</f>
        <v>1</v>
      </c>
    </row>
    <row r="70" spans="1:14" x14ac:dyDescent="0.3">
      <c r="A70" s="98">
        <f t="shared" si="1"/>
        <v>68</v>
      </c>
      <c r="B70" s="70">
        <f>[1]Время!G70</f>
        <v>0</v>
      </c>
      <c r="C70" s="21">
        <f>[1]Время!S70</f>
        <v>0</v>
      </c>
      <c r="D70" s="22">
        <f>[2]Время!G70</f>
        <v>0</v>
      </c>
      <c r="E70" s="22">
        <f>[2]Время!S70</f>
        <v>0</v>
      </c>
      <c r="F70" s="23">
        <f>[3]Время!G70</f>
        <v>0</v>
      </c>
      <c r="G70" s="23">
        <f>[3]Время!S70</f>
        <v>0</v>
      </c>
      <c r="H70" s="24">
        <f>[4]Время!B70/30</f>
        <v>0</v>
      </c>
      <c r="I70" s="24">
        <f>[4]Время!I70</f>
        <v>0</v>
      </c>
      <c r="K70" s="35" cm="1">
        <f t="array" ref="K70">PointMin4(B70+C70,D70+E70,F70+G70,H70+I70,B70+C70)</f>
        <v>1</v>
      </c>
      <c r="L70" s="35" cm="1">
        <f t="array" ref="L70">PointMin4(B70+C70,D70+E70,F70+G70,H70+I70,D70+E70)</f>
        <v>1</v>
      </c>
      <c r="M70" s="35" cm="1">
        <f t="array" ref="M70">PointMin4(B70+C70,D70+E70,F70+G70,H70+I70,F70+G70)</f>
        <v>1</v>
      </c>
      <c r="N70" s="35" cm="1">
        <f t="array" ref="N70">PointMin4(B70+C70,D70+E70,F70+G70,H70+I70,H70+I70)</f>
        <v>1</v>
      </c>
    </row>
    <row r="71" spans="1:14" x14ac:dyDescent="0.3">
      <c r="A71" s="98">
        <f t="shared" si="1"/>
        <v>69</v>
      </c>
      <c r="B71" s="70">
        <f>[1]Время!G71</f>
        <v>0</v>
      </c>
      <c r="C71" s="21">
        <f>[1]Время!S71</f>
        <v>0</v>
      </c>
      <c r="D71" s="22">
        <f>[2]Время!G71</f>
        <v>0</v>
      </c>
      <c r="E71" s="22">
        <f>[2]Время!S71</f>
        <v>0</v>
      </c>
      <c r="F71" s="23">
        <f>[3]Время!G71</f>
        <v>0</v>
      </c>
      <c r="G71" s="23">
        <f>[3]Время!S71</f>
        <v>0</v>
      </c>
      <c r="H71" s="24">
        <f>[4]Время!B71/30</f>
        <v>0</v>
      </c>
      <c r="I71" s="24">
        <f>[4]Время!I71</f>
        <v>0</v>
      </c>
      <c r="K71" s="35" cm="1">
        <f t="array" ref="K71">PointMin4(B71+C71,D71+E71,F71+G71,H71+I71,B71+C71)</f>
        <v>1</v>
      </c>
      <c r="L71" s="35" cm="1">
        <f t="array" ref="L71">PointMin4(B71+C71,D71+E71,F71+G71,H71+I71,D71+E71)</f>
        <v>1</v>
      </c>
      <c r="M71" s="35" cm="1">
        <f t="array" ref="M71">PointMin4(B71+C71,D71+E71,F71+G71,H71+I71,F71+G71)</f>
        <v>1</v>
      </c>
      <c r="N71" s="35" cm="1">
        <f t="array" ref="N71">PointMin4(B71+C71,D71+E71,F71+G71,H71+I71,H71+I71)</f>
        <v>1</v>
      </c>
    </row>
    <row r="72" spans="1:14" x14ac:dyDescent="0.3">
      <c r="A72" s="98">
        <f t="shared" si="1"/>
        <v>70</v>
      </c>
      <c r="B72" s="70">
        <f>[1]Время!G72</f>
        <v>0</v>
      </c>
      <c r="C72" s="21">
        <f>[1]Время!S72</f>
        <v>0</v>
      </c>
      <c r="D72" s="22">
        <f>[2]Время!G72</f>
        <v>0</v>
      </c>
      <c r="E72" s="22">
        <f>[2]Время!S72</f>
        <v>0</v>
      </c>
      <c r="F72" s="23">
        <f>[3]Время!G72</f>
        <v>0</v>
      </c>
      <c r="G72" s="23">
        <f>[3]Время!S72</f>
        <v>0</v>
      </c>
      <c r="H72" s="24">
        <f>[4]Время!B72/30</f>
        <v>0</v>
      </c>
      <c r="I72" s="24">
        <f>[4]Время!I72</f>
        <v>0</v>
      </c>
      <c r="K72" s="35" cm="1">
        <f t="array" ref="K72">PointMin4(B72+C72,D72+E72,F72+G72,H72+I72,B72+C72)</f>
        <v>1</v>
      </c>
      <c r="L72" s="35" cm="1">
        <f t="array" ref="L72">PointMin4(B72+C72,D72+E72,F72+G72,H72+I72,D72+E72)</f>
        <v>1</v>
      </c>
      <c r="M72" s="35" cm="1">
        <f t="array" ref="M72">PointMin4(B72+C72,D72+E72,F72+G72,H72+I72,F72+G72)</f>
        <v>1</v>
      </c>
      <c r="N72" s="35" cm="1">
        <f t="array" ref="N72">PointMin4(B72+C72,D72+E72,F72+G72,H72+I72,H72+I72)</f>
        <v>1</v>
      </c>
    </row>
    <row r="73" spans="1:14" x14ac:dyDescent="0.3">
      <c r="A73" s="99">
        <f t="shared" si="1"/>
        <v>71</v>
      </c>
      <c r="B73" s="70">
        <f>[1]Время!G73</f>
        <v>147.50200000000001</v>
      </c>
      <c r="C73" s="21">
        <f>[1]Время!S73</f>
        <v>7.1147919198900782</v>
      </c>
      <c r="D73" s="22">
        <f>[2]Время!G73</f>
        <v>1.6000000000000003</v>
      </c>
      <c r="E73" s="22">
        <f>[2]Время!S73</f>
        <v>6.7513975723402323E-16</v>
      </c>
      <c r="F73" s="23">
        <f>[3]Время!G73</f>
        <v>0.5</v>
      </c>
      <c r="G73" s="23">
        <f>[3]Время!S73</f>
        <v>0</v>
      </c>
      <c r="H73" s="24">
        <f>[4]Время!B73/30</f>
        <v>226.43333333333334</v>
      </c>
      <c r="I73" s="24">
        <f>[4]Время!I73</f>
        <v>0</v>
      </c>
      <c r="K73" s="35" cm="1">
        <f t="array" ref="K73">PointMin4(B73+C73,D73+E73,F73+G73,H73+I73,B73+C73)</f>
        <v>2</v>
      </c>
      <c r="L73" s="35" cm="1">
        <f t="array" ref="L73">PointMin4(B73+C73,D73+E73,F73+G73,H73+I73,D73+E73)</f>
        <v>3</v>
      </c>
      <c r="M73" s="35" cm="1">
        <f t="array" ref="M73">PointMin4(B73+C73,D73+E73,F73+G73,H73+I73,F73+G73)</f>
        <v>4</v>
      </c>
      <c r="N73" s="35" cm="1">
        <f t="array" ref="N73">PointMin4(B73+C73,D73+E73,F73+G73,H73+I73,H73+I73)</f>
        <v>1</v>
      </c>
    </row>
    <row r="74" spans="1:14" x14ac:dyDescent="0.3">
      <c r="A74" s="98">
        <f t="shared" si="1"/>
        <v>72</v>
      </c>
      <c r="B74" s="70">
        <f>[1]Время!G74</f>
        <v>0</v>
      </c>
      <c r="C74" s="21">
        <f>[1]Время!S74</f>
        <v>0</v>
      </c>
      <c r="D74" s="22">
        <f>[2]Время!G74</f>
        <v>0</v>
      </c>
      <c r="E74" s="22">
        <f>[2]Время!S74</f>
        <v>0</v>
      </c>
      <c r="F74" s="23">
        <f>[3]Время!G74</f>
        <v>0</v>
      </c>
      <c r="G74" s="23">
        <f>[3]Время!S74</f>
        <v>0</v>
      </c>
      <c r="H74" s="24">
        <f>[4]Время!B74/30</f>
        <v>0</v>
      </c>
      <c r="I74" s="24">
        <f>[4]Время!I74</f>
        <v>0</v>
      </c>
      <c r="K74" s="35" cm="1">
        <f t="array" ref="K74">PointMin4(B74+C74,D74+E74,F74+G74,H74+I74,B74+C74)</f>
        <v>1</v>
      </c>
      <c r="L74" s="35" cm="1">
        <f t="array" ref="L74">PointMin4(B74+C74,D74+E74,F74+G74,H74+I74,D74+E74)</f>
        <v>1</v>
      </c>
      <c r="M74" s="35" cm="1">
        <f t="array" ref="M74">PointMin4(B74+C74,D74+E74,F74+G74,H74+I74,F74+G74)</f>
        <v>1</v>
      </c>
      <c r="N74" s="35" cm="1">
        <f t="array" ref="N74">PointMin4(B74+C74,D74+E74,F74+G74,H74+I74,H74+I74)</f>
        <v>1</v>
      </c>
    </row>
    <row r="75" spans="1:14" x14ac:dyDescent="0.3">
      <c r="A75" s="98">
        <f t="shared" si="1"/>
        <v>73</v>
      </c>
      <c r="B75" s="70">
        <f>[1]Время!G75</f>
        <v>0</v>
      </c>
      <c r="C75" s="21">
        <f>[1]Время!S75</f>
        <v>0</v>
      </c>
      <c r="D75" s="22">
        <f>[2]Время!G75</f>
        <v>0</v>
      </c>
      <c r="E75" s="22">
        <f>[2]Время!S75</f>
        <v>0</v>
      </c>
      <c r="F75" s="23">
        <f>[3]Время!G75</f>
        <v>0</v>
      </c>
      <c r="G75" s="23">
        <f>[3]Время!S75</f>
        <v>0</v>
      </c>
      <c r="H75" s="24">
        <f>[4]Время!B75/30</f>
        <v>0</v>
      </c>
      <c r="I75" s="24">
        <f>[4]Время!I75</f>
        <v>0</v>
      </c>
      <c r="K75" s="35" cm="1">
        <f t="array" ref="K75">PointMin4(B75+C75,D75+E75,F75+G75,H75+I75,B75+C75)</f>
        <v>1</v>
      </c>
      <c r="L75" s="35" cm="1">
        <f t="array" ref="L75">PointMin4(B75+C75,D75+E75,F75+G75,H75+I75,D75+E75)</f>
        <v>1</v>
      </c>
      <c r="M75" s="35" cm="1">
        <f t="array" ref="M75">PointMin4(B75+C75,D75+E75,F75+G75,H75+I75,F75+G75)</f>
        <v>1</v>
      </c>
      <c r="N75" s="35" cm="1">
        <f t="array" ref="N75">PointMin4(B75+C75,D75+E75,F75+G75,H75+I75,H75+I75)</f>
        <v>1</v>
      </c>
    </row>
    <row r="76" spans="1:14" x14ac:dyDescent="0.3">
      <c r="A76" s="98">
        <f t="shared" si="1"/>
        <v>74</v>
      </c>
      <c r="B76" s="70">
        <f>[1]Время!G76</f>
        <v>0</v>
      </c>
      <c r="C76" s="21">
        <f>[1]Время!S76</f>
        <v>0</v>
      </c>
      <c r="D76" s="22">
        <f>[2]Время!G76</f>
        <v>0</v>
      </c>
      <c r="E76" s="22">
        <f>[2]Время!S76</f>
        <v>0</v>
      </c>
      <c r="F76" s="23">
        <f>[3]Время!G76</f>
        <v>0</v>
      </c>
      <c r="G76" s="23">
        <f>[3]Время!S76</f>
        <v>0</v>
      </c>
      <c r="H76" s="24">
        <f>[4]Время!B76/30</f>
        <v>0</v>
      </c>
      <c r="I76" s="24">
        <f>[4]Время!I76</f>
        <v>0</v>
      </c>
      <c r="K76" s="35" cm="1">
        <f t="array" ref="K76">PointMin4(B76+C76,D76+E76,F76+G76,H76+I76,B76+C76)</f>
        <v>1</v>
      </c>
      <c r="L76" s="35" cm="1">
        <f t="array" ref="L76">PointMin4(B76+C76,D76+E76,F76+G76,H76+I76,D76+E76)</f>
        <v>1</v>
      </c>
      <c r="M76" s="35" cm="1">
        <f t="array" ref="M76">PointMin4(B76+C76,D76+E76,F76+G76,H76+I76,F76+G76)</f>
        <v>1</v>
      </c>
      <c r="N76" s="35" cm="1">
        <f t="array" ref="N76">PointMin4(B76+C76,D76+E76,F76+G76,H76+I76,H76+I76)</f>
        <v>1</v>
      </c>
    </row>
    <row r="77" spans="1:14" x14ac:dyDescent="0.3">
      <c r="A77" s="98">
        <f t="shared" si="1"/>
        <v>75</v>
      </c>
      <c r="B77" s="70">
        <f>[1]Время!G77</f>
        <v>0</v>
      </c>
      <c r="C77" s="21">
        <f>[1]Время!S77</f>
        <v>0</v>
      </c>
      <c r="D77" s="22">
        <f>[2]Время!G77</f>
        <v>0</v>
      </c>
      <c r="E77" s="22">
        <f>[2]Время!S77</f>
        <v>0</v>
      </c>
      <c r="F77" s="23">
        <f>[3]Время!G77</f>
        <v>0</v>
      </c>
      <c r="G77" s="23">
        <f>[3]Время!S77</f>
        <v>0</v>
      </c>
      <c r="H77" s="24">
        <f>[4]Время!B77/30</f>
        <v>0</v>
      </c>
      <c r="I77" s="24">
        <f>[4]Время!I77</f>
        <v>0</v>
      </c>
      <c r="K77" s="35" cm="1">
        <f t="array" ref="K77">PointMin4(B77+C77,D77+E77,F77+G77,H77+I77,B77+C77)</f>
        <v>1</v>
      </c>
      <c r="L77" s="35" cm="1">
        <f t="array" ref="L77">PointMin4(B77+C77,D77+E77,F77+G77,H77+I77,D77+E77)</f>
        <v>1</v>
      </c>
      <c r="M77" s="35" cm="1">
        <f t="array" ref="M77">PointMin4(B77+C77,D77+E77,F77+G77,H77+I77,F77+G77)</f>
        <v>1</v>
      </c>
      <c r="N77" s="35" cm="1">
        <f t="array" ref="N77">PointMin4(B77+C77,D77+E77,F77+G77,H77+I77,H77+I77)</f>
        <v>1</v>
      </c>
    </row>
    <row r="78" spans="1:14" x14ac:dyDescent="0.3">
      <c r="A78" s="99">
        <f t="shared" si="1"/>
        <v>76</v>
      </c>
      <c r="B78" s="70">
        <f>[1]Время!G78</f>
        <v>161.822</v>
      </c>
      <c r="C78" s="21">
        <f>[1]Время!S78</f>
        <v>5.3511514661176696</v>
      </c>
      <c r="D78" s="22">
        <f>[2]Время!G78</f>
        <v>7.2</v>
      </c>
      <c r="E78" s="22">
        <f>[2]Время!S78</f>
        <v>0</v>
      </c>
      <c r="F78" s="23">
        <f>[3]Время!G78</f>
        <v>0.5</v>
      </c>
      <c r="G78" s="23">
        <f>[3]Время!S78</f>
        <v>0</v>
      </c>
      <c r="H78" s="24">
        <f>[4]Время!B78/30</f>
        <v>221.26666666666668</v>
      </c>
      <c r="I78" s="24">
        <f>[4]Время!I78</f>
        <v>0</v>
      </c>
      <c r="K78" s="35" cm="1">
        <f t="array" ref="K78">PointMin4(B78+C78,D78+E78,F78+G78,H78+I78,B78+C78)</f>
        <v>2</v>
      </c>
      <c r="L78" s="35" cm="1">
        <f t="array" ref="L78">PointMin4(B78+C78,D78+E78,F78+G78,H78+I78,D78+E78)</f>
        <v>3</v>
      </c>
      <c r="M78" s="35" cm="1">
        <f t="array" ref="M78">PointMin4(B78+C78,D78+E78,F78+G78,H78+I78,F78+G78)</f>
        <v>4</v>
      </c>
      <c r="N78" s="35" cm="1">
        <f t="array" ref="N78">PointMin4(B78+C78,D78+E78,F78+G78,H78+I78,H78+I78)</f>
        <v>1</v>
      </c>
    </row>
    <row r="79" spans="1:14" x14ac:dyDescent="0.3">
      <c r="B79" s="70">
        <f>[1]Время!G79</f>
        <v>0</v>
      </c>
      <c r="C79" s="21">
        <f>[1]Время!S79</f>
        <v>0</v>
      </c>
      <c r="D79" s="22">
        <f>[2]Время!G79</f>
        <v>0</v>
      </c>
      <c r="E79" s="22">
        <f>[2]Время!S79</f>
        <v>0</v>
      </c>
      <c r="F79" s="23">
        <f>[3]Время!G79</f>
        <v>0</v>
      </c>
      <c r="G79" s="23">
        <f>[3]Время!S79</f>
        <v>0</v>
      </c>
      <c r="H79" s="24">
        <f>[4]Время!B79/30</f>
        <v>0</v>
      </c>
      <c r="I79" s="24">
        <f>[4]Время!I79</f>
        <v>0</v>
      </c>
      <c r="K79" s="35" cm="1">
        <f t="array" ref="K79">PointMin4(B79+C79,D79+E79,F79+G79,H79+I79,B79+C79)</f>
        <v>1</v>
      </c>
      <c r="L79" s="35" cm="1">
        <f t="array" ref="L79">PointMin4(B79+C79,D79+E79,F79+G79,H79+I79,D79+E79)</f>
        <v>1</v>
      </c>
      <c r="M79" s="35" cm="1">
        <f t="array" ref="M79">PointMin4(B79+C79,D79+E79,F79+G79,H79+I79,F79+G79)</f>
        <v>1</v>
      </c>
      <c r="N79" s="35" cm="1">
        <f t="array" ref="N79">PointMin4(B79+C79,D79+E79,F79+G79,H79+I79,H79+I79)</f>
        <v>1</v>
      </c>
    </row>
    <row r="80" spans="1:14" x14ac:dyDescent="0.3">
      <c r="B80" s="70">
        <f>[1]Время!G80</f>
        <v>0</v>
      </c>
      <c r="C80" s="21">
        <f>[1]Время!S80</f>
        <v>0</v>
      </c>
      <c r="D80" s="22">
        <f>[2]Время!G80</f>
        <v>0</v>
      </c>
      <c r="E80" s="22">
        <f>[2]Время!S80</f>
        <v>0</v>
      </c>
      <c r="F80" s="23">
        <f>[3]Время!G80</f>
        <v>0</v>
      </c>
      <c r="G80" s="23">
        <f>[3]Время!S80</f>
        <v>0</v>
      </c>
      <c r="H80" s="24">
        <f>[4]Время!B80/30</f>
        <v>0</v>
      </c>
      <c r="I80" s="24">
        <f>[4]Время!I80</f>
        <v>0</v>
      </c>
      <c r="K80" s="35" cm="1">
        <f t="array" ref="K80">PointMin4(B80+C80,D80+E80,F80+G80,H80+I80,B80+C80)</f>
        <v>1</v>
      </c>
      <c r="L80" s="35" cm="1">
        <f t="array" ref="L80">PointMin4(B80+C80,D80+E80,F80+G80,H80+I80,D80+E80)</f>
        <v>1</v>
      </c>
      <c r="M80" s="35" cm="1">
        <f t="array" ref="M80">PointMin4(B80+C80,D80+E80,F80+G80,H80+I80,F80+G80)</f>
        <v>1</v>
      </c>
      <c r="N80" s="35" cm="1">
        <f t="array" ref="N80">PointMin4(B80+C80,D80+E80,F80+G80,H80+I80,H80+I80)</f>
        <v>1</v>
      </c>
    </row>
    <row r="81" spans="1:14" x14ac:dyDescent="0.3">
      <c r="A81" s="99" t="s">
        <v>51</v>
      </c>
      <c r="B81" s="70">
        <f>[1]Время!G81</f>
        <v>154.274</v>
      </c>
      <c r="C81" s="21">
        <f>[1]Время!S81</f>
        <v>18.293777306231743</v>
      </c>
      <c r="D81" s="22">
        <f>[2]Время!G81</f>
        <v>1.2</v>
      </c>
      <c r="E81" s="22">
        <f>[2]Время!S81</f>
        <v>0</v>
      </c>
      <c r="F81" s="23">
        <f>[3]Время!G81</f>
        <v>1</v>
      </c>
      <c r="G81" s="23">
        <f>[3]Время!S81</f>
        <v>0</v>
      </c>
      <c r="H81" s="24">
        <f>[4]Время!B81/30</f>
        <v>223.96666666666667</v>
      </c>
      <c r="I81" s="24">
        <f>[4]Время!I81</f>
        <v>0</v>
      </c>
      <c r="K81" s="35" cm="1">
        <f t="array" ref="K81">PointMin4(B81+C81,D81+E81,F81+G81,H81+I81,B81+C81)</f>
        <v>2</v>
      </c>
      <c r="L81" s="35" cm="1">
        <f t="array" ref="L81">PointMin4(B81+C81,D81+E81,F81+G81,H81+I81,D81+E81)</f>
        <v>3</v>
      </c>
      <c r="M81" s="35" cm="1">
        <f t="array" ref="M81">PointMin4(B81+C81,D81+E81,F81+G81,H81+I81,F81+G81)</f>
        <v>4</v>
      </c>
      <c r="N81" s="35" cm="1">
        <f t="array" ref="N81">PointMin4(B81+C81,D81+E81,F81+G81,H81+I81,H81+I81)</f>
        <v>1</v>
      </c>
    </row>
    <row r="82" spans="1:14" x14ac:dyDescent="0.3">
      <c r="A82" s="99" t="s">
        <v>52</v>
      </c>
      <c r="B82" s="70">
        <f>[1]Время!G82</f>
        <v>154.524</v>
      </c>
      <c r="C82" s="21">
        <f>[1]Время!S82</f>
        <v>1.9658055626129478</v>
      </c>
      <c r="D82" s="22">
        <f>[2]Время!G82</f>
        <v>1.2</v>
      </c>
      <c r="E82" s="22">
        <f>[2]Время!S82</f>
        <v>0</v>
      </c>
      <c r="F82" s="23">
        <f>[3]Время!G82</f>
        <v>1</v>
      </c>
      <c r="G82" s="23">
        <f>[3]Время!S82</f>
        <v>0</v>
      </c>
      <c r="H82" s="24">
        <f>[4]Время!B82/30</f>
        <v>233.1</v>
      </c>
      <c r="I82" s="24">
        <f>[4]Время!I82</f>
        <v>0</v>
      </c>
      <c r="K82" s="35" cm="1">
        <f t="array" ref="K82">PointMin4(B82+C82,D82+E82,F82+G82,H82+I82,B82+C82)</f>
        <v>2</v>
      </c>
      <c r="L82" s="35" cm="1">
        <f t="array" ref="L82">PointMin4(B82+C82,D82+E82,F82+G82,H82+I82,D82+E82)</f>
        <v>3</v>
      </c>
      <c r="M82" s="35" cm="1">
        <f t="array" ref="M82">PointMin4(B82+C82,D82+E82,F82+G82,H82+I82,F82+G82)</f>
        <v>4</v>
      </c>
      <c r="N82" s="35" cm="1">
        <f t="array" ref="N82">PointMin4(B82+C82,D82+E82,F82+G82,H82+I82,H82+I82)</f>
        <v>1</v>
      </c>
    </row>
    <row r="83" spans="1:14" x14ac:dyDescent="0.3">
      <c r="A83" s="99" t="s">
        <v>53</v>
      </c>
      <c r="B83" s="70">
        <f>[1]Время!G83</f>
        <v>128.62899999999999</v>
      </c>
      <c r="C83" s="21">
        <f>[1]Время!S83</f>
        <v>22.698930238890107</v>
      </c>
      <c r="D83" s="22">
        <f>[2]Время!G83</f>
        <v>2.7999999999999994</v>
      </c>
      <c r="E83" s="22">
        <f>[2]Время!S83</f>
        <v>1.3502795144680465E-15</v>
      </c>
      <c r="F83" s="23">
        <f>[3]Время!G83</f>
        <v>0.5</v>
      </c>
      <c r="G83" s="23">
        <f>[3]Время!S83</f>
        <v>0</v>
      </c>
      <c r="H83" s="24">
        <f>[4]Время!B83/30</f>
        <v>216.93333333333334</v>
      </c>
      <c r="I83" s="24">
        <f>[4]Время!I83</f>
        <v>0</v>
      </c>
      <c r="K83" s="35" cm="1">
        <f t="array" ref="K83">PointMin4(B83+C83,D83+E83,F83+G83,H83+I83,B83+C83)</f>
        <v>2</v>
      </c>
      <c r="L83" s="35" cm="1">
        <f t="array" ref="L83">PointMin4(B83+C83,D83+E83,F83+G83,H83+I83,D83+E83)</f>
        <v>3</v>
      </c>
      <c r="M83" s="35" cm="1">
        <f t="array" ref="M83">PointMin4(B83+C83,D83+E83,F83+G83,H83+I83,F83+G83)</f>
        <v>4</v>
      </c>
      <c r="N83" s="35" cm="1">
        <f t="array" ref="N83">PointMin4(B83+C83,D83+E83,F83+G83,H83+I83,H83+I83)</f>
        <v>1</v>
      </c>
    </row>
    <row r="84" spans="1:14" x14ac:dyDescent="0.3">
      <c r="A84" s="99" t="s">
        <v>54</v>
      </c>
      <c r="B84" s="70">
        <f>[1]Время!G84</f>
        <v>125.17333333333333</v>
      </c>
      <c r="C84" s="21">
        <f>[1]Время!S84</f>
        <v>5.9078225295883042</v>
      </c>
      <c r="D84" s="22">
        <f>[2]Время!G84</f>
        <v>2.7999999999999994</v>
      </c>
      <c r="E84" s="22">
        <f>[2]Время!S84</f>
        <v>1.3502795144680465E-15</v>
      </c>
      <c r="F84" s="23">
        <f>[3]Время!G84</f>
        <v>0.5</v>
      </c>
      <c r="G84" s="23">
        <f>[3]Время!S84</f>
        <v>0</v>
      </c>
      <c r="H84" s="24">
        <f>[4]Время!B84/30</f>
        <v>219.8</v>
      </c>
      <c r="I84" s="24">
        <f>[4]Время!I84</f>
        <v>0</v>
      </c>
      <c r="K84" s="35" cm="1">
        <f t="array" ref="K84">PointMin4(B84+C84,D84+E84,F84+G84,H84+I84,B84+C84)</f>
        <v>2</v>
      </c>
      <c r="L84" s="35" cm="1">
        <f t="array" ref="L84">PointMin4(B84+C84,D84+E84,F84+G84,H84+I84,D84+E84)</f>
        <v>3</v>
      </c>
      <c r="M84" s="35" cm="1">
        <f t="array" ref="M84">PointMin4(B84+C84,D84+E84,F84+G84,H84+I84,F84+G84)</f>
        <v>4</v>
      </c>
      <c r="N84" s="35" cm="1">
        <f t="array" ref="N84">PointMin4(B84+C84,D84+E84,F84+G84,H84+I84,H84+I84)</f>
        <v>1</v>
      </c>
    </row>
    <row r="85" spans="1:14" x14ac:dyDescent="0.3">
      <c r="A85" s="99" t="s">
        <v>55</v>
      </c>
      <c r="B85" s="70">
        <f>[1]Время!G85</f>
        <v>142.01533333333333</v>
      </c>
      <c r="C85" s="21">
        <f>[1]Время!S85</f>
        <v>4.5706905460529281</v>
      </c>
      <c r="D85" s="22">
        <f>[2]Время!G85</f>
        <v>3.9</v>
      </c>
      <c r="E85" s="22">
        <f>[2]Время!S85</f>
        <v>0</v>
      </c>
      <c r="F85" s="23">
        <f>[3]Время!G85</f>
        <v>0.5</v>
      </c>
      <c r="G85" s="23">
        <f>[3]Время!S85</f>
        <v>0</v>
      </c>
      <c r="H85" s="24">
        <f>[4]Время!B85/30</f>
        <v>221.86666666666667</v>
      </c>
      <c r="I85" s="24">
        <f>[4]Время!I85</f>
        <v>0</v>
      </c>
      <c r="K85" s="35" cm="1">
        <f t="array" ref="K85">PointMin4(B85+C85,D85+E85,F85+G85,H85+I85,B85+C85)</f>
        <v>2</v>
      </c>
      <c r="L85" s="35" cm="1">
        <f t="array" ref="L85">PointMin4(B85+C85,D85+E85,F85+G85,H85+I85,D85+E85)</f>
        <v>3</v>
      </c>
      <c r="M85" s="35" cm="1">
        <f t="array" ref="M85">PointMin4(B85+C85,D85+E85,F85+G85,H85+I85,F85+G85)</f>
        <v>4</v>
      </c>
      <c r="N85" s="35" cm="1">
        <f t="array" ref="N85">PointMin4(B85+C85,D85+E85,F85+G85,H85+I85,H85+I85)</f>
        <v>1</v>
      </c>
    </row>
    <row r="86" spans="1:14" x14ac:dyDescent="0.3">
      <c r="A86" s="99" t="s">
        <v>56</v>
      </c>
      <c r="B86" s="70">
        <f>[1]Время!G86</f>
        <v>163.53299999999999</v>
      </c>
      <c r="C86" s="21">
        <f>[1]Время!S86</f>
        <v>8.3408986987813893</v>
      </c>
      <c r="D86" s="22">
        <f>[2]Время!G86</f>
        <v>3.9</v>
      </c>
      <c r="E86" s="22">
        <f>[2]Время!S86</f>
        <v>0</v>
      </c>
      <c r="F86" s="23">
        <f>[3]Время!G86</f>
        <v>0.5</v>
      </c>
      <c r="G86" s="23">
        <f>[3]Время!S86</f>
        <v>0</v>
      </c>
      <c r="H86" s="24">
        <f>[4]Время!B86/30</f>
        <v>222.26666666666668</v>
      </c>
      <c r="I86" s="24">
        <f>[4]Время!I86</f>
        <v>0</v>
      </c>
      <c r="K86" s="35" cm="1">
        <f t="array" ref="K86">PointMin4(B86+C86,D86+E86,F86+G86,H86+I86,B86+C86)</f>
        <v>2</v>
      </c>
      <c r="L86" s="35" cm="1">
        <f t="array" ref="L86">PointMin4(B86+C86,D86+E86,F86+G86,H86+I86,D86+E86)</f>
        <v>3</v>
      </c>
      <c r="M86" s="35" cm="1">
        <f t="array" ref="M86">PointMin4(B86+C86,D86+E86,F86+G86,H86+I86,F86+G86)</f>
        <v>4</v>
      </c>
      <c r="N86" s="35" cm="1">
        <f t="array" ref="N86">PointMin4(B86+C86,D86+E86,F86+G86,H86+I86,H86+I86)</f>
        <v>1</v>
      </c>
    </row>
    <row r="87" spans="1:14" x14ac:dyDescent="0.3">
      <c r="A87" s="99" t="s">
        <v>57</v>
      </c>
      <c r="B87" s="70">
        <f>[1]Время!G87</f>
        <v>125.05399999999999</v>
      </c>
      <c r="C87" s="21">
        <f>[1]Время!S87</f>
        <v>5.8390754328061236</v>
      </c>
      <c r="D87" s="22">
        <f>[2]Время!G87</f>
        <v>2.7999999999999994</v>
      </c>
      <c r="E87" s="22">
        <f>[2]Время!S87</f>
        <v>1.3502795144680465E-15</v>
      </c>
      <c r="F87" s="23">
        <f>[3]Время!G87</f>
        <v>0.80000000000000016</v>
      </c>
      <c r="G87" s="23">
        <f>[3]Время!S87</f>
        <v>3.3756987861701161E-16</v>
      </c>
      <c r="H87" s="24">
        <f>[4]Время!B87/30</f>
        <v>216.76666666666668</v>
      </c>
      <c r="I87" s="24">
        <f>[4]Время!I87</f>
        <v>0</v>
      </c>
      <c r="K87" s="35" cm="1">
        <f t="array" ref="K87">PointMin4(B87+C87,D87+E87,F87+G87,H87+I87,B87+C87)</f>
        <v>2</v>
      </c>
      <c r="L87" s="35" cm="1">
        <f t="array" ref="L87">PointMin4(B87+C87,D87+E87,F87+G87,H87+I87,D87+E87)</f>
        <v>3</v>
      </c>
      <c r="M87" s="35" cm="1">
        <f t="array" ref="M87">PointMin4(B87+C87,D87+E87,F87+G87,H87+I87,F87+G87)</f>
        <v>4</v>
      </c>
      <c r="N87" s="35" cm="1">
        <f t="array" ref="N87">PointMin4(B87+C87,D87+E87,F87+G87,H87+I87,H87+I87)</f>
        <v>1</v>
      </c>
    </row>
    <row r="88" spans="1:14" x14ac:dyDescent="0.3">
      <c r="A88" s="99" t="s">
        <v>58</v>
      </c>
      <c r="B88" s="70">
        <f>[1]Время!G88</f>
        <v>99.165000000000006</v>
      </c>
      <c r="C88" s="21">
        <f>[1]Время!S88</f>
        <v>22.358295370920676</v>
      </c>
      <c r="D88" s="22">
        <f>[2]Время!G88</f>
        <v>3.7999999999999994</v>
      </c>
      <c r="E88" s="22">
        <f>[2]Время!S88</f>
        <v>1.3502795144680465E-15</v>
      </c>
      <c r="F88" s="23">
        <f>[3]Время!G88</f>
        <v>0.80000000000000016</v>
      </c>
      <c r="G88" s="23">
        <f>[3]Время!S88</f>
        <v>3.3756987861701161E-16</v>
      </c>
      <c r="H88" s="24">
        <f>[4]Время!B88/30</f>
        <v>217.16666666666666</v>
      </c>
      <c r="I88" s="24">
        <f>[4]Время!I88</f>
        <v>0</v>
      </c>
      <c r="K88" s="35" cm="1">
        <f t="array" ref="K88">PointMin4(B88+C88,D88+E88,F88+G88,H88+I88,B88+C88)</f>
        <v>2</v>
      </c>
      <c r="L88" s="35" cm="1">
        <f t="array" ref="L88">PointMin4(B88+C88,D88+E88,F88+G88,H88+I88,D88+E88)</f>
        <v>3</v>
      </c>
      <c r="M88" s="35" cm="1">
        <f t="array" ref="M88">PointMin4(B88+C88,D88+E88,F88+G88,H88+I88,F88+G88)</f>
        <v>4</v>
      </c>
      <c r="N88" s="35" cm="1">
        <f t="array" ref="N88">PointMin4(B88+C88,D88+E88,F88+G88,H88+I88,H88+I88)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4F2D-F915-440E-AA25-6DFC666AE1CE}">
  <sheetPr codeName="Лист13"/>
  <dimension ref="A1:S89"/>
  <sheetViews>
    <sheetView workbookViewId="0">
      <selection activeCell="H3" sqref="H3"/>
    </sheetView>
  </sheetViews>
  <sheetFormatPr defaultRowHeight="14.4" x14ac:dyDescent="0.3"/>
  <cols>
    <col min="1" max="1" width="33.21875" style="98" customWidth="1"/>
    <col min="2" max="2" width="10.6640625" style="71" customWidth="1"/>
    <col min="3" max="3" width="10.109375" style="5" customWidth="1"/>
    <col min="4" max="4" width="10.44140625" style="1" customWidth="1"/>
    <col min="5" max="5" width="10.33203125" style="1" customWidth="1"/>
    <col min="6" max="6" width="12.5546875" style="14" customWidth="1"/>
    <col min="7" max="7" width="11.33203125" style="14" customWidth="1"/>
    <col min="8" max="8" width="13.5546875" style="19" customWidth="1"/>
    <col min="9" max="9" width="11.44140625" style="19" customWidth="1"/>
    <col min="10" max="10" width="18" style="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" style="4" customWidth="1"/>
    <col min="17" max="17" width="13.33203125" style="4" customWidth="1"/>
    <col min="18" max="18" width="15.44140625" style="4" customWidth="1"/>
    <col min="19" max="19" width="16.33203125" style="4" customWidth="1"/>
    <col min="20" max="16384" width="8.88671875" style="4"/>
  </cols>
  <sheetData>
    <row r="1" spans="1:19" s="2" customFormat="1" x14ac:dyDescent="0.3">
      <c r="A1" s="101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2"/>
      <c r="B2" s="69" t="s">
        <v>45</v>
      </c>
      <c r="C2" s="26" t="s">
        <v>46</v>
      </c>
      <c r="D2" s="27" t="s">
        <v>45</v>
      </c>
      <c r="E2" s="27" t="s">
        <v>46</v>
      </c>
      <c r="F2" s="28" t="s">
        <v>45</v>
      </c>
      <c r="G2" s="28" t="s">
        <v>46</v>
      </c>
      <c r="H2" s="29" t="s">
        <v>45</v>
      </c>
      <c r="I2" s="29" t="s">
        <v>46</v>
      </c>
      <c r="J2" s="33"/>
      <c r="K2" s="32"/>
      <c r="L2" s="32"/>
      <c r="M2" s="32"/>
      <c r="N2" s="32"/>
      <c r="O2" s="33"/>
    </row>
    <row r="3" spans="1:19" s="20" customFormat="1" x14ac:dyDescent="0.3">
      <c r="A3" s="97">
        <v>1</v>
      </c>
      <c r="B3" s="70">
        <f>[1]Память!G3</f>
        <v>1244</v>
      </c>
      <c r="C3" s="21">
        <f>[1]Память!S3</f>
        <v>24.826061575153908</v>
      </c>
      <c r="D3" s="22">
        <f>[2]Память!G3</f>
        <v>50</v>
      </c>
      <c r="E3" s="22">
        <f>[2]Память!S3</f>
        <v>12.900000000000002</v>
      </c>
      <c r="F3" s="23">
        <f>[3]Память!G3</f>
        <v>540</v>
      </c>
      <c r="G3" s="23">
        <f>[3]Память!S3</f>
        <v>24.826061575153908</v>
      </c>
      <c r="H3" s="24">
        <f>[4]Память!B3</f>
        <v>7936</v>
      </c>
      <c r="I3" s="24">
        <f>[4]Память!I3</f>
        <v>0</v>
      </c>
      <c r="J3" s="31"/>
      <c r="K3" s="35" cm="1">
        <f t="array" ref="K3">PointMin4(B3+C3,D3+E3,F3+G3,H3+I3,B3+C3)</f>
        <v>2</v>
      </c>
      <c r="L3" s="35" cm="1">
        <f t="array" ref="L3">PointMin4(B3+C3,D3+E3,F3+G3,H3+I3,D3+E3)</f>
        <v>4</v>
      </c>
      <c r="M3" s="35" cm="1">
        <f t="array" ref="M3">PointMin4(B3+C3,D3+E3,F3+G3,H3+I3,F3+G3)</f>
        <v>3</v>
      </c>
      <c r="N3" s="35" cm="1">
        <f t="array" ref="N3">PointMin4(B3+C3,D3+E3,F3+G3,H3+I3,H3+I3)</f>
        <v>1</v>
      </c>
      <c r="O3" s="31"/>
      <c r="P3" s="35">
        <f>SUM(K:K)</f>
        <v>113</v>
      </c>
      <c r="Q3" s="35">
        <f>SUM(L:L)</f>
        <v>165</v>
      </c>
      <c r="R3" s="35">
        <f>SUM(M:M)</f>
        <v>139</v>
      </c>
      <c r="S3" s="35">
        <f>SUM(N:N)</f>
        <v>87</v>
      </c>
    </row>
    <row r="4" spans="1:19" x14ac:dyDescent="0.3">
      <c r="A4" s="98">
        <f>A3+1</f>
        <v>2</v>
      </c>
      <c r="B4" s="70">
        <f>[1]Память!G4</f>
        <v>0</v>
      </c>
      <c r="C4" s="21">
        <f>[1]Память!S4</f>
        <v>0</v>
      </c>
      <c r="D4" s="22">
        <f>[2]Память!G4</f>
        <v>0</v>
      </c>
      <c r="E4" s="22">
        <f>[2]Память!S4</f>
        <v>0</v>
      </c>
      <c r="F4" s="23">
        <f>[3]Память!G4</f>
        <v>0</v>
      </c>
      <c r="G4" s="23">
        <f>[3]Память!S4</f>
        <v>0</v>
      </c>
      <c r="H4" s="24">
        <f>[4]Память!B4</f>
        <v>0</v>
      </c>
      <c r="I4" s="24">
        <f>[4]Память!I4</f>
        <v>0</v>
      </c>
      <c r="J4" s="31"/>
      <c r="K4" s="35" cm="1">
        <f t="array" ref="K4">PointMin4(B4+C4,D4+E4,F4+G4,H4+I4,B4+C4)</f>
        <v>1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1</v>
      </c>
      <c r="O4" s="31"/>
    </row>
    <row r="5" spans="1:19" x14ac:dyDescent="0.3">
      <c r="A5" s="98">
        <f t="shared" ref="A5:A68" si="0">A4+1</f>
        <v>3</v>
      </c>
      <c r="B5" s="70">
        <f>[1]Память!G5</f>
        <v>0</v>
      </c>
      <c r="C5" s="21">
        <f>[1]Память!S5</f>
        <v>0</v>
      </c>
      <c r="D5" s="22">
        <f>[2]Память!G5</f>
        <v>0</v>
      </c>
      <c r="E5" s="22">
        <f>[2]Память!S5</f>
        <v>0</v>
      </c>
      <c r="F5" s="23">
        <f>[3]Память!G5</f>
        <v>0</v>
      </c>
      <c r="G5" s="23">
        <f>[3]Память!S5</f>
        <v>0</v>
      </c>
      <c r="H5" s="24">
        <f>[4]Память!B5</f>
        <v>0</v>
      </c>
      <c r="I5" s="24">
        <f>[4]Память!I5</f>
        <v>0</v>
      </c>
      <c r="J5" s="31"/>
      <c r="K5" s="35" cm="1">
        <f t="array" ref="K5">PointMin4(B5+C5,D5+E5,F5+G5,H5+I5,B5+C5)</f>
        <v>1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1</v>
      </c>
      <c r="O5" s="31"/>
    </row>
    <row r="6" spans="1:19" x14ac:dyDescent="0.3">
      <c r="A6" s="98">
        <f t="shared" si="0"/>
        <v>4</v>
      </c>
      <c r="B6" s="70">
        <f>[1]Память!G6</f>
        <v>0</v>
      </c>
      <c r="C6" s="21">
        <f>[1]Память!S6</f>
        <v>0</v>
      </c>
      <c r="D6" s="22">
        <f>[2]Память!G6</f>
        <v>0</v>
      </c>
      <c r="E6" s="22">
        <f>[2]Память!S6</f>
        <v>0</v>
      </c>
      <c r="F6" s="23">
        <f>[3]Память!G6</f>
        <v>0</v>
      </c>
      <c r="G6" s="23">
        <f>[3]Память!S6</f>
        <v>0</v>
      </c>
      <c r="H6" s="24">
        <f>[4]Память!B6</f>
        <v>0</v>
      </c>
      <c r="I6" s="24">
        <f>[4]Память!I6</f>
        <v>0</v>
      </c>
      <c r="J6" s="31"/>
      <c r="K6" s="35" cm="1">
        <f t="array" ref="K6">PointMin4(B6+C6,D6+E6,F6+G6,H6+I6,B6+C6)</f>
        <v>1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1</v>
      </c>
      <c r="O6" s="31"/>
    </row>
    <row r="7" spans="1:19" x14ac:dyDescent="0.3">
      <c r="A7" s="98">
        <f t="shared" si="0"/>
        <v>5</v>
      </c>
      <c r="B7" s="70">
        <f>[1]Память!G7</f>
        <v>0</v>
      </c>
      <c r="C7" s="21">
        <f>[1]Память!S7</f>
        <v>0</v>
      </c>
      <c r="D7" s="22">
        <f>[2]Память!G7</f>
        <v>0</v>
      </c>
      <c r="E7" s="22">
        <f>[2]Память!S7</f>
        <v>0</v>
      </c>
      <c r="F7" s="23">
        <f>[3]Память!G7</f>
        <v>0</v>
      </c>
      <c r="G7" s="23">
        <f>[3]Память!S7</f>
        <v>0</v>
      </c>
      <c r="H7" s="24">
        <f>[4]Память!B7</f>
        <v>0</v>
      </c>
      <c r="I7" s="24">
        <f>[4]Память!I7</f>
        <v>0</v>
      </c>
      <c r="J7" s="31"/>
      <c r="K7" s="35" cm="1">
        <f t="array" ref="K7">PointMin4(B7+C7,D7+E7,F7+G7,H7+I7,B7+C7)</f>
        <v>1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1</v>
      </c>
      <c r="O7" s="31"/>
    </row>
    <row r="8" spans="1:19" x14ac:dyDescent="0.3">
      <c r="A8" s="99">
        <f t="shared" si="0"/>
        <v>6</v>
      </c>
      <c r="B8" s="70">
        <f>[1]Память!G8</f>
        <v>1246</v>
      </c>
      <c r="C8" s="21">
        <f>[1]Память!S8</f>
        <v>31.106965993702012</v>
      </c>
      <c r="D8" s="22">
        <f>[2]Память!G8</f>
        <v>50</v>
      </c>
      <c r="E8" s="22">
        <f>[2]Память!S8</f>
        <v>12.900000000000002</v>
      </c>
      <c r="F8" s="23">
        <f>[3]Память!G8</f>
        <v>540</v>
      </c>
      <c r="G8" s="23">
        <f>[3]Память!S8</f>
        <v>24.826061575153908</v>
      </c>
      <c r="H8" s="24">
        <f>[4]Память!B8</f>
        <v>7936</v>
      </c>
      <c r="I8" s="24">
        <f>[4]Память!I8</f>
        <v>0</v>
      </c>
      <c r="J8" s="31"/>
      <c r="K8" s="35" cm="1">
        <f t="array" ref="K8">PointMin4(B8+C8,D8+E8,F8+G8,H8+I8,B8+C8)</f>
        <v>2</v>
      </c>
      <c r="L8" s="35" cm="1">
        <f t="array" ref="L8">PointMin4(B8+C8,D8+E8,F8+G8,H8+I8,D8+E8)</f>
        <v>4</v>
      </c>
      <c r="M8" s="35" cm="1">
        <f t="array" ref="M8">PointMin4(B8+C8,D8+E8,F8+G8,H8+I8,F8+G8)</f>
        <v>3</v>
      </c>
      <c r="N8" s="35" cm="1">
        <f t="array" ref="N8">PointMin4(B8+C8,D8+E8,F8+G8,H8+I8,H8+I8)</f>
        <v>1</v>
      </c>
      <c r="O8" s="31"/>
    </row>
    <row r="9" spans="1:19" x14ac:dyDescent="0.3">
      <c r="A9" s="98">
        <f t="shared" si="0"/>
        <v>7</v>
      </c>
      <c r="B9" s="70">
        <f>[1]Память!G9</f>
        <v>0</v>
      </c>
      <c r="C9" s="21">
        <f>[1]Память!S9</f>
        <v>0</v>
      </c>
      <c r="D9" s="22">
        <f>[2]Память!G9</f>
        <v>0</v>
      </c>
      <c r="E9" s="22">
        <f>[2]Память!S9</f>
        <v>0</v>
      </c>
      <c r="F9" s="23">
        <f>[3]Память!G9</f>
        <v>0</v>
      </c>
      <c r="G9" s="23">
        <f>[3]Память!S9</f>
        <v>0</v>
      </c>
      <c r="H9" s="24">
        <f>[4]Память!B9</f>
        <v>0</v>
      </c>
      <c r="I9" s="24">
        <f>[4]Память!I9</f>
        <v>0</v>
      </c>
      <c r="K9" s="35" cm="1">
        <f t="array" ref="K9">PointMin4(B9+C9,D9+E9,F9+G9,H9+I9,B9+C9)</f>
        <v>1</v>
      </c>
      <c r="L9" s="35" cm="1">
        <f t="array" ref="L9">PointMin4(B9+C9,D9+E9,F9+G9,H9+I9,D9+E9)</f>
        <v>1</v>
      </c>
      <c r="M9" s="35" cm="1">
        <f t="array" ref="M9">PointMin4(B9+C9,D9+E9,F9+G9,H9+I9,F9+G9)</f>
        <v>1</v>
      </c>
      <c r="N9" s="35" cm="1">
        <f t="array" ref="N9">PointMin4(B9+C9,D9+E9,F9+G9,H9+I9,H9+I9)</f>
        <v>1</v>
      </c>
    </row>
    <row r="10" spans="1:19" x14ac:dyDescent="0.3">
      <c r="A10" s="98">
        <f t="shared" si="0"/>
        <v>8</v>
      </c>
      <c r="B10" s="70">
        <f>[1]Память!G10</f>
        <v>0</v>
      </c>
      <c r="C10" s="21">
        <f>[1]Память!S10</f>
        <v>0</v>
      </c>
      <c r="D10" s="22">
        <f>[2]Память!G10</f>
        <v>0</v>
      </c>
      <c r="E10" s="22">
        <f>[2]Память!S10</f>
        <v>0</v>
      </c>
      <c r="F10" s="23">
        <f>[3]Память!G10</f>
        <v>0</v>
      </c>
      <c r="G10" s="23">
        <f>[3]Память!S10</f>
        <v>0</v>
      </c>
      <c r="H10" s="24">
        <f>[4]Память!B10</f>
        <v>0</v>
      </c>
      <c r="I10" s="24">
        <f>[4]Память!I10</f>
        <v>0</v>
      </c>
      <c r="K10" s="35" cm="1">
        <f t="array" ref="K10">PointMin4(B10+C10,D10+E10,F10+G10,H10+I10,B10+C10)</f>
        <v>1</v>
      </c>
      <c r="L10" s="35" cm="1">
        <f t="array" ref="L10">PointMin4(B10+C10,D10+E10,F10+G10,H10+I10,D10+E10)</f>
        <v>1</v>
      </c>
      <c r="M10" s="35" cm="1">
        <f t="array" ref="M10">PointMin4(B10+C10,D10+E10,F10+G10,H10+I10,F10+G10)</f>
        <v>1</v>
      </c>
      <c r="N10" s="35" cm="1">
        <f t="array" ref="N10">PointMin4(B10+C10,D10+E10,F10+G10,H10+I10,H10+I10)</f>
        <v>1</v>
      </c>
    </row>
    <row r="11" spans="1:19" x14ac:dyDescent="0.3">
      <c r="A11" s="98">
        <f t="shared" si="0"/>
        <v>9</v>
      </c>
      <c r="B11" s="70">
        <f>[1]Память!G11</f>
        <v>0</v>
      </c>
      <c r="C11" s="21">
        <f>[1]Память!S11</f>
        <v>0</v>
      </c>
      <c r="D11" s="22">
        <f>[2]Память!G11</f>
        <v>0</v>
      </c>
      <c r="E11" s="22">
        <f>[2]Память!S11</f>
        <v>0</v>
      </c>
      <c r="F11" s="23">
        <f>[3]Память!G11</f>
        <v>0</v>
      </c>
      <c r="G11" s="23">
        <f>[3]Память!S11</f>
        <v>0</v>
      </c>
      <c r="H11" s="24">
        <f>[4]Память!B11</f>
        <v>0</v>
      </c>
      <c r="I11" s="24">
        <f>[4]Память!I11</f>
        <v>0</v>
      </c>
      <c r="K11" s="35" cm="1">
        <f t="array" ref="K11">PointMin4(B11+C11,D11+E11,F11+G11,H11+I11,B11+C11)</f>
        <v>1</v>
      </c>
      <c r="L11" s="35" cm="1">
        <f t="array" ref="L11">PointMin4(B11+C11,D11+E11,F11+G11,H11+I11,D11+E11)</f>
        <v>1</v>
      </c>
      <c r="M11" s="35" cm="1">
        <f t="array" ref="M11">PointMin4(B11+C11,D11+E11,F11+G11,H11+I11,F11+G11)</f>
        <v>1</v>
      </c>
      <c r="N11" s="35" cm="1">
        <f t="array" ref="N11">PointMin4(B11+C11,D11+E11,F11+G11,H11+I11,H11+I11)</f>
        <v>1</v>
      </c>
    </row>
    <row r="12" spans="1:19" x14ac:dyDescent="0.3">
      <c r="A12" s="98">
        <f t="shared" si="0"/>
        <v>10</v>
      </c>
      <c r="B12" s="70">
        <f>[1]Память!G12</f>
        <v>0</v>
      </c>
      <c r="C12" s="21">
        <f>[1]Память!S12</f>
        <v>0</v>
      </c>
      <c r="D12" s="22">
        <f>[2]Память!G12</f>
        <v>0</v>
      </c>
      <c r="E12" s="22">
        <f>[2]Память!S12</f>
        <v>0</v>
      </c>
      <c r="F12" s="23">
        <f>[3]Память!G12</f>
        <v>0</v>
      </c>
      <c r="G12" s="23">
        <f>[3]Память!S12</f>
        <v>0</v>
      </c>
      <c r="H12" s="24">
        <f>[4]Память!B12</f>
        <v>0</v>
      </c>
      <c r="I12" s="24">
        <f>[4]Память!I12</f>
        <v>0</v>
      </c>
      <c r="K12" s="35" cm="1">
        <f t="array" ref="K12">PointMin4(B12+C12,D12+E12,F12+G12,H12+I12,B12+C12)</f>
        <v>1</v>
      </c>
      <c r="L12" s="35" cm="1">
        <f t="array" ref="L12">PointMin4(B12+C12,D12+E12,F12+G12,H12+I12,D12+E12)</f>
        <v>1</v>
      </c>
      <c r="M12" s="35" cm="1">
        <f t="array" ref="M12">PointMin4(B12+C12,D12+E12,F12+G12,H12+I12,F12+G12)</f>
        <v>1</v>
      </c>
      <c r="N12" s="35" cm="1">
        <f t="array" ref="N12">PointMin4(B12+C12,D12+E12,F12+G12,H12+I12,H12+I12)</f>
        <v>1</v>
      </c>
    </row>
    <row r="13" spans="1:19" x14ac:dyDescent="0.3">
      <c r="A13" s="99">
        <f t="shared" si="0"/>
        <v>11</v>
      </c>
      <c r="B13" s="70">
        <f>[1]Память!G13</f>
        <v>1244.3333333333333</v>
      </c>
      <c r="C13" s="21">
        <f>[1]Память!S13</f>
        <v>27.346257107285776</v>
      </c>
      <c r="D13" s="22">
        <f>[2]Память!G13</f>
        <v>53</v>
      </c>
      <c r="E13" s="22">
        <f>[2]Память!S13</f>
        <v>17.378243102607737</v>
      </c>
      <c r="F13" s="23">
        <f>[3]Память!G13</f>
        <v>540</v>
      </c>
      <c r="G13" s="23">
        <f>[3]Память!S13</f>
        <v>24.826061575153908</v>
      </c>
      <c r="H13" s="24">
        <f>[4]Память!B13</f>
        <v>7936</v>
      </c>
      <c r="I13" s="24">
        <f>[4]Память!I13</f>
        <v>0</v>
      </c>
      <c r="K13" s="35" cm="1">
        <f t="array" ref="K13">PointMin4(B13+C13,D13+E13,F13+G13,H13+I13,B13+C13)</f>
        <v>2</v>
      </c>
      <c r="L13" s="35" cm="1">
        <f t="array" ref="L13">PointMin4(B13+C13,D13+E13,F13+G13,H13+I13,D13+E13)</f>
        <v>4</v>
      </c>
      <c r="M13" s="35" cm="1">
        <f t="array" ref="M13">PointMin4(B13+C13,D13+E13,F13+G13,H13+I13,F13+G13)</f>
        <v>3</v>
      </c>
      <c r="N13" s="35" cm="1">
        <f t="array" ref="N13">PointMin4(B13+C13,D13+E13,F13+G13,H13+I13,H13+I13)</f>
        <v>1</v>
      </c>
    </row>
    <row r="14" spans="1:19" x14ac:dyDescent="0.3">
      <c r="A14" s="98">
        <f t="shared" si="0"/>
        <v>12</v>
      </c>
      <c r="B14" s="70">
        <f>[1]Память!G14</f>
        <v>0</v>
      </c>
      <c r="C14" s="21">
        <f>[1]Память!S14</f>
        <v>0</v>
      </c>
      <c r="D14" s="22">
        <f>[2]Память!G14</f>
        <v>0</v>
      </c>
      <c r="E14" s="22">
        <f>[2]Память!S14</f>
        <v>0</v>
      </c>
      <c r="F14" s="23">
        <f>[3]Память!G14</f>
        <v>0</v>
      </c>
      <c r="G14" s="23">
        <f>[3]Память!S14</f>
        <v>0</v>
      </c>
      <c r="H14" s="24">
        <f>[4]Память!B14</f>
        <v>0</v>
      </c>
      <c r="I14" s="24">
        <f>[4]Память!I14</f>
        <v>0</v>
      </c>
      <c r="K14" s="35" cm="1">
        <f t="array" ref="K14">PointMin4(B14+C14,D14+E14,F14+G14,H14+I14,B14+C14)</f>
        <v>1</v>
      </c>
      <c r="L14" s="35" cm="1">
        <f t="array" ref="L14">PointMin4(B14+C14,D14+E14,F14+G14,H14+I14,D14+E14)</f>
        <v>1</v>
      </c>
      <c r="M14" s="35" cm="1">
        <f t="array" ref="M14">PointMin4(B14+C14,D14+E14,F14+G14,H14+I14,F14+G14)</f>
        <v>1</v>
      </c>
      <c r="N14" s="35" cm="1">
        <f t="array" ref="N14">PointMin4(B14+C14,D14+E14,F14+G14,H14+I14,H14+I14)</f>
        <v>1</v>
      </c>
    </row>
    <row r="15" spans="1:19" x14ac:dyDescent="0.3">
      <c r="A15" s="98">
        <f t="shared" si="0"/>
        <v>13</v>
      </c>
      <c r="B15" s="70">
        <f>[1]Память!G15</f>
        <v>0</v>
      </c>
      <c r="C15" s="21">
        <f>[1]Память!S15</f>
        <v>0</v>
      </c>
      <c r="D15" s="22">
        <f>[2]Память!G15</f>
        <v>0</v>
      </c>
      <c r="E15" s="22">
        <f>[2]Память!S15</f>
        <v>0</v>
      </c>
      <c r="F15" s="23">
        <f>[3]Память!G15</f>
        <v>0</v>
      </c>
      <c r="G15" s="23">
        <f>[3]Память!S15</f>
        <v>0</v>
      </c>
      <c r="H15" s="24">
        <f>[4]Память!B15</f>
        <v>0</v>
      </c>
      <c r="I15" s="24">
        <f>[4]Память!I15</f>
        <v>0</v>
      </c>
      <c r="K15" s="35" cm="1">
        <f t="array" ref="K15">PointMin4(B15+C15,D15+E15,F15+G15,H15+I15,B15+C15)</f>
        <v>1</v>
      </c>
      <c r="L15" s="35" cm="1">
        <f t="array" ref="L15">PointMin4(B15+C15,D15+E15,F15+G15,H15+I15,D15+E15)</f>
        <v>1</v>
      </c>
      <c r="M15" s="35" cm="1">
        <f t="array" ref="M15">PointMin4(B15+C15,D15+E15,F15+G15,H15+I15,F15+G15)</f>
        <v>1</v>
      </c>
      <c r="N15" s="35" cm="1">
        <f t="array" ref="N15">PointMin4(B15+C15,D15+E15,F15+G15,H15+I15,H15+I15)</f>
        <v>1</v>
      </c>
    </row>
    <row r="16" spans="1:19" x14ac:dyDescent="0.3">
      <c r="A16" s="98">
        <f t="shared" si="0"/>
        <v>14</v>
      </c>
      <c r="B16" s="70">
        <f>[1]Память!G16</f>
        <v>0</v>
      </c>
      <c r="C16" s="21">
        <f>[1]Память!S16</f>
        <v>0</v>
      </c>
      <c r="D16" s="22">
        <f>[2]Память!G16</f>
        <v>0</v>
      </c>
      <c r="E16" s="22">
        <f>[2]Память!S16</f>
        <v>0</v>
      </c>
      <c r="F16" s="23">
        <f>[3]Память!G16</f>
        <v>0</v>
      </c>
      <c r="G16" s="23">
        <f>[3]Память!S16</f>
        <v>0</v>
      </c>
      <c r="H16" s="24">
        <f>[4]Память!B16</f>
        <v>0</v>
      </c>
      <c r="I16" s="24">
        <f>[4]Память!I16</f>
        <v>0</v>
      </c>
      <c r="K16" s="35" cm="1">
        <f t="array" ref="K16">PointMin4(B16+C16,D16+E16,F16+G16,H16+I16,B16+C16)</f>
        <v>1</v>
      </c>
      <c r="L16" s="35" cm="1">
        <f t="array" ref="L16">PointMin4(B16+C16,D16+E16,F16+G16,H16+I16,D16+E16)</f>
        <v>1</v>
      </c>
      <c r="M16" s="35" cm="1">
        <f t="array" ref="M16">PointMin4(B16+C16,D16+E16,F16+G16,H16+I16,F16+G16)</f>
        <v>1</v>
      </c>
      <c r="N16" s="35" cm="1">
        <f t="array" ref="N16">PointMin4(B16+C16,D16+E16,F16+G16,H16+I16,H16+I16)</f>
        <v>1</v>
      </c>
    </row>
    <row r="17" spans="1:14" x14ac:dyDescent="0.3">
      <c r="A17" s="98">
        <f t="shared" si="0"/>
        <v>15</v>
      </c>
      <c r="B17" s="70">
        <f>[1]Память!G17</f>
        <v>0</v>
      </c>
      <c r="C17" s="21">
        <f>[1]Память!S17</f>
        <v>0</v>
      </c>
      <c r="D17" s="22">
        <f>[2]Память!G17</f>
        <v>0</v>
      </c>
      <c r="E17" s="22">
        <f>[2]Память!S17</f>
        <v>0</v>
      </c>
      <c r="F17" s="23">
        <f>[3]Память!G17</f>
        <v>0</v>
      </c>
      <c r="G17" s="23">
        <f>[3]Память!S17</f>
        <v>0</v>
      </c>
      <c r="H17" s="24">
        <f>[4]Память!B17</f>
        <v>0</v>
      </c>
      <c r="I17" s="24">
        <f>[4]Память!I17</f>
        <v>0</v>
      </c>
      <c r="K17" s="35" cm="1">
        <f t="array" ref="K17">PointMin4(B17+C17,D17+E17,F17+G17,H17+I17,B17+C17)</f>
        <v>1</v>
      </c>
      <c r="L17" s="35" cm="1">
        <f t="array" ref="L17">PointMin4(B17+C17,D17+E17,F17+G17,H17+I17,D17+E17)</f>
        <v>1</v>
      </c>
      <c r="M17" s="35" cm="1">
        <f t="array" ref="M17">PointMin4(B17+C17,D17+E17,F17+G17,H17+I17,F17+G17)</f>
        <v>1</v>
      </c>
      <c r="N17" s="35" cm="1">
        <f t="array" ref="N17">PointMin4(B17+C17,D17+E17,F17+G17,H17+I17,H17+I17)</f>
        <v>1</v>
      </c>
    </row>
    <row r="18" spans="1:14" x14ac:dyDescent="0.3">
      <c r="A18" s="99">
        <f t="shared" si="0"/>
        <v>16</v>
      </c>
      <c r="B18" s="70">
        <f>[1]Память!G18</f>
        <v>1250</v>
      </c>
      <c r="C18" s="21">
        <f>[1]Память!S18</f>
        <v>29.791273890184691</v>
      </c>
      <c r="D18" s="22">
        <f>[2]Память!G18</f>
        <v>48.333333333333336</v>
      </c>
      <c r="E18" s="22">
        <f>[2]Память!S18</f>
        <v>21.114318469807273</v>
      </c>
      <c r="F18" s="23">
        <f>[3]Память!G18</f>
        <v>540</v>
      </c>
      <c r="G18" s="23">
        <f>[3]Память!S18</f>
        <v>24.826061575153908</v>
      </c>
      <c r="H18" s="24">
        <f>[4]Память!B18</f>
        <v>7488</v>
      </c>
      <c r="I18" s="24">
        <f>[4]Память!I18</f>
        <v>0</v>
      </c>
      <c r="K18" s="35" cm="1">
        <f t="array" ref="K18">PointMin4(B18+C18,D18+E18,F18+G18,H18+I18,B18+C18)</f>
        <v>2</v>
      </c>
      <c r="L18" s="35" cm="1">
        <f t="array" ref="L18">PointMin4(B18+C18,D18+E18,F18+G18,H18+I18,D18+E18)</f>
        <v>4</v>
      </c>
      <c r="M18" s="35" cm="1">
        <f t="array" ref="M18">PointMin4(B18+C18,D18+E18,F18+G18,H18+I18,F18+G18)</f>
        <v>3</v>
      </c>
      <c r="N18" s="35" cm="1">
        <f t="array" ref="N18">PointMin4(B18+C18,D18+E18,F18+G18,H18+I18,H18+I18)</f>
        <v>1</v>
      </c>
    </row>
    <row r="19" spans="1:14" x14ac:dyDescent="0.3">
      <c r="A19" s="98">
        <f t="shared" si="0"/>
        <v>17</v>
      </c>
      <c r="B19" s="70">
        <f>[1]Память!G19</f>
        <v>0</v>
      </c>
      <c r="C19" s="21">
        <f>[1]Память!S19</f>
        <v>0</v>
      </c>
      <c r="D19" s="22">
        <f>[2]Память!G19</f>
        <v>0</v>
      </c>
      <c r="E19" s="22">
        <f>[2]Память!S19</f>
        <v>0</v>
      </c>
      <c r="F19" s="23">
        <f>[3]Память!G19</f>
        <v>0</v>
      </c>
      <c r="G19" s="23">
        <f>[3]Память!S19</f>
        <v>0</v>
      </c>
      <c r="H19" s="24">
        <f>[4]Память!B19</f>
        <v>0</v>
      </c>
      <c r="I19" s="24">
        <f>[4]Память!I19</f>
        <v>0</v>
      </c>
      <c r="K19" s="35" cm="1">
        <f t="array" ref="K19">PointMin4(B19+C19,D19+E19,F19+G19,H19+I19,B19+C19)</f>
        <v>1</v>
      </c>
      <c r="L19" s="35" cm="1">
        <f t="array" ref="L19">PointMin4(B19+C19,D19+E19,F19+G19,H19+I19,D19+E19)</f>
        <v>1</v>
      </c>
      <c r="M19" s="35" cm="1">
        <f t="array" ref="M19">PointMin4(B19+C19,D19+E19,F19+G19,H19+I19,F19+G19)</f>
        <v>1</v>
      </c>
      <c r="N19" s="35" cm="1">
        <f t="array" ref="N19">PointMin4(B19+C19,D19+E19,F19+G19,H19+I19,H19+I19)</f>
        <v>1</v>
      </c>
    </row>
    <row r="20" spans="1:14" x14ac:dyDescent="0.3">
      <c r="A20" s="98">
        <f t="shared" si="0"/>
        <v>18</v>
      </c>
      <c r="B20" s="70">
        <f>[1]Память!G20</f>
        <v>0</v>
      </c>
      <c r="C20" s="21">
        <f>[1]Память!S20</f>
        <v>0</v>
      </c>
      <c r="D20" s="22">
        <f>[2]Память!G20</f>
        <v>0</v>
      </c>
      <c r="E20" s="22">
        <f>[2]Память!S20</f>
        <v>0</v>
      </c>
      <c r="F20" s="23">
        <f>[3]Память!G20</f>
        <v>0</v>
      </c>
      <c r="G20" s="23">
        <f>[3]Память!S20</f>
        <v>0</v>
      </c>
      <c r="H20" s="24">
        <f>[4]Память!B20</f>
        <v>0</v>
      </c>
      <c r="I20" s="24">
        <f>[4]Память!I20</f>
        <v>0</v>
      </c>
      <c r="K20" s="35" cm="1">
        <f t="array" ref="K20">PointMin4(B20+C20,D20+E20,F20+G20,H20+I20,B20+C20)</f>
        <v>1</v>
      </c>
      <c r="L20" s="35" cm="1">
        <f t="array" ref="L20">PointMin4(B20+C20,D20+E20,F20+G20,H20+I20,D20+E20)</f>
        <v>1</v>
      </c>
      <c r="M20" s="35" cm="1">
        <f t="array" ref="M20">PointMin4(B20+C20,D20+E20,F20+G20,H20+I20,F20+G20)</f>
        <v>1</v>
      </c>
      <c r="N20" s="35" cm="1">
        <f t="array" ref="N20">PointMin4(B20+C20,D20+E20,F20+G20,H20+I20,H20+I20)</f>
        <v>1</v>
      </c>
    </row>
    <row r="21" spans="1:14" x14ac:dyDescent="0.3">
      <c r="A21" s="98">
        <f t="shared" si="0"/>
        <v>19</v>
      </c>
      <c r="B21" s="70">
        <f>[1]Память!G21</f>
        <v>0</v>
      </c>
      <c r="C21" s="21">
        <f>[1]Память!S21</f>
        <v>0</v>
      </c>
      <c r="D21" s="22">
        <f>[2]Память!G21</f>
        <v>0</v>
      </c>
      <c r="E21" s="22">
        <f>[2]Память!S21</f>
        <v>0</v>
      </c>
      <c r="F21" s="23">
        <f>[3]Память!G21</f>
        <v>0</v>
      </c>
      <c r="G21" s="23">
        <f>[3]Память!S21</f>
        <v>0</v>
      </c>
      <c r="H21" s="24">
        <f>[4]Память!B21</f>
        <v>0</v>
      </c>
      <c r="I21" s="24">
        <f>[4]Память!I21</f>
        <v>0</v>
      </c>
      <c r="K21" s="35" cm="1">
        <f t="array" ref="K21">PointMin4(B21+C21,D21+E21,F21+G21,H21+I21,B21+C21)</f>
        <v>1</v>
      </c>
      <c r="L21" s="35" cm="1">
        <f t="array" ref="L21">PointMin4(B21+C21,D21+E21,F21+G21,H21+I21,D21+E21)</f>
        <v>1</v>
      </c>
      <c r="M21" s="35" cm="1">
        <f t="array" ref="M21">PointMin4(B21+C21,D21+E21,F21+G21,H21+I21,F21+G21)</f>
        <v>1</v>
      </c>
      <c r="N21" s="35" cm="1">
        <f t="array" ref="N21">PointMin4(B21+C21,D21+E21,F21+G21,H21+I21,H21+I21)</f>
        <v>1</v>
      </c>
    </row>
    <row r="22" spans="1:14" x14ac:dyDescent="0.3">
      <c r="A22" s="98">
        <f t="shared" si="0"/>
        <v>20</v>
      </c>
      <c r="B22" s="70">
        <f>[1]Память!G22</f>
        <v>0</v>
      </c>
      <c r="C22" s="21">
        <f>[1]Память!S22</f>
        <v>0</v>
      </c>
      <c r="D22" s="22">
        <f>[2]Память!G22</f>
        <v>0</v>
      </c>
      <c r="E22" s="22">
        <f>[2]Память!S22</f>
        <v>0</v>
      </c>
      <c r="F22" s="23">
        <f>[3]Память!G22</f>
        <v>0</v>
      </c>
      <c r="G22" s="23">
        <f>[3]Память!S22</f>
        <v>0</v>
      </c>
      <c r="H22" s="24">
        <f>[4]Память!B22</f>
        <v>0</v>
      </c>
      <c r="I22" s="24">
        <f>[4]Память!I22</f>
        <v>0</v>
      </c>
      <c r="K22" s="35" cm="1">
        <f t="array" ref="K22">PointMin4(B22+C22,D22+E22,F22+G22,H22+I22,B22+C22)</f>
        <v>1</v>
      </c>
      <c r="L22" s="35" cm="1">
        <f t="array" ref="L22">PointMin4(B22+C22,D22+E22,F22+G22,H22+I22,D22+E22)</f>
        <v>1</v>
      </c>
      <c r="M22" s="35" cm="1">
        <f t="array" ref="M22">PointMin4(B22+C22,D22+E22,F22+G22,H22+I22,F22+G22)</f>
        <v>1</v>
      </c>
      <c r="N22" s="35" cm="1">
        <f t="array" ref="N22">PointMin4(B22+C22,D22+E22,F22+G22,H22+I22,H22+I22)</f>
        <v>1</v>
      </c>
    </row>
    <row r="23" spans="1:14" x14ac:dyDescent="0.3">
      <c r="A23" s="99">
        <f t="shared" si="0"/>
        <v>21</v>
      </c>
      <c r="B23" s="70">
        <f>[1]Память!G23</f>
        <v>1247</v>
      </c>
      <c r="C23" s="21">
        <f>[1]Память!S23</f>
        <v>28.630810909461392</v>
      </c>
      <c r="D23" s="22">
        <f>[2]Память!G23</f>
        <v>56</v>
      </c>
      <c r="E23" s="22">
        <f>[2]Память!S23</f>
        <v>17.902327595408739</v>
      </c>
      <c r="F23" s="23">
        <f>[3]Память!G23</f>
        <v>540</v>
      </c>
      <c r="G23" s="23">
        <f>[3]Память!S23</f>
        <v>24.826061575153908</v>
      </c>
      <c r="H23" s="24">
        <f>[4]Память!B23</f>
        <v>7488</v>
      </c>
      <c r="I23" s="24">
        <f>[4]Память!I23</f>
        <v>0</v>
      </c>
      <c r="K23" s="35" cm="1">
        <f t="array" ref="K23">PointMin4(B23+C23,D23+E23,F23+G23,H23+I23,B23+C23)</f>
        <v>2</v>
      </c>
      <c r="L23" s="35" cm="1">
        <f t="array" ref="L23">PointMin4(B23+C23,D23+E23,F23+G23,H23+I23,D23+E23)</f>
        <v>4</v>
      </c>
      <c r="M23" s="35" cm="1">
        <f t="array" ref="M23">PointMin4(B23+C23,D23+E23,F23+G23,H23+I23,F23+G23)</f>
        <v>3</v>
      </c>
      <c r="N23" s="35" cm="1">
        <f t="array" ref="N23">PointMin4(B23+C23,D23+E23,F23+G23,H23+I23,H23+I23)</f>
        <v>1</v>
      </c>
    </row>
    <row r="24" spans="1:14" x14ac:dyDescent="0.3">
      <c r="A24" s="67">
        <f t="shared" si="0"/>
        <v>22</v>
      </c>
      <c r="B24" s="70">
        <f>[1]Память!G24</f>
        <v>0</v>
      </c>
      <c r="C24" s="21">
        <f>[1]Память!S24</f>
        <v>0</v>
      </c>
      <c r="D24" s="22">
        <f>[2]Память!G24</f>
        <v>0</v>
      </c>
      <c r="E24" s="22">
        <f>[2]Память!S24</f>
        <v>0</v>
      </c>
      <c r="F24" s="23">
        <f>[3]Память!G24</f>
        <v>0</v>
      </c>
      <c r="G24" s="23">
        <f>[3]Память!S24</f>
        <v>0</v>
      </c>
      <c r="H24" s="24">
        <f>[4]Память!B24</f>
        <v>0</v>
      </c>
      <c r="I24" s="24">
        <f>[4]Память!I24</f>
        <v>0</v>
      </c>
      <c r="K24" s="35" cm="1">
        <f t="array" ref="K24">PointMin4(B24+C24,D24+E24,F24+G24,H24+I24,B24+C24)</f>
        <v>1</v>
      </c>
      <c r="L24" s="35" cm="1">
        <f t="array" ref="L24">PointMin4(B24+C24,D24+E24,F24+G24,H24+I24,D24+E24)</f>
        <v>1</v>
      </c>
      <c r="M24" s="35" cm="1">
        <f t="array" ref="M24">PointMin4(B24+C24,D24+E24,F24+G24,H24+I24,F24+G24)</f>
        <v>1</v>
      </c>
      <c r="N24" s="35" cm="1">
        <f t="array" ref="N24">PointMin4(B24+C24,D24+E24,F24+G24,H24+I24,H24+I24)</f>
        <v>1</v>
      </c>
    </row>
    <row r="25" spans="1:14" x14ac:dyDescent="0.3">
      <c r="A25" s="67">
        <f t="shared" si="0"/>
        <v>23</v>
      </c>
      <c r="B25" s="70">
        <f>[1]Память!G25</f>
        <v>0</v>
      </c>
      <c r="C25" s="21">
        <f>[1]Память!S25</f>
        <v>0</v>
      </c>
      <c r="D25" s="22">
        <f>[2]Память!G25</f>
        <v>0</v>
      </c>
      <c r="E25" s="22">
        <f>[2]Память!S25</f>
        <v>0</v>
      </c>
      <c r="F25" s="23">
        <f>[3]Память!G25</f>
        <v>0</v>
      </c>
      <c r="G25" s="23">
        <f>[3]Память!S25</f>
        <v>0</v>
      </c>
      <c r="H25" s="24">
        <f>[4]Память!B25</f>
        <v>0</v>
      </c>
      <c r="I25" s="24">
        <f>[4]Память!I25</f>
        <v>0</v>
      </c>
      <c r="K25" s="35" cm="1">
        <f t="array" ref="K25">PointMin4(B25+C25,D25+E25,F25+G25,H25+I25,B25+C25)</f>
        <v>1</v>
      </c>
      <c r="L25" s="35" cm="1">
        <f t="array" ref="L25">PointMin4(B25+C25,D25+E25,F25+G25,H25+I25,D25+E25)</f>
        <v>1</v>
      </c>
      <c r="M25" s="35" cm="1">
        <f t="array" ref="M25">PointMin4(B25+C25,D25+E25,F25+G25,H25+I25,F25+G25)</f>
        <v>1</v>
      </c>
      <c r="N25" s="35" cm="1">
        <f t="array" ref="N25">PointMin4(B25+C25,D25+E25,F25+G25,H25+I25,H25+I25)</f>
        <v>1</v>
      </c>
    </row>
    <row r="26" spans="1:14" x14ac:dyDescent="0.3">
      <c r="A26" s="67">
        <f t="shared" si="0"/>
        <v>24</v>
      </c>
      <c r="B26" s="70">
        <f>[1]Память!G26</f>
        <v>0</v>
      </c>
      <c r="C26" s="21">
        <f>[1]Память!S26</f>
        <v>0</v>
      </c>
      <c r="D26" s="22">
        <f>[2]Память!G26</f>
        <v>0</v>
      </c>
      <c r="E26" s="22">
        <f>[2]Память!S26</f>
        <v>0</v>
      </c>
      <c r="F26" s="23">
        <f>[3]Память!G26</f>
        <v>0</v>
      </c>
      <c r="G26" s="23">
        <f>[3]Память!S26</f>
        <v>0</v>
      </c>
      <c r="H26" s="24">
        <f>[4]Память!B26</f>
        <v>0</v>
      </c>
      <c r="I26" s="24">
        <f>[4]Память!I26</f>
        <v>0</v>
      </c>
      <c r="K26" s="35" cm="1">
        <f t="array" ref="K26">PointMin4(B26+C26,D26+E26,F26+G26,H26+I26,B26+C26)</f>
        <v>1</v>
      </c>
      <c r="L26" s="35" cm="1">
        <f t="array" ref="L26">PointMin4(B26+C26,D26+E26,F26+G26,H26+I26,D26+E26)</f>
        <v>1</v>
      </c>
      <c r="M26" s="35" cm="1">
        <f t="array" ref="M26">PointMin4(B26+C26,D26+E26,F26+G26,H26+I26,F26+G26)</f>
        <v>1</v>
      </c>
      <c r="N26" s="35" cm="1">
        <f t="array" ref="N26">PointMin4(B26+C26,D26+E26,F26+G26,H26+I26,H26+I26)</f>
        <v>1</v>
      </c>
    </row>
    <row r="27" spans="1:14" x14ac:dyDescent="0.3">
      <c r="A27" s="67">
        <f t="shared" si="0"/>
        <v>25</v>
      </c>
      <c r="B27" s="70">
        <f>[1]Память!G27</f>
        <v>0</v>
      </c>
      <c r="C27" s="21">
        <f>[1]Память!S27</f>
        <v>0</v>
      </c>
      <c r="D27" s="22">
        <f>[2]Память!G27</f>
        <v>0</v>
      </c>
      <c r="E27" s="22">
        <f>[2]Память!S27</f>
        <v>0</v>
      </c>
      <c r="F27" s="23">
        <f>[3]Память!G27</f>
        <v>0</v>
      </c>
      <c r="G27" s="23">
        <f>[3]Память!S27</f>
        <v>0</v>
      </c>
      <c r="H27" s="24">
        <f>[4]Память!B27</f>
        <v>0</v>
      </c>
      <c r="I27" s="24">
        <f>[4]Память!I27</f>
        <v>0</v>
      </c>
      <c r="K27" s="35" cm="1">
        <f t="array" ref="K27">PointMin4(B27+C27,D27+E27,F27+G27,H27+I27,B27+C27)</f>
        <v>1</v>
      </c>
      <c r="L27" s="35" cm="1">
        <f t="array" ref="L27">PointMin4(B27+C27,D27+E27,F27+G27,H27+I27,D27+E27)</f>
        <v>1</v>
      </c>
      <c r="M27" s="35" cm="1">
        <f t="array" ref="M27">PointMin4(B27+C27,D27+E27,F27+G27,H27+I27,F27+G27)</f>
        <v>1</v>
      </c>
      <c r="N27" s="35" cm="1">
        <f t="array" ref="N27">PointMin4(B27+C27,D27+E27,F27+G27,H27+I27,H27+I27)</f>
        <v>1</v>
      </c>
    </row>
    <row r="28" spans="1:14" x14ac:dyDescent="0.3">
      <c r="A28" s="99">
        <f t="shared" si="0"/>
        <v>26</v>
      </c>
      <c r="B28" s="70">
        <f>[1]Память!G28</f>
        <v>1246</v>
      </c>
      <c r="C28" s="21">
        <f>[1]Память!S28</f>
        <v>31.106965993702012</v>
      </c>
      <c r="D28" s="22">
        <f>[2]Память!G28</f>
        <v>56.666666666666664</v>
      </c>
      <c r="E28" s="22">
        <f>[2]Память!S28</f>
        <v>15.960924506779397</v>
      </c>
      <c r="F28" s="23">
        <f>[3]Память!G28</f>
        <v>540</v>
      </c>
      <c r="G28" s="23">
        <f>[3]Память!S28</f>
        <v>24.826061575153908</v>
      </c>
      <c r="H28" s="24">
        <f>[4]Память!B28</f>
        <v>7936</v>
      </c>
      <c r="I28" s="24">
        <f>[4]Память!I28</f>
        <v>0</v>
      </c>
      <c r="K28" s="35" cm="1">
        <f t="array" ref="K28">PointMin4(B28+C28,D28+E28,F28+G28,H28+I28,B28+C28)</f>
        <v>2</v>
      </c>
      <c r="L28" s="35" cm="1">
        <f t="array" ref="L28">PointMin4(B28+C28,D28+E28,F28+G28,H28+I28,D28+E28)</f>
        <v>4</v>
      </c>
      <c r="M28" s="35" cm="1">
        <f t="array" ref="M28">PointMin4(B28+C28,D28+E28,F28+G28,H28+I28,F28+G28)</f>
        <v>3</v>
      </c>
      <c r="N28" s="35" cm="1">
        <f t="array" ref="N28">PointMin4(B28+C28,D28+E28,F28+G28,H28+I28,H28+I28)</f>
        <v>1</v>
      </c>
    </row>
    <row r="29" spans="1:14" x14ac:dyDescent="0.3">
      <c r="A29" s="67">
        <f t="shared" si="0"/>
        <v>27</v>
      </c>
      <c r="B29" s="70">
        <f>[1]Память!G29</f>
        <v>0</v>
      </c>
      <c r="C29" s="21">
        <f>[1]Память!S29</f>
        <v>0</v>
      </c>
      <c r="D29" s="22">
        <f>[2]Память!G29</f>
        <v>0</v>
      </c>
      <c r="E29" s="22">
        <f>[2]Память!S29</f>
        <v>0</v>
      </c>
      <c r="F29" s="23">
        <f>[3]Память!G29</f>
        <v>0</v>
      </c>
      <c r="G29" s="23">
        <f>[3]Память!S29</f>
        <v>0</v>
      </c>
      <c r="H29" s="24">
        <f>[4]Память!B29</f>
        <v>0</v>
      </c>
      <c r="I29" s="24">
        <f>[4]Память!I29</f>
        <v>0</v>
      </c>
      <c r="K29" s="35" cm="1">
        <f t="array" ref="K29">PointMin4(B29+C29,D29+E29,F29+G29,H29+I29,B29+C29)</f>
        <v>1</v>
      </c>
      <c r="L29" s="35" cm="1">
        <f t="array" ref="L29">PointMin4(B29+C29,D29+E29,F29+G29,H29+I29,D29+E29)</f>
        <v>1</v>
      </c>
      <c r="M29" s="35" cm="1">
        <f t="array" ref="M29">PointMin4(B29+C29,D29+E29,F29+G29,H29+I29,F29+G29)</f>
        <v>1</v>
      </c>
      <c r="N29" s="35" cm="1">
        <f t="array" ref="N29">PointMin4(B29+C29,D29+E29,F29+G29,H29+I29,H29+I29)</f>
        <v>1</v>
      </c>
    </row>
    <row r="30" spans="1:14" x14ac:dyDescent="0.3">
      <c r="A30" s="67">
        <f t="shared" si="0"/>
        <v>28</v>
      </c>
      <c r="B30" s="70">
        <f>[1]Память!G30</f>
        <v>0</v>
      </c>
      <c r="C30" s="21">
        <f>[1]Память!S30</f>
        <v>0</v>
      </c>
      <c r="D30" s="22">
        <f>[2]Память!G30</f>
        <v>0</v>
      </c>
      <c r="E30" s="22">
        <f>[2]Память!S30</f>
        <v>0</v>
      </c>
      <c r="F30" s="23">
        <f>[3]Память!G30</f>
        <v>0</v>
      </c>
      <c r="G30" s="23">
        <f>[3]Память!S30</f>
        <v>0</v>
      </c>
      <c r="H30" s="24">
        <f>[4]Память!B30</f>
        <v>0</v>
      </c>
      <c r="I30" s="24">
        <f>[4]Память!I30</f>
        <v>0</v>
      </c>
      <c r="K30" s="35" cm="1">
        <f t="array" ref="K30">PointMin4(B30+C30,D30+E30,F30+G30,H30+I30,B30+C30)</f>
        <v>1</v>
      </c>
      <c r="L30" s="35" cm="1">
        <f t="array" ref="L30">PointMin4(B30+C30,D30+E30,F30+G30,H30+I30,D30+E30)</f>
        <v>1</v>
      </c>
      <c r="M30" s="35" cm="1">
        <f t="array" ref="M30">PointMin4(B30+C30,D30+E30,F30+G30,H30+I30,F30+G30)</f>
        <v>1</v>
      </c>
      <c r="N30" s="35" cm="1">
        <f t="array" ref="N30">PointMin4(B30+C30,D30+E30,F30+G30,H30+I30,H30+I30)</f>
        <v>1</v>
      </c>
    </row>
    <row r="31" spans="1:14" x14ac:dyDescent="0.3">
      <c r="A31" s="67">
        <f t="shared" si="0"/>
        <v>29</v>
      </c>
      <c r="B31" s="70">
        <f>[1]Память!G31</f>
        <v>0</v>
      </c>
      <c r="C31" s="21">
        <f>[1]Память!S31</f>
        <v>0</v>
      </c>
      <c r="D31" s="22">
        <f>[2]Память!G31</f>
        <v>0</v>
      </c>
      <c r="E31" s="22">
        <f>[2]Память!S31</f>
        <v>0</v>
      </c>
      <c r="F31" s="23">
        <f>[3]Память!G31</f>
        <v>0</v>
      </c>
      <c r="G31" s="23">
        <f>[3]Память!S31</f>
        <v>0</v>
      </c>
      <c r="H31" s="24">
        <f>[4]Память!B31</f>
        <v>0</v>
      </c>
      <c r="I31" s="24">
        <f>[4]Память!I31</f>
        <v>0</v>
      </c>
      <c r="K31" s="35" cm="1">
        <f t="array" ref="K31">PointMin4(B31+C31,D31+E31,F31+G31,H31+I31,B31+C31)</f>
        <v>1</v>
      </c>
      <c r="L31" s="35" cm="1">
        <f t="array" ref="L31">PointMin4(B31+C31,D31+E31,F31+G31,H31+I31,D31+E31)</f>
        <v>1</v>
      </c>
      <c r="M31" s="35" cm="1">
        <f t="array" ref="M31">PointMin4(B31+C31,D31+E31,F31+G31,H31+I31,F31+G31)</f>
        <v>1</v>
      </c>
      <c r="N31" s="35" cm="1">
        <f t="array" ref="N31">PointMin4(B31+C31,D31+E31,F31+G31,H31+I31,H31+I31)</f>
        <v>1</v>
      </c>
    </row>
    <row r="32" spans="1:14" x14ac:dyDescent="0.3">
      <c r="A32" s="67">
        <f t="shared" si="0"/>
        <v>30</v>
      </c>
      <c r="B32" s="70">
        <f>[1]Память!G32</f>
        <v>0</v>
      </c>
      <c r="C32" s="21">
        <f>[1]Память!S32</f>
        <v>0</v>
      </c>
      <c r="D32" s="22">
        <f>[2]Память!G32</f>
        <v>0</v>
      </c>
      <c r="E32" s="22">
        <f>[2]Память!S32</f>
        <v>0</v>
      </c>
      <c r="F32" s="23">
        <f>[3]Память!G32</f>
        <v>0</v>
      </c>
      <c r="G32" s="23">
        <f>[3]Память!S32</f>
        <v>0</v>
      </c>
      <c r="H32" s="24">
        <f>[4]Память!B32</f>
        <v>0</v>
      </c>
      <c r="I32" s="24">
        <f>[4]Память!I32</f>
        <v>0</v>
      </c>
      <c r="K32" s="35" cm="1">
        <f t="array" ref="K32">PointMin4(B32+C32,D32+E32,F32+G32,H32+I32,B32+C32)</f>
        <v>1</v>
      </c>
      <c r="L32" s="35" cm="1">
        <f t="array" ref="L32">PointMin4(B32+C32,D32+E32,F32+G32,H32+I32,D32+E32)</f>
        <v>1</v>
      </c>
      <c r="M32" s="35" cm="1">
        <f t="array" ref="M32">PointMin4(B32+C32,D32+E32,F32+G32,H32+I32,F32+G32)</f>
        <v>1</v>
      </c>
      <c r="N32" s="35" cm="1">
        <f t="array" ref="N32">PointMin4(B32+C32,D32+E32,F32+G32,H32+I32,H32+I32)</f>
        <v>1</v>
      </c>
    </row>
    <row r="33" spans="1:14" x14ac:dyDescent="0.3">
      <c r="A33" s="99">
        <f t="shared" si="0"/>
        <v>31</v>
      </c>
      <c r="B33" s="70">
        <f>[1]Память!G33</f>
        <v>1244.3333333333333</v>
      </c>
      <c r="C33" s="21">
        <f>[1]Память!S33</f>
        <v>27.346257107285776</v>
      </c>
      <c r="D33" s="22">
        <f>[2]Память!G33</f>
        <v>56.666666666666664</v>
      </c>
      <c r="E33" s="22">
        <f>[2]Память!S33</f>
        <v>15.960924506779397</v>
      </c>
      <c r="F33" s="23">
        <f>[3]Память!G33</f>
        <v>540</v>
      </c>
      <c r="G33" s="23">
        <f>[3]Память!S33</f>
        <v>24.826061575153908</v>
      </c>
      <c r="H33" s="24">
        <f>[4]Память!B33</f>
        <v>7936</v>
      </c>
      <c r="I33" s="24">
        <f>[4]Память!I33</f>
        <v>0</v>
      </c>
      <c r="K33" s="35" cm="1">
        <f t="array" ref="K33">PointMin4(B33+C33,D33+E33,F33+G33,H33+I33,B33+C33)</f>
        <v>2</v>
      </c>
      <c r="L33" s="35" cm="1">
        <f t="array" ref="L33">PointMin4(B33+C33,D33+E33,F33+G33,H33+I33,D33+E33)</f>
        <v>4</v>
      </c>
      <c r="M33" s="35" cm="1">
        <f t="array" ref="M33">PointMin4(B33+C33,D33+E33,F33+G33,H33+I33,F33+G33)</f>
        <v>3</v>
      </c>
      <c r="N33" s="35" cm="1">
        <f t="array" ref="N33">PointMin4(B33+C33,D33+E33,F33+G33,H33+I33,H33+I33)</f>
        <v>1</v>
      </c>
    </row>
    <row r="34" spans="1:14" x14ac:dyDescent="0.3">
      <c r="A34" s="67">
        <f t="shared" si="0"/>
        <v>32</v>
      </c>
      <c r="B34" s="70">
        <f>[1]Память!G34</f>
        <v>0</v>
      </c>
      <c r="C34" s="21">
        <f>[1]Память!S34</f>
        <v>0</v>
      </c>
      <c r="D34" s="22">
        <f>[2]Память!G34</f>
        <v>0</v>
      </c>
      <c r="E34" s="22">
        <f>[2]Память!S34</f>
        <v>0</v>
      </c>
      <c r="F34" s="23">
        <f>[3]Память!G34</f>
        <v>0</v>
      </c>
      <c r="G34" s="23">
        <f>[3]Память!S34</f>
        <v>0</v>
      </c>
      <c r="H34" s="24">
        <f>[4]Память!B34</f>
        <v>0</v>
      </c>
      <c r="I34" s="24">
        <f>[4]Память!I34</f>
        <v>0</v>
      </c>
      <c r="K34" s="35" cm="1">
        <f t="array" ref="K34">PointMin4(B34+C34,D34+E34,F34+G34,H34+I34,B34+C34)</f>
        <v>1</v>
      </c>
      <c r="L34" s="35" cm="1">
        <f t="array" ref="L34">PointMin4(B34+C34,D34+E34,F34+G34,H34+I34,D34+E34)</f>
        <v>1</v>
      </c>
      <c r="M34" s="35" cm="1">
        <f t="array" ref="M34">PointMin4(B34+C34,D34+E34,F34+G34,H34+I34,F34+G34)</f>
        <v>1</v>
      </c>
      <c r="N34" s="35" cm="1">
        <f t="array" ref="N34">PointMin4(B34+C34,D34+E34,F34+G34,H34+I34,H34+I34)</f>
        <v>1</v>
      </c>
    </row>
    <row r="35" spans="1:14" x14ac:dyDescent="0.3">
      <c r="A35" s="67">
        <f t="shared" si="0"/>
        <v>33</v>
      </c>
      <c r="B35" s="70">
        <f>[1]Память!G35</f>
        <v>0</v>
      </c>
      <c r="C35" s="21">
        <f>[1]Память!S35</f>
        <v>0</v>
      </c>
      <c r="D35" s="22">
        <f>[2]Память!G35</f>
        <v>0</v>
      </c>
      <c r="E35" s="22">
        <f>[2]Память!S35</f>
        <v>0</v>
      </c>
      <c r="F35" s="23">
        <f>[3]Память!G35</f>
        <v>0</v>
      </c>
      <c r="G35" s="23">
        <f>[3]Память!S35</f>
        <v>0</v>
      </c>
      <c r="H35" s="24">
        <f>[4]Память!B35</f>
        <v>0</v>
      </c>
      <c r="I35" s="24">
        <f>[4]Память!I35</f>
        <v>0</v>
      </c>
      <c r="K35" s="35" cm="1">
        <f t="array" ref="K35">PointMin4(B35+C35,D35+E35,F35+G35,H35+I35,B35+C35)</f>
        <v>1</v>
      </c>
      <c r="L35" s="35" cm="1">
        <f t="array" ref="L35">PointMin4(B35+C35,D35+E35,F35+G35,H35+I35,D35+E35)</f>
        <v>1</v>
      </c>
      <c r="M35" s="35" cm="1">
        <f t="array" ref="M35">PointMin4(B35+C35,D35+E35,F35+G35,H35+I35,F35+G35)</f>
        <v>1</v>
      </c>
      <c r="N35" s="35" cm="1">
        <f t="array" ref="N35">PointMin4(B35+C35,D35+E35,F35+G35,H35+I35,H35+I35)</f>
        <v>1</v>
      </c>
    </row>
    <row r="36" spans="1:14" x14ac:dyDescent="0.3">
      <c r="A36" s="67">
        <f t="shared" si="0"/>
        <v>34</v>
      </c>
      <c r="B36" s="70">
        <f>[1]Память!G36</f>
        <v>0</v>
      </c>
      <c r="C36" s="21">
        <f>[1]Память!S36</f>
        <v>0</v>
      </c>
      <c r="D36" s="22">
        <f>[2]Память!G36</f>
        <v>0</v>
      </c>
      <c r="E36" s="22">
        <f>[2]Память!S36</f>
        <v>0</v>
      </c>
      <c r="F36" s="23">
        <f>[3]Память!G36</f>
        <v>0</v>
      </c>
      <c r="G36" s="23">
        <f>[3]Память!S36</f>
        <v>0</v>
      </c>
      <c r="H36" s="24">
        <f>[4]Память!B36</f>
        <v>0</v>
      </c>
      <c r="I36" s="24">
        <f>[4]Память!I36</f>
        <v>0</v>
      </c>
      <c r="K36" s="35" cm="1">
        <f t="array" ref="K36">PointMin4(B36+C36,D36+E36,F36+G36,H36+I36,B36+C36)</f>
        <v>1</v>
      </c>
      <c r="L36" s="35" cm="1">
        <f t="array" ref="L36">PointMin4(B36+C36,D36+E36,F36+G36,H36+I36,D36+E36)</f>
        <v>1</v>
      </c>
      <c r="M36" s="35" cm="1">
        <f t="array" ref="M36">PointMin4(B36+C36,D36+E36,F36+G36,H36+I36,F36+G36)</f>
        <v>1</v>
      </c>
      <c r="N36" s="35" cm="1">
        <f t="array" ref="N36">PointMin4(B36+C36,D36+E36,F36+G36,H36+I36,H36+I36)</f>
        <v>1</v>
      </c>
    </row>
    <row r="37" spans="1:14" x14ac:dyDescent="0.3">
      <c r="A37" s="67">
        <f t="shared" si="0"/>
        <v>35</v>
      </c>
      <c r="B37" s="70">
        <f>[1]Память!G37</f>
        <v>0</v>
      </c>
      <c r="C37" s="21">
        <f>[1]Память!S37</f>
        <v>0</v>
      </c>
      <c r="D37" s="22">
        <f>[2]Память!G37</f>
        <v>0</v>
      </c>
      <c r="E37" s="22">
        <f>[2]Память!S37</f>
        <v>0</v>
      </c>
      <c r="F37" s="23">
        <f>[3]Память!G37</f>
        <v>0</v>
      </c>
      <c r="G37" s="23">
        <f>[3]Память!S37</f>
        <v>0</v>
      </c>
      <c r="H37" s="24">
        <f>[4]Память!B37</f>
        <v>0</v>
      </c>
      <c r="I37" s="24">
        <f>[4]Память!I37</f>
        <v>0</v>
      </c>
      <c r="K37" s="35" cm="1">
        <f t="array" ref="K37">PointMin4(B37+C37,D37+E37,F37+G37,H37+I37,B37+C37)</f>
        <v>1</v>
      </c>
      <c r="L37" s="35" cm="1">
        <f t="array" ref="L37">PointMin4(B37+C37,D37+E37,F37+G37,H37+I37,D37+E37)</f>
        <v>1</v>
      </c>
      <c r="M37" s="35" cm="1">
        <f t="array" ref="M37">PointMin4(B37+C37,D37+E37,F37+G37,H37+I37,F37+G37)</f>
        <v>1</v>
      </c>
      <c r="N37" s="35" cm="1">
        <f t="array" ref="N37">PointMin4(B37+C37,D37+E37,F37+G37,H37+I37,H37+I37)</f>
        <v>1</v>
      </c>
    </row>
    <row r="38" spans="1:14" x14ac:dyDescent="0.3">
      <c r="A38" s="99">
        <f t="shared" si="0"/>
        <v>36</v>
      </c>
      <c r="B38" s="70">
        <f>[1]Память!G38</f>
        <v>1249.3333333333333</v>
      </c>
      <c r="C38" s="21">
        <f>[1]Память!S38</f>
        <v>40.363033142275675</v>
      </c>
      <c r="D38" s="22">
        <f>[2]Память!G38</f>
        <v>58.333333333333336</v>
      </c>
      <c r="E38" s="22">
        <f>[2]Память!S38</f>
        <v>16.152846326404656</v>
      </c>
      <c r="F38" s="23">
        <f>[3]Память!G38</f>
        <v>540</v>
      </c>
      <c r="G38" s="23">
        <f>[3]Память!S38</f>
        <v>24.826061575153908</v>
      </c>
      <c r="H38" s="24">
        <f>[4]Память!B38</f>
        <v>7872</v>
      </c>
      <c r="I38" s="24">
        <f>[4]Память!I38</f>
        <v>0</v>
      </c>
      <c r="K38" s="35" cm="1">
        <f t="array" ref="K38">PointMin4(B38+C38,D38+E38,F38+G38,H38+I38,B38+C38)</f>
        <v>2</v>
      </c>
      <c r="L38" s="35" cm="1">
        <f t="array" ref="L38">PointMin4(B38+C38,D38+E38,F38+G38,H38+I38,D38+E38)</f>
        <v>4</v>
      </c>
      <c r="M38" s="35" cm="1">
        <f t="array" ref="M38">PointMin4(B38+C38,D38+E38,F38+G38,H38+I38,F38+G38)</f>
        <v>3</v>
      </c>
      <c r="N38" s="35" cm="1">
        <f t="array" ref="N38">PointMin4(B38+C38,D38+E38,F38+G38,H38+I38,H38+I38)</f>
        <v>1</v>
      </c>
    </row>
    <row r="39" spans="1:14" x14ac:dyDescent="0.3">
      <c r="A39" s="67">
        <f t="shared" si="0"/>
        <v>37</v>
      </c>
      <c r="B39" s="70">
        <f>[1]Память!G39</f>
        <v>0</v>
      </c>
      <c r="C39" s="21">
        <f>[1]Память!S39</f>
        <v>0</v>
      </c>
      <c r="D39" s="22">
        <f>[2]Память!G39</f>
        <v>0</v>
      </c>
      <c r="E39" s="22">
        <f>[2]Память!S39</f>
        <v>0</v>
      </c>
      <c r="F39" s="23">
        <f>[3]Память!G39</f>
        <v>0</v>
      </c>
      <c r="G39" s="23">
        <f>[3]Память!S39</f>
        <v>0</v>
      </c>
      <c r="H39" s="24">
        <f>[4]Память!B39</f>
        <v>0</v>
      </c>
      <c r="I39" s="24">
        <f>[4]Память!I39</f>
        <v>0</v>
      </c>
      <c r="K39" s="35" cm="1">
        <f t="array" ref="K39">PointMin4(B39+C39,D39+E39,F39+G39,H39+I39,B39+C39)</f>
        <v>1</v>
      </c>
      <c r="L39" s="35" cm="1">
        <f t="array" ref="L39">PointMin4(B39+C39,D39+E39,F39+G39,H39+I39,D39+E39)</f>
        <v>1</v>
      </c>
      <c r="M39" s="35" cm="1">
        <f t="array" ref="M39">PointMin4(B39+C39,D39+E39,F39+G39,H39+I39,F39+G39)</f>
        <v>1</v>
      </c>
      <c r="N39" s="35" cm="1">
        <f t="array" ref="N39">PointMin4(B39+C39,D39+E39,F39+G39,H39+I39,H39+I39)</f>
        <v>1</v>
      </c>
    </row>
    <row r="40" spans="1:14" x14ac:dyDescent="0.3">
      <c r="A40" s="67">
        <f t="shared" si="0"/>
        <v>38</v>
      </c>
      <c r="B40" s="70">
        <f>[1]Память!G40</f>
        <v>0</v>
      </c>
      <c r="C40" s="21">
        <f>[1]Память!S40</f>
        <v>0</v>
      </c>
      <c r="D40" s="22">
        <f>[2]Память!G40</f>
        <v>0</v>
      </c>
      <c r="E40" s="22">
        <f>[2]Память!S40</f>
        <v>0</v>
      </c>
      <c r="F40" s="23">
        <f>[3]Память!G40</f>
        <v>0</v>
      </c>
      <c r="G40" s="23">
        <f>[3]Память!S40</f>
        <v>0</v>
      </c>
      <c r="H40" s="24">
        <f>[4]Память!B40</f>
        <v>0</v>
      </c>
      <c r="I40" s="24">
        <f>[4]Память!I40</f>
        <v>0</v>
      </c>
      <c r="K40" s="35" cm="1">
        <f t="array" ref="K40">PointMin4(B40+C40,D40+E40,F40+G40,H40+I40,B40+C40)</f>
        <v>1</v>
      </c>
      <c r="L40" s="35" cm="1">
        <f t="array" ref="L40">PointMin4(B40+C40,D40+E40,F40+G40,H40+I40,D40+E40)</f>
        <v>1</v>
      </c>
      <c r="M40" s="35" cm="1">
        <f t="array" ref="M40">PointMin4(B40+C40,D40+E40,F40+G40,H40+I40,F40+G40)</f>
        <v>1</v>
      </c>
      <c r="N40" s="35" cm="1">
        <f t="array" ref="N40">PointMin4(B40+C40,D40+E40,F40+G40,H40+I40,H40+I40)</f>
        <v>1</v>
      </c>
    </row>
    <row r="41" spans="1:14" x14ac:dyDescent="0.3">
      <c r="A41" s="67">
        <f t="shared" si="0"/>
        <v>39</v>
      </c>
      <c r="B41" s="70">
        <f>[1]Память!G41</f>
        <v>0</v>
      </c>
      <c r="C41" s="21">
        <f>[1]Память!S41</f>
        <v>0</v>
      </c>
      <c r="D41" s="22">
        <f>[2]Память!G41</f>
        <v>0</v>
      </c>
      <c r="E41" s="22">
        <f>[2]Память!S41</f>
        <v>0</v>
      </c>
      <c r="F41" s="23">
        <f>[3]Память!G41</f>
        <v>0</v>
      </c>
      <c r="G41" s="23">
        <f>[3]Память!S41</f>
        <v>0</v>
      </c>
      <c r="H41" s="24">
        <f>[4]Память!B41</f>
        <v>0</v>
      </c>
      <c r="I41" s="24">
        <f>[4]Память!I41</f>
        <v>0</v>
      </c>
      <c r="K41" s="35" cm="1">
        <f t="array" ref="K41">PointMin4(B41+C41,D41+E41,F41+G41,H41+I41,B41+C41)</f>
        <v>1</v>
      </c>
      <c r="L41" s="35" cm="1">
        <f t="array" ref="L41">PointMin4(B41+C41,D41+E41,F41+G41,H41+I41,D41+E41)</f>
        <v>1</v>
      </c>
      <c r="M41" s="35" cm="1">
        <f t="array" ref="M41">PointMin4(B41+C41,D41+E41,F41+G41,H41+I41,F41+G41)</f>
        <v>1</v>
      </c>
      <c r="N41" s="35" cm="1">
        <f t="array" ref="N41">PointMin4(B41+C41,D41+E41,F41+G41,H41+I41,H41+I41)</f>
        <v>1</v>
      </c>
    </row>
    <row r="42" spans="1:14" x14ac:dyDescent="0.3">
      <c r="A42" s="67">
        <f t="shared" si="0"/>
        <v>40</v>
      </c>
      <c r="B42" s="70">
        <f>[1]Память!G42</f>
        <v>0</v>
      </c>
      <c r="C42" s="21">
        <f>[1]Память!S42</f>
        <v>0</v>
      </c>
      <c r="D42" s="22">
        <f>[2]Память!G42</f>
        <v>0</v>
      </c>
      <c r="E42" s="22">
        <f>[2]Память!S42</f>
        <v>0</v>
      </c>
      <c r="F42" s="23">
        <f>[3]Память!G42</f>
        <v>0</v>
      </c>
      <c r="G42" s="23">
        <f>[3]Память!S42</f>
        <v>0</v>
      </c>
      <c r="H42" s="24">
        <f>[4]Память!B42</f>
        <v>0</v>
      </c>
      <c r="I42" s="24">
        <f>[4]Память!I42</f>
        <v>0</v>
      </c>
      <c r="K42" s="35" cm="1">
        <f t="array" ref="K42">PointMin4(B42+C42,D42+E42,F42+G42,H42+I42,B42+C42)</f>
        <v>1</v>
      </c>
      <c r="L42" s="35" cm="1">
        <f t="array" ref="L42">PointMin4(B42+C42,D42+E42,F42+G42,H42+I42,D42+E42)</f>
        <v>1</v>
      </c>
      <c r="M42" s="35" cm="1">
        <f t="array" ref="M42">PointMin4(B42+C42,D42+E42,F42+G42,H42+I42,F42+G42)</f>
        <v>1</v>
      </c>
      <c r="N42" s="35" cm="1">
        <f t="array" ref="N42">PointMin4(B42+C42,D42+E42,F42+G42,H42+I42,H42+I42)</f>
        <v>1</v>
      </c>
    </row>
    <row r="43" spans="1:14" x14ac:dyDescent="0.3">
      <c r="A43" s="99">
        <f t="shared" si="0"/>
        <v>41</v>
      </c>
      <c r="B43" s="70">
        <f>[1]Память!G43</f>
        <v>1246.6666666666667</v>
      </c>
      <c r="C43" s="21">
        <f>[1]Память!S43</f>
        <v>23.595644607521201</v>
      </c>
      <c r="D43" s="22">
        <f>[2]Память!G43</f>
        <v>50</v>
      </c>
      <c r="E43" s="22">
        <f>[2]Память!S43</f>
        <v>12.900000000000002</v>
      </c>
      <c r="F43" s="23">
        <f>[3]Память!G43</f>
        <v>540</v>
      </c>
      <c r="G43" s="23">
        <f>[3]Память!S43</f>
        <v>24.826061575153908</v>
      </c>
      <c r="H43" s="24">
        <f>[4]Память!B43</f>
        <v>7744</v>
      </c>
      <c r="I43" s="24">
        <f>[4]Память!I43</f>
        <v>0</v>
      </c>
      <c r="K43" s="35" cm="1">
        <f t="array" ref="K43">PointMin4(B43+C43,D43+E43,F43+G43,H43+I43,B43+C43)</f>
        <v>2</v>
      </c>
      <c r="L43" s="35" cm="1">
        <f t="array" ref="L43">PointMin4(B43+C43,D43+E43,F43+G43,H43+I43,D43+E43)</f>
        <v>4</v>
      </c>
      <c r="M43" s="35" cm="1">
        <f t="array" ref="M43">PointMin4(B43+C43,D43+E43,F43+G43,H43+I43,F43+G43)</f>
        <v>3</v>
      </c>
      <c r="N43" s="35" cm="1">
        <f t="array" ref="N43">PointMin4(B43+C43,D43+E43,F43+G43,H43+I43,H43+I43)</f>
        <v>1</v>
      </c>
    </row>
    <row r="44" spans="1:14" x14ac:dyDescent="0.3">
      <c r="A44" s="98">
        <f t="shared" si="0"/>
        <v>42</v>
      </c>
      <c r="B44" s="70">
        <f>[1]Память!G44</f>
        <v>0</v>
      </c>
      <c r="C44" s="21">
        <f>[1]Память!S44</f>
        <v>0</v>
      </c>
      <c r="D44" s="22">
        <f>[2]Память!G44</f>
        <v>0</v>
      </c>
      <c r="E44" s="22">
        <f>[2]Память!S44</f>
        <v>0</v>
      </c>
      <c r="F44" s="23">
        <f>[3]Память!G44</f>
        <v>0</v>
      </c>
      <c r="G44" s="23">
        <f>[3]Память!S44</f>
        <v>0</v>
      </c>
      <c r="H44" s="24">
        <f>[4]Память!B44</f>
        <v>0</v>
      </c>
      <c r="I44" s="24">
        <f>[4]Память!I44</f>
        <v>0</v>
      </c>
      <c r="K44" s="35" cm="1">
        <f t="array" ref="K44">PointMin4(B44+C44,D44+E44,F44+G44,H44+I44,B44+C44)</f>
        <v>1</v>
      </c>
      <c r="L44" s="35" cm="1">
        <f t="array" ref="L44">PointMin4(B44+C44,D44+E44,F44+G44,H44+I44,D44+E44)</f>
        <v>1</v>
      </c>
      <c r="M44" s="35" cm="1">
        <f t="array" ref="M44">PointMin4(B44+C44,D44+E44,F44+G44,H44+I44,F44+G44)</f>
        <v>1</v>
      </c>
      <c r="N44" s="35" cm="1">
        <f t="array" ref="N44">PointMin4(B44+C44,D44+E44,F44+G44,H44+I44,H44+I44)</f>
        <v>1</v>
      </c>
    </row>
    <row r="45" spans="1:14" x14ac:dyDescent="0.3">
      <c r="A45" s="98">
        <f t="shared" si="0"/>
        <v>43</v>
      </c>
      <c r="B45" s="70">
        <f>[1]Память!G45</f>
        <v>0</v>
      </c>
      <c r="C45" s="21">
        <f>[1]Память!S45</f>
        <v>0</v>
      </c>
      <c r="D45" s="22">
        <f>[2]Память!G45</f>
        <v>0</v>
      </c>
      <c r="E45" s="22">
        <f>[2]Память!S45</f>
        <v>0</v>
      </c>
      <c r="F45" s="23">
        <f>[3]Память!G45</f>
        <v>0</v>
      </c>
      <c r="G45" s="23">
        <f>[3]Память!S45</f>
        <v>0</v>
      </c>
      <c r="H45" s="24">
        <f>[4]Память!B45</f>
        <v>0</v>
      </c>
      <c r="I45" s="24">
        <f>[4]Память!I45</f>
        <v>0</v>
      </c>
      <c r="K45" s="35" cm="1">
        <f t="array" ref="K45">PointMin4(B45+C45,D45+E45,F45+G45,H45+I45,B45+C45)</f>
        <v>1</v>
      </c>
      <c r="L45" s="35" cm="1">
        <f t="array" ref="L45">PointMin4(B45+C45,D45+E45,F45+G45,H45+I45,D45+E45)</f>
        <v>1</v>
      </c>
      <c r="M45" s="35" cm="1">
        <f t="array" ref="M45">PointMin4(B45+C45,D45+E45,F45+G45,H45+I45,F45+G45)</f>
        <v>1</v>
      </c>
      <c r="N45" s="35" cm="1">
        <f t="array" ref="N45">PointMin4(B45+C45,D45+E45,F45+G45,H45+I45,H45+I45)</f>
        <v>1</v>
      </c>
    </row>
    <row r="46" spans="1:14" x14ac:dyDescent="0.3">
      <c r="A46" s="98">
        <f t="shared" si="0"/>
        <v>44</v>
      </c>
      <c r="B46" s="70">
        <f>[1]Память!G46</f>
        <v>0</v>
      </c>
      <c r="C46" s="21">
        <f>[1]Память!S46</f>
        <v>0</v>
      </c>
      <c r="D46" s="22">
        <f>[2]Память!G46</f>
        <v>0</v>
      </c>
      <c r="E46" s="22">
        <f>[2]Память!S46</f>
        <v>0</v>
      </c>
      <c r="F46" s="23">
        <f>[3]Память!G46</f>
        <v>0</v>
      </c>
      <c r="G46" s="23">
        <f>[3]Память!S46</f>
        <v>0</v>
      </c>
      <c r="H46" s="24">
        <f>[4]Память!B46</f>
        <v>0</v>
      </c>
      <c r="I46" s="24">
        <f>[4]Память!I46</f>
        <v>0</v>
      </c>
      <c r="K46" s="35" cm="1">
        <f t="array" ref="K46">PointMin4(B46+C46,D46+E46,F46+G46,H46+I46,B46+C46)</f>
        <v>1</v>
      </c>
      <c r="L46" s="35" cm="1">
        <f t="array" ref="L46">PointMin4(B46+C46,D46+E46,F46+G46,H46+I46,D46+E46)</f>
        <v>1</v>
      </c>
      <c r="M46" s="35" cm="1">
        <f t="array" ref="M46">PointMin4(B46+C46,D46+E46,F46+G46,H46+I46,F46+G46)</f>
        <v>1</v>
      </c>
      <c r="N46" s="35" cm="1">
        <f t="array" ref="N46">PointMin4(B46+C46,D46+E46,F46+G46,H46+I46,H46+I46)</f>
        <v>1</v>
      </c>
    </row>
    <row r="47" spans="1:14" x14ac:dyDescent="0.3">
      <c r="A47" s="98">
        <f t="shared" si="0"/>
        <v>45</v>
      </c>
      <c r="B47" s="70">
        <f>[1]Память!G47</f>
        <v>0</v>
      </c>
      <c r="C47" s="21">
        <f>[1]Память!S47</f>
        <v>0</v>
      </c>
      <c r="D47" s="22">
        <f>[2]Память!G47</f>
        <v>0</v>
      </c>
      <c r="E47" s="22">
        <f>[2]Память!S47</f>
        <v>0</v>
      </c>
      <c r="F47" s="23">
        <f>[3]Память!G47</f>
        <v>0</v>
      </c>
      <c r="G47" s="23">
        <f>[3]Память!S47</f>
        <v>0</v>
      </c>
      <c r="H47" s="24">
        <f>[4]Память!B47</f>
        <v>0</v>
      </c>
      <c r="I47" s="24">
        <f>[4]Память!I47</f>
        <v>0</v>
      </c>
      <c r="K47" s="35" cm="1">
        <f t="array" ref="K47">PointMin4(B47+C47,D47+E47,F47+G47,H47+I47,B47+C47)</f>
        <v>1</v>
      </c>
      <c r="L47" s="35" cm="1">
        <f t="array" ref="L47">PointMin4(B47+C47,D47+E47,F47+G47,H47+I47,D47+E47)</f>
        <v>1</v>
      </c>
      <c r="M47" s="35" cm="1">
        <f t="array" ref="M47">PointMin4(B47+C47,D47+E47,F47+G47,H47+I47,F47+G47)</f>
        <v>1</v>
      </c>
      <c r="N47" s="35" cm="1">
        <f t="array" ref="N47">PointMin4(B47+C47,D47+E47,F47+G47,H47+I47,H47+I47)</f>
        <v>1</v>
      </c>
    </row>
    <row r="48" spans="1:14" x14ac:dyDescent="0.3">
      <c r="A48" s="99">
        <f t="shared" si="0"/>
        <v>46</v>
      </c>
      <c r="B48" s="70">
        <f>[1]Память!G48</f>
        <v>1243</v>
      </c>
      <c r="C48" s="21">
        <f>[1]Память!S48</f>
        <v>27.308667732669299</v>
      </c>
      <c r="D48" s="22">
        <f>[2]Память!G48</f>
        <v>50</v>
      </c>
      <c r="E48" s="22">
        <f>[2]Память!S48</f>
        <v>12.900000000000002</v>
      </c>
      <c r="F48" s="23">
        <f>[3]Память!G48</f>
        <v>540</v>
      </c>
      <c r="G48" s="23">
        <f>[3]Память!S48</f>
        <v>24.826061575153908</v>
      </c>
      <c r="H48" s="24">
        <f>[4]Память!B48</f>
        <v>7680</v>
      </c>
      <c r="I48" s="24">
        <f>[4]Память!I48</f>
        <v>0</v>
      </c>
      <c r="K48" s="35" cm="1">
        <f t="array" ref="K48">PointMin4(B48+C48,D48+E48,F48+G48,H48+I48,B48+C48)</f>
        <v>2</v>
      </c>
      <c r="L48" s="35" cm="1">
        <f t="array" ref="L48">PointMin4(B48+C48,D48+E48,F48+G48,H48+I48,D48+E48)</f>
        <v>4</v>
      </c>
      <c r="M48" s="35" cm="1">
        <f t="array" ref="M48">PointMin4(B48+C48,D48+E48,F48+G48,H48+I48,F48+G48)</f>
        <v>3</v>
      </c>
      <c r="N48" s="35" cm="1">
        <f t="array" ref="N48">PointMin4(B48+C48,D48+E48,F48+G48,H48+I48,H48+I48)</f>
        <v>1</v>
      </c>
    </row>
    <row r="49" spans="1:14" x14ac:dyDescent="0.3">
      <c r="A49" s="98">
        <f t="shared" si="0"/>
        <v>47</v>
      </c>
      <c r="B49" s="70">
        <f>[1]Память!G49</f>
        <v>0</v>
      </c>
      <c r="C49" s="21">
        <f>[1]Память!S49</f>
        <v>0</v>
      </c>
      <c r="D49" s="22">
        <f>[2]Память!G49</f>
        <v>0</v>
      </c>
      <c r="E49" s="22">
        <f>[2]Память!S49</f>
        <v>0</v>
      </c>
      <c r="F49" s="23">
        <f>[3]Память!G49</f>
        <v>0</v>
      </c>
      <c r="G49" s="23">
        <f>[3]Память!S49</f>
        <v>0</v>
      </c>
      <c r="H49" s="24">
        <f>[4]Память!B49</f>
        <v>0</v>
      </c>
      <c r="I49" s="24">
        <f>[4]Память!I49</f>
        <v>0</v>
      </c>
      <c r="K49" s="35" cm="1">
        <f t="array" ref="K49">PointMin4(B49+C49,D49+E49,F49+G49,H49+I49,B49+C49)</f>
        <v>1</v>
      </c>
      <c r="L49" s="35" cm="1">
        <f t="array" ref="L49">PointMin4(B49+C49,D49+E49,F49+G49,H49+I49,D49+E49)</f>
        <v>1</v>
      </c>
      <c r="M49" s="35" cm="1">
        <f t="array" ref="M49">PointMin4(B49+C49,D49+E49,F49+G49,H49+I49,F49+G49)</f>
        <v>1</v>
      </c>
      <c r="N49" s="35" cm="1">
        <f t="array" ref="N49">PointMin4(B49+C49,D49+E49,F49+G49,H49+I49,H49+I49)</f>
        <v>1</v>
      </c>
    </row>
    <row r="50" spans="1:14" x14ac:dyDescent="0.3">
      <c r="A50" s="67">
        <f t="shared" si="0"/>
        <v>48</v>
      </c>
      <c r="B50" s="70">
        <f>[1]Память!G50</f>
        <v>0</v>
      </c>
      <c r="C50" s="21">
        <f>[1]Память!S50</f>
        <v>0</v>
      </c>
      <c r="D50" s="22">
        <f>[2]Память!G50</f>
        <v>0</v>
      </c>
      <c r="E50" s="22">
        <f>[2]Память!S50</f>
        <v>0</v>
      </c>
      <c r="F50" s="23">
        <f>[3]Память!G50</f>
        <v>0</v>
      </c>
      <c r="G50" s="23">
        <f>[3]Память!S50</f>
        <v>0</v>
      </c>
      <c r="H50" s="24">
        <f>[4]Память!B50</f>
        <v>0</v>
      </c>
      <c r="I50" s="24">
        <f>[4]Память!I50</f>
        <v>0</v>
      </c>
      <c r="K50" s="35" cm="1">
        <f t="array" ref="K50">PointMin4(B50+C50,D50+E50,F50+G50,H50+I50,B50+C50)</f>
        <v>1</v>
      </c>
      <c r="L50" s="35" cm="1">
        <f t="array" ref="L50">PointMin4(B50+C50,D50+E50,F50+G50,H50+I50,D50+E50)</f>
        <v>1</v>
      </c>
      <c r="M50" s="35" cm="1">
        <f t="array" ref="M50">PointMin4(B50+C50,D50+E50,F50+G50,H50+I50,F50+G50)</f>
        <v>1</v>
      </c>
      <c r="N50" s="35" cm="1">
        <f t="array" ref="N50">PointMin4(B50+C50,D50+E50,F50+G50,H50+I50,H50+I50)</f>
        <v>1</v>
      </c>
    </row>
    <row r="51" spans="1:14" x14ac:dyDescent="0.3">
      <c r="A51" s="67">
        <f t="shared" si="0"/>
        <v>49</v>
      </c>
      <c r="B51" s="70">
        <f>[1]Память!G51</f>
        <v>0</v>
      </c>
      <c r="C51" s="21">
        <f>[1]Память!S51</f>
        <v>0</v>
      </c>
      <c r="D51" s="22">
        <f>[2]Память!G51</f>
        <v>0</v>
      </c>
      <c r="E51" s="22">
        <f>[2]Память!S51</f>
        <v>0</v>
      </c>
      <c r="F51" s="23">
        <f>[3]Память!G51</f>
        <v>0</v>
      </c>
      <c r="G51" s="23">
        <f>[3]Память!S51</f>
        <v>0</v>
      </c>
      <c r="H51" s="24">
        <f>[4]Память!B51</f>
        <v>0</v>
      </c>
      <c r="I51" s="24">
        <f>[4]Память!I51</f>
        <v>0</v>
      </c>
      <c r="K51" s="35" cm="1">
        <f t="array" ref="K51">PointMin4(B51+C51,D51+E51,F51+G51,H51+I51,B51+C51)</f>
        <v>1</v>
      </c>
      <c r="L51" s="35" cm="1">
        <f t="array" ref="L51">PointMin4(B51+C51,D51+E51,F51+G51,H51+I51,D51+E51)</f>
        <v>1</v>
      </c>
      <c r="M51" s="35" cm="1">
        <f t="array" ref="M51">PointMin4(B51+C51,D51+E51,F51+G51,H51+I51,F51+G51)</f>
        <v>1</v>
      </c>
      <c r="N51" s="35" cm="1">
        <f t="array" ref="N51">PointMin4(B51+C51,D51+E51,F51+G51,H51+I51,H51+I51)</f>
        <v>1</v>
      </c>
    </row>
    <row r="52" spans="1:14" x14ac:dyDescent="0.3">
      <c r="A52" s="67">
        <f t="shared" si="0"/>
        <v>50</v>
      </c>
      <c r="B52" s="70">
        <f>[1]Память!G52</f>
        <v>0</v>
      </c>
      <c r="C52" s="21">
        <f>[1]Память!S52</f>
        <v>0</v>
      </c>
      <c r="D52" s="22">
        <f>[2]Память!G52</f>
        <v>0</v>
      </c>
      <c r="E52" s="22">
        <f>[2]Память!S52</f>
        <v>0</v>
      </c>
      <c r="F52" s="23">
        <f>[3]Память!G52</f>
        <v>0</v>
      </c>
      <c r="G52" s="23">
        <f>[3]Память!S52</f>
        <v>0</v>
      </c>
      <c r="H52" s="24">
        <f>[4]Память!B52</f>
        <v>0</v>
      </c>
      <c r="I52" s="24">
        <f>[4]Память!I52</f>
        <v>0</v>
      </c>
      <c r="K52" s="35" cm="1">
        <f t="array" ref="K52">PointMin4(B52+C52,D52+E52,F52+G52,H52+I52,B52+C52)</f>
        <v>1</v>
      </c>
      <c r="L52" s="35" cm="1">
        <f t="array" ref="L52">PointMin4(B52+C52,D52+E52,F52+G52,H52+I52,D52+E52)</f>
        <v>1</v>
      </c>
      <c r="M52" s="35" cm="1">
        <f t="array" ref="M52">PointMin4(B52+C52,D52+E52,F52+G52,H52+I52,F52+G52)</f>
        <v>1</v>
      </c>
      <c r="N52" s="35" cm="1">
        <f t="array" ref="N52">PointMin4(B52+C52,D52+E52,F52+G52,H52+I52,H52+I52)</f>
        <v>1</v>
      </c>
    </row>
    <row r="53" spans="1:14" x14ac:dyDescent="0.3">
      <c r="A53" s="99">
        <f t="shared" si="0"/>
        <v>51</v>
      </c>
      <c r="B53" s="70">
        <f>[1]Память!G53</f>
        <v>1241.6666666666667</v>
      </c>
      <c r="C53" s="21">
        <f>[1]Память!S53</f>
        <v>23.595644607521201</v>
      </c>
      <c r="D53" s="22">
        <f>[2]Память!G53</f>
        <v>50</v>
      </c>
      <c r="E53" s="22">
        <f>[2]Память!S53</f>
        <v>12.900000000000002</v>
      </c>
      <c r="F53" s="23">
        <f>[3]Память!G53</f>
        <v>540</v>
      </c>
      <c r="G53" s="23">
        <f>[3]Память!S53</f>
        <v>24.826061575153908</v>
      </c>
      <c r="H53" s="24">
        <f>[4]Память!B53</f>
        <v>7680</v>
      </c>
      <c r="I53" s="24">
        <f>[4]Память!I53</f>
        <v>0</v>
      </c>
      <c r="K53" s="35" cm="1">
        <f t="array" ref="K53">PointMin4(B53+C53,D53+E53,F53+G53,H53+I53,B53+C53)</f>
        <v>2</v>
      </c>
      <c r="L53" s="35" cm="1">
        <f t="array" ref="L53">PointMin4(B53+C53,D53+E53,F53+G53,H53+I53,D53+E53)</f>
        <v>4</v>
      </c>
      <c r="M53" s="35" cm="1">
        <f t="array" ref="M53">PointMin4(B53+C53,D53+E53,F53+G53,H53+I53,F53+G53)</f>
        <v>3</v>
      </c>
      <c r="N53" s="35" cm="1">
        <f t="array" ref="N53">PointMin4(B53+C53,D53+E53,F53+G53,H53+I53,H53+I53)</f>
        <v>1</v>
      </c>
    </row>
    <row r="54" spans="1:14" x14ac:dyDescent="0.3">
      <c r="A54" s="99">
        <f t="shared" si="0"/>
        <v>52</v>
      </c>
      <c r="B54" s="70">
        <f>[1]Память!G54</f>
        <v>1758.6666666666667</v>
      </c>
      <c r="C54" s="21">
        <f>[1]Память!S54</f>
        <v>70.233333333333334</v>
      </c>
      <c r="D54" s="22">
        <f>[2]Память!G54</f>
        <v>50</v>
      </c>
      <c r="E54" s="22">
        <f>[2]Память!S54</f>
        <v>12.900000000000002</v>
      </c>
      <c r="F54" s="23">
        <f>[3]Память!G54</f>
        <v>540</v>
      </c>
      <c r="G54" s="23">
        <f>[3]Память!S54</f>
        <v>24.826061575153908</v>
      </c>
      <c r="H54" s="24">
        <f>[4]Память!B54</f>
        <v>11584</v>
      </c>
      <c r="I54" s="24">
        <f>[4]Память!I54</f>
        <v>0</v>
      </c>
      <c r="K54" s="35" cm="1">
        <f t="array" ref="K54">PointMin4(B54+C54,D54+E54,F54+G54,H54+I54,B54+C54)</f>
        <v>2</v>
      </c>
      <c r="L54" s="35" cm="1">
        <f t="array" ref="L54">PointMin4(B54+C54,D54+E54,F54+G54,H54+I54,D54+E54)</f>
        <v>4</v>
      </c>
      <c r="M54" s="35" cm="1">
        <f t="array" ref="M54">PointMin4(B54+C54,D54+E54,F54+G54,H54+I54,F54+G54)</f>
        <v>3</v>
      </c>
      <c r="N54" s="35" cm="1">
        <f t="array" ref="N54">PointMin4(B54+C54,D54+E54,F54+G54,H54+I54,H54+I54)</f>
        <v>1</v>
      </c>
    </row>
    <row r="55" spans="1:14" x14ac:dyDescent="0.3">
      <c r="A55" s="67">
        <f t="shared" si="0"/>
        <v>53</v>
      </c>
      <c r="B55" s="70">
        <f>[1]Память!G55</f>
        <v>0</v>
      </c>
      <c r="C55" s="21">
        <f>[1]Память!S55</f>
        <v>0</v>
      </c>
      <c r="D55" s="22">
        <f>[2]Память!G55</f>
        <v>0</v>
      </c>
      <c r="E55" s="22">
        <f>[2]Память!S55</f>
        <v>0</v>
      </c>
      <c r="F55" s="23">
        <f>[3]Память!G55</f>
        <v>0</v>
      </c>
      <c r="G55" s="23">
        <f>[3]Память!S55</f>
        <v>0</v>
      </c>
      <c r="H55" s="24">
        <f>[4]Память!B55</f>
        <v>0</v>
      </c>
      <c r="I55" s="24">
        <f>[4]Память!I55</f>
        <v>0</v>
      </c>
      <c r="K55" s="35" cm="1">
        <f t="array" ref="K55">PointMin4(B55+C55,D55+E55,F55+G55,H55+I55,B55+C55)</f>
        <v>1</v>
      </c>
      <c r="L55" s="35" cm="1">
        <f t="array" ref="L55">PointMin4(B55+C55,D55+E55,F55+G55,H55+I55,D55+E55)</f>
        <v>1</v>
      </c>
      <c r="M55" s="35" cm="1">
        <f t="array" ref="M55">PointMin4(B55+C55,D55+E55,F55+G55,H55+I55,F55+G55)</f>
        <v>1</v>
      </c>
      <c r="N55" s="35" cm="1">
        <f t="array" ref="N55">PointMin4(B55+C55,D55+E55,F55+G55,H55+I55,H55+I55)</f>
        <v>1</v>
      </c>
    </row>
    <row r="56" spans="1:14" x14ac:dyDescent="0.3">
      <c r="A56" s="67">
        <f t="shared" si="0"/>
        <v>54</v>
      </c>
      <c r="B56" s="70">
        <f>[1]Память!G56</f>
        <v>0</v>
      </c>
      <c r="C56" s="21">
        <f>[1]Память!S56</f>
        <v>0</v>
      </c>
      <c r="D56" s="22">
        <f>[2]Память!G56</f>
        <v>0</v>
      </c>
      <c r="E56" s="22">
        <f>[2]Память!S56</f>
        <v>0</v>
      </c>
      <c r="F56" s="23">
        <f>[3]Память!G56</f>
        <v>0</v>
      </c>
      <c r="G56" s="23">
        <f>[3]Память!S56</f>
        <v>0</v>
      </c>
      <c r="H56" s="24">
        <f>[4]Память!B56</f>
        <v>0</v>
      </c>
      <c r="I56" s="24">
        <f>[4]Память!I56</f>
        <v>0</v>
      </c>
      <c r="K56" s="35" cm="1">
        <f t="array" ref="K56">PointMin4(B56+C56,D56+E56,F56+G56,H56+I56,B56+C56)</f>
        <v>1</v>
      </c>
      <c r="L56" s="35" cm="1">
        <f t="array" ref="L56">PointMin4(B56+C56,D56+E56,F56+G56,H56+I56,D56+E56)</f>
        <v>1</v>
      </c>
      <c r="M56" s="35" cm="1">
        <f t="array" ref="M56">PointMin4(B56+C56,D56+E56,F56+G56,H56+I56,F56+G56)</f>
        <v>1</v>
      </c>
      <c r="N56" s="35" cm="1">
        <f t="array" ref="N56">PointMin4(B56+C56,D56+E56,F56+G56,H56+I56,H56+I56)</f>
        <v>1</v>
      </c>
    </row>
    <row r="57" spans="1:14" x14ac:dyDescent="0.3">
      <c r="A57" s="67">
        <f t="shared" si="0"/>
        <v>55</v>
      </c>
      <c r="B57" s="70">
        <f>[1]Память!G57</f>
        <v>0</v>
      </c>
      <c r="C57" s="21">
        <f>[1]Память!S57</f>
        <v>0</v>
      </c>
      <c r="D57" s="22">
        <f>[2]Память!G57</f>
        <v>0</v>
      </c>
      <c r="E57" s="22">
        <f>[2]Память!S57</f>
        <v>0</v>
      </c>
      <c r="F57" s="23">
        <f>[3]Память!G57</f>
        <v>0</v>
      </c>
      <c r="G57" s="23">
        <f>[3]Память!S57</f>
        <v>0</v>
      </c>
      <c r="H57" s="24">
        <f>[4]Память!B57</f>
        <v>0</v>
      </c>
      <c r="I57" s="24">
        <f>[4]Память!I57</f>
        <v>0</v>
      </c>
      <c r="K57" s="35" cm="1">
        <f t="array" ref="K57">PointMin4(B57+C57,D57+E57,F57+G57,H57+I57,B57+C57)</f>
        <v>1</v>
      </c>
      <c r="L57" s="35" cm="1">
        <f t="array" ref="L57">PointMin4(B57+C57,D57+E57,F57+G57,H57+I57,D57+E57)</f>
        <v>1</v>
      </c>
      <c r="M57" s="35" cm="1">
        <f t="array" ref="M57">PointMin4(B57+C57,D57+E57,F57+G57,H57+I57,F57+G57)</f>
        <v>1</v>
      </c>
      <c r="N57" s="35" cm="1">
        <f t="array" ref="N57">PointMin4(B57+C57,D57+E57,F57+G57,H57+I57,H57+I57)</f>
        <v>1</v>
      </c>
    </row>
    <row r="58" spans="1:14" x14ac:dyDescent="0.3">
      <c r="A58" s="99">
        <f t="shared" si="0"/>
        <v>56</v>
      </c>
      <c r="B58" s="70">
        <f>[1]Память!G58</f>
        <v>1249.6666666666667</v>
      </c>
      <c r="C58" s="21">
        <f>[1]Память!S58</f>
        <v>21.114318469807269</v>
      </c>
      <c r="D58" s="22">
        <f>[2]Память!G58</f>
        <v>50</v>
      </c>
      <c r="E58" s="22">
        <f>[2]Память!S58</f>
        <v>12.900000000000002</v>
      </c>
      <c r="F58" s="23">
        <f>[3]Память!G58</f>
        <v>540</v>
      </c>
      <c r="G58" s="23">
        <f>[3]Память!S58</f>
        <v>24.826061575153908</v>
      </c>
      <c r="H58" s="24">
        <f>[4]Память!B58</f>
        <v>7680</v>
      </c>
      <c r="I58" s="24">
        <f>[4]Память!I58</f>
        <v>0</v>
      </c>
      <c r="K58" s="35" cm="1">
        <f t="array" ref="K58">PointMin4(B58+C58,D58+E58,F58+G58,H58+I58,B58+C58)</f>
        <v>2</v>
      </c>
      <c r="L58" s="35" cm="1">
        <f t="array" ref="L58">PointMin4(B58+C58,D58+E58,F58+G58,H58+I58,D58+E58)</f>
        <v>4</v>
      </c>
      <c r="M58" s="35" cm="1">
        <f t="array" ref="M58">PointMin4(B58+C58,D58+E58,F58+G58,H58+I58,F58+G58)</f>
        <v>3</v>
      </c>
      <c r="N58" s="35" cm="1">
        <f t="array" ref="N58">PointMin4(B58+C58,D58+E58,F58+G58,H58+I58,H58+I58)</f>
        <v>1</v>
      </c>
    </row>
    <row r="59" spans="1:14" x14ac:dyDescent="0.3">
      <c r="A59" s="99">
        <f t="shared" si="0"/>
        <v>57</v>
      </c>
      <c r="B59" s="70">
        <f>[1]Память!G59</f>
        <v>1766</v>
      </c>
      <c r="C59" s="21">
        <f>[1]Память!S59</f>
        <v>63.342955409421812</v>
      </c>
      <c r="D59" s="22">
        <f>[2]Память!G59</f>
        <v>50</v>
      </c>
      <c r="E59" s="22">
        <f>[2]Память!S59</f>
        <v>12.900000000000002</v>
      </c>
      <c r="F59" s="23">
        <f>[3]Память!G59</f>
        <v>540</v>
      </c>
      <c r="G59" s="23">
        <f>[3]Память!S59</f>
        <v>24.826061575153908</v>
      </c>
      <c r="H59" s="24">
        <f>[4]Память!B59</f>
        <v>11499</v>
      </c>
      <c r="I59" s="24">
        <f>[4]Память!I59</f>
        <v>0</v>
      </c>
      <c r="K59" s="35" cm="1">
        <f t="array" ref="K59">PointMin4(B59+C59,D59+E59,F59+G59,H59+I59,B59+C59)</f>
        <v>2</v>
      </c>
      <c r="L59" s="35" cm="1">
        <f t="array" ref="L59">PointMin4(B59+C59,D59+E59,F59+G59,H59+I59,D59+E59)</f>
        <v>4</v>
      </c>
      <c r="M59" s="35" cm="1">
        <f t="array" ref="M59">PointMin4(B59+C59,D59+E59,F59+G59,H59+I59,F59+G59)</f>
        <v>3</v>
      </c>
      <c r="N59" s="35" cm="1">
        <f t="array" ref="N59">PointMin4(B59+C59,D59+E59,F59+G59,H59+I59,H59+I59)</f>
        <v>1</v>
      </c>
    </row>
    <row r="60" spans="1:14" x14ac:dyDescent="0.3">
      <c r="A60" s="67">
        <f t="shared" si="0"/>
        <v>58</v>
      </c>
      <c r="B60" s="70">
        <f>[1]Память!G60</f>
        <v>0</v>
      </c>
      <c r="C60" s="21">
        <f>[1]Память!S60</f>
        <v>0</v>
      </c>
      <c r="D60" s="22">
        <f>[2]Память!G60</f>
        <v>0</v>
      </c>
      <c r="E60" s="22">
        <f>[2]Память!S60</f>
        <v>0</v>
      </c>
      <c r="F60" s="23">
        <f>[3]Память!G60</f>
        <v>0</v>
      </c>
      <c r="G60" s="23">
        <f>[3]Память!S60</f>
        <v>0</v>
      </c>
      <c r="H60" s="24">
        <f>[4]Память!B60</f>
        <v>0</v>
      </c>
      <c r="I60" s="24">
        <f>[4]Память!I60</f>
        <v>0</v>
      </c>
      <c r="K60" s="35" cm="1">
        <f t="array" ref="K60">PointMin4(B60+C60,D60+E60,F60+G60,H60+I60,B60+C60)</f>
        <v>1</v>
      </c>
      <c r="L60" s="35" cm="1">
        <f t="array" ref="L60">PointMin4(B60+C60,D60+E60,F60+G60,H60+I60,D60+E60)</f>
        <v>1</v>
      </c>
      <c r="M60" s="35" cm="1">
        <f t="array" ref="M60">PointMin4(B60+C60,D60+E60,F60+G60,H60+I60,F60+G60)</f>
        <v>1</v>
      </c>
      <c r="N60" s="35" cm="1">
        <f t="array" ref="N60">PointMin4(B60+C60,D60+E60,F60+G60,H60+I60,H60+I60)</f>
        <v>1</v>
      </c>
    </row>
    <row r="61" spans="1:14" x14ac:dyDescent="0.3">
      <c r="A61" s="67">
        <f t="shared" si="0"/>
        <v>59</v>
      </c>
      <c r="B61" s="70">
        <f>[1]Память!G61</f>
        <v>0</v>
      </c>
      <c r="C61" s="21">
        <f>[1]Память!S61</f>
        <v>0</v>
      </c>
      <c r="D61" s="22">
        <f>[2]Память!G61</f>
        <v>0</v>
      </c>
      <c r="E61" s="22">
        <f>[2]Память!S61</f>
        <v>0</v>
      </c>
      <c r="F61" s="23">
        <f>[3]Память!G61</f>
        <v>0</v>
      </c>
      <c r="G61" s="23">
        <f>[3]Память!S61</f>
        <v>0</v>
      </c>
      <c r="H61" s="24">
        <f>[4]Память!B61</f>
        <v>0</v>
      </c>
      <c r="I61" s="24">
        <f>[4]Память!I61</f>
        <v>0</v>
      </c>
      <c r="K61" s="35" cm="1">
        <f t="array" ref="K61">PointMin4(B61+C61,D61+E61,F61+G61,H61+I61,B61+C61)</f>
        <v>1</v>
      </c>
      <c r="L61" s="35" cm="1">
        <f t="array" ref="L61">PointMin4(B61+C61,D61+E61,F61+G61,H61+I61,D61+E61)</f>
        <v>1</v>
      </c>
      <c r="M61" s="35" cm="1">
        <f t="array" ref="M61">PointMin4(B61+C61,D61+E61,F61+G61,H61+I61,F61+G61)</f>
        <v>1</v>
      </c>
      <c r="N61" s="35" cm="1">
        <f t="array" ref="N61">PointMin4(B61+C61,D61+E61,F61+G61,H61+I61,H61+I61)</f>
        <v>1</v>
      </c>
    </row>
    <row r="62" spans="1:14" x14ac:dyDescent="0.3">
      <c r="A62" s="67">
        <f t="shared" si="0"/>
        <v>60</v>
      </c>
      <c r="B62" s="70">
        <f>[1]Память!G62</f>
        <v>0</v>
      </c>
      <c r="C62" s="21">
        <f>[1]Память!S62</f>
        <v>0</v>
      </c>
      <c r="D62" s="22">
        <f>[2]Память!G62</f>
        <v>0</v>
      </c>
      <c r="E62" s="22">
        <f>[2]Память!S62</f>
        <v>0</v>
      </c>
      <c r="F62" s="23">
        <f>[3]Память!G62</f>
        <v>0</v>
      </c>
      <c r="G62" s="23">
        <f>[3]Память!S62</f>
        <v>0</v>
      </c>
      <c r="H62" s="24">
        <f>[4]Память!B62</f>
        <v>0</v>
      </c>
      <c r="I62" s="24">
        <f>[4]Память!I62</f>
        <v>0</v>
      </c>
      <c r="K62" s="35" cm="1">
        <f t="array" ref="K62">PointMin4(B62+C62,D62+E62,F62+G62,H62+I62,B62+C62)</f>
        <v>1</v>
      </c>
      <c r="L62" s="35" cm="1">
        <f t="array" ref="L62">PointMin4(B62+C62,D62+E62,F62+G62,H62+I62,D62+E62)</f>
        <v>1</v>
      </c>
      <c r="M62" s="35" cm="1">
        <f t="array" ref="M62">PointMin4(B62+C62,D62+E62,F62+G62,H62+I62,F62+G62)</f>
        <v>1</v>
      </c>
      <c r="N62" s="35" cm="1">
        <f t="array" ref="N62">PointMin4(B62+C62,D62+E62,F62+G62,H62+I62,H62+I62)</f>
        <v>1</v>
      </c>
    </row>
    <row r="63" spans="1:14" x14ac:dyDescent="0.3">
      <c r="A63" s="100">
        <f t="shared" si="0"/>
        <v>61</v>
      </c>
      <c r="B63" s="70">
        <f>[1]Память!G63</f>
        <v>1245</v>
      </c>
      <c r="C63" s="21">
        <f>[1]Память!S63</f>
        <v>22.343455417638516</v>
      </c>
      <c r="D63" s="22">
        <f>[2]Память!G63</f>
        <v>55.333333333333336</v>
      </c>
      <c r="E63" s="22">
        <f>[2]Память!S63</f>
        <v>18.797990436332402</v>
      </c>
      <c r="F63" s="23">
        <f>[3]Память!G63</f>
        <v>540</v>
      </c>
      <c r="G63" s="23">
        <f>[3]Память!S63</f>
        <v>24.826061575153908</v>
      </c>
      <c r="H63" s="24">
        <f>[4]Память!B63</f>
        <v>7680</v>
      </c>
      <c r="I63" s="24">
        <f>[4]Память!I63</f>
        <v>0</v>
      </c>
      <c r="K63" s="35" cm="1">
        <f t="array" ref="K63">PointMin4(B63+C63,D63+E63,F63+G63,H63+I63,B63+C63)</f>
        <v>2</v>
      </c>
      <c r="L63" s="35" cm="1">
        <f t="array" ref="L63">PointMin4(B63+C63,D63+E63,F63+G63,H63+I63,D63+E63)</f>
        <v>4</v>
      </c>
      <c r="M63" s="35" cm="1">
        <f t="array" ref="M63">PointMin4(B63+C63,D63+E63,F63+G63,H63+I63,F63+G63)</f>
        <v>3</v>
      </c>
      <c r="N63" s="35" cm="1">
        <f t="array" ref="N63">PointMin4(B63+C63,D63+E63,F63+G63,H63+I63,H63+I63)</f>
        <v>1</v>
      </c>
    </row>
    <row r="64" spans="1:14" x14ac:dyDescent="0.3">
      <c r="A64" s="98">
        <f t="shared" si="0"/>
        <v>62</v>
      </c>
      <c r="B64" s="70">
        <f>[1]Память!G64</f>
        <v>0</v>
      </c>
      <c r="C64" s="21">
        <f>[1]Память!S64</f>
        <v>0</v>
      </c>
      <c r="D64" s="22">
        <f>[2]Память!G64</f>
        <v>0</v>
      </c>
      <c r="E64" s="22">
        <f>[2]Память!S64</f>
        <v>0</v>
      </c>
      <c r="F64" s="23">
        <f>[3]Память!G64</f>
        <v>0</v>
      </c>
      <c r="G64" s="23">
        <f>[3]Память!S64</f>
        <v>0</v>
      </c>
      <c r="H64" s="24">
        <f>[4]Память!B64</f>
        <v>0</v>
      </c>
      <c r="I64" s="24">
        <f>[4]Память!I64</f>
        <v>0</v>
      </c>
      <c r="K64" s="35" cm="1">
        <f t="array" ref="K64">PointMin4(B64+C64,D64+E64,F64+G64,H64+I64,B64+C64)</f>
        <v>1</v>
      </c>
      <c r="L64" s="35" cm="1">
        <f t="array" ref="L64">PointMin4(B64+C64,D64+E64,F64+G64,H64+I64,D64+E64)</f>
        <v>1</v>
      </c>
      <c r="M64" s="35" cm="1">
        <f t="array" ref="M64">PointMin4(B64+C64,D64+E64,F64+G64,H64+I64,F64+G64)</f>
        <v>1</v>
      </c>
      <c r="N64" s="35" cm="1">
        <f t="array" ref="N64">PointMin4(B64+C64,D64+E64,F64+G64,H64+I64,H64+I64)</f>
        <v>1</v>
      </c>
    </row>
    <row r="65" spans="1:14" x14ac:dyDescent="0.3">
      <c r="A65" s="98">
        <f t="shared" si="0"/>
        <v>63</v>
      </c>
      <c r="B65" s="70">
        <f>[1]Память!G65</f>
        <v>0</v>
      </c>
      <c r="C65" s="21">
        <f>[1]Память!S65</f>
        <v>0</v>
      </c>
      <c r="D65" s="22">
        <f>[2]Память!G65</f>
        <v>0</v>
      </c>
      <c r="E65" s="22">
        <f>[2]Память!S65</f>
        <v>0</v>
      </c>
      <c r="F65" s="23">
        <f>[3]Память!G65</f>
        <v>0</v>
      </c>
      <c r="G65" s="23">
        <f>[3]Память!S65</f>
        <v>0</v>
      </c>
      <c r="H65" s="24">
        <f>[4]Память!B65</f>
        <v>0</v>
      </c>
      <c r="I65" s="24">
        <f>[4]Память!I65</f>
        <v>0</v>
      </c>
      <c r="K65" s="35" cm="1">
        <f t="array" ref="K65">PointMin4(B65+C65,D65+E65,F65+G65,H65+I65,B65+C65)</f>
        <v>1</v>
      </c>
      <c r="L65" s="35" cm="1">
        <f t="array" ref="L65">PointMin4(B65+C65,D65+E65,F65+G65,H65+I65,D65+E65)</f>
        <v>1</v>
      </c>
      <c r="M65" s="35" cm="1">
        <f t="array" ref="M65">PointMin4(B65+C65,D65+E65,F65+G65,H65+I65,F65+G65)</f>
        <v>1</v>
      </c>
      <c r="N65" s="35" cm="1">
        <f t="array" ref="N65">PointMin4(B65+C65,D65+E65,F65+G65,H65+I65,H65+I65)</f>
        <v>1</v>
      </c>
    </row>
    <row r="66" spans="1:14" x14ac:dyDescent="0.3">
      <c r="A66" s="98">
        <f t="shared" si="0"/>
        <v>64</v>
      </c>
      <c r="B66" s="70">
        <f>[1]Память!G66</f>
        <v>0</v>
      </c>
      <c r="C66" s="21">
        <f>[1]Память!S66</f>
        <v>0</v>
      </c>
      <c r="D66" s="22">
        <f>[2]Память!G66</f>
        <v>0</v>
      </c>
      <c r="E66" s="22">
        <f>[2]Память!S66</f>
        <v>0</v>
      </c>
      <c r="F66" s="23">
        <f>[3]Память!G66</f>
        <v>0</v>
      </c>
      <c r="G66" s="23">
        <f>[3]Память!S66</f>
        <v>0</v>
      </c>
      <c r="H66" s="24">
        <f>[4]Память!B66</f>
        <v>0</v>
      </c>
      <c r="I66" s="24">
        <f>[4]Память!I66</f>
        <v>0</v>
      </c>
      <c r="K66" s="35" cm="1">
        <f t="array" ref="K66">PointMin4(B66+C66,D66+E66,F66+G66,H66+I66,B66+C66)</f>
        <v>1</v>
      </c>
      <c r="L66" s="35" cm="1">
        <f t="array" ref="L66">PointMin4(B66+C66,D66+E66,F66+G66,H66+I66,D66+E66)</f>
        <v>1</v>
      </c>
      <c r="M66" s="35" cm="1">
        <f t="array" ref="M66">PointMin4(B66+C66,D66+E66,F66+G66,H66+I66,F66+G66)</f>
        <v>1</v>
      </c>
      <c r="N66" s="35" cm="1">
        <f t="array" ref="N66">PointMin4(B66+C66,D66+E66,F66+G66,H66+I66,H66+I66)</f>
        <v>1</v>
      </c>
    </row>
    <row r="67" spans="1:14" x14ac:dyDescent="0.3">
      <c r="A67" s="98">
        <f t="shared" si="0"/>
        <v>65</v>
      </c>
      <c r="B67" s="70">
        <f>[1]Память!G67</f>
        <v>0</v>
      </c>
      <c r="C67" s="21">
        <f>[1]Память!S67</f>
        <v>0</v>
      </c>
      <c r="D67" s="22">
        <f>[2]Память!G67</f>
        <v>0</v>
      </c>
      <c r="E67" s="22">
        <f>[2]Память!S67</f>
        <v>0</v>
      </c>
      <c r="F67" s="23">
        <f>[3]Память!G67</f>
        <v>0</v>
      </c>
      <c r="G67" s="23">
        <f>[3]Память!S67</f>
        <v>0</v>
      </c>
      <c r="H67" s="24">
        <f>[4]Память!B67</f>
        <v>0</v>
      </c>
      <c r="I67" s="24">
        <f>[4]Память!I67</f>
        <v>0</v>
      </c>
      <c r="K67" s="35" cm="1">
        <f t="array" ref="K67">PointMin4(B67+C67,D67+E67,F67+G67,H67+I67,B67+C67)</f>
        <v>1</v>
      </c>
      <c r="L67" s="35" cm="1">
        <f t="array" ref="L67">PointMin4(B67+C67,D67+E67,F67+G67,H67+I67,D67+E67)</f>
        <v>1</v>
      </c>
      <c r="M67" s="35" cm="1">
        <f t="array" ref="M67">PointMin4(B67+C67,D67+E67,F67+G67,H67+I67,F67+G67)</f>
        <v>1</v>
      </c>
      <c r="N67" s="35" cm="1">
        <f t="array" ref="N67">PointMin4(B67+C67,D67+E67,F67+G67,H67+I67,H67+I67)</f>
        <v>1</v>
      </c>
    </row>
    <row r="68" spans="1:14" x14ac:dyDescent="0.3">
      <c r="A68" s="99">
        <f t="shared" si="0"/>
        <v>66</v>
      </c>
      <c r="B68" s="70">
        <f>[1]Память!G68</f>
        <v>1267.3333333333333</v>
      </c>
      <c r="C68" s="21">
        <f>[1]Память!S68</f>
        <v>65.792966527163415</v>
      </c>
      <c r="D68" s="22">
        <f>[2]Память!G68</f>
        <v>60.666666666666664</v>
      </c>
      <c r="E68" s="22">
        <f>[2]Память!S68</f>
        <v>21.690269195604234</v>
      </c>
      <c r="F68" s="23">
        <f>[3]Память!G68</f>
        <v>540</v>
      </c>
      <c r="G68" s="23">
        <f>[3]Память!S68</f>
        <v>24.826061575153908</v>
      </c>
      <c r="H68" s="24">
        <f>[4]Память!B68</f>
        <v>7936</v>
      </c>
      <c r="I68" s="24">
        <f>[4]Память!I68</f>
        <v>0</v>
      </c>
      <c r="K68" s="35" cm="1">
        <f t="array" ref="K68">PointMin4(B68+C68,D68+E68,F68+G68,H68+I68,B68+C68)</f>
        <v>2</v>
      </c>
      <c r="L68" s="35" cm="1">
        <f t="array" ref="L68">PointMin4(B68+C68,D68+E68,F68+G68,H68+I68,D68+E68)</f>
        <v>4</v>
      </c>
      <c r="M68" s="35" cm="1">
        <f t="array" ref="M68">PointMin4(B68+C68,D68+E68,F68+G68,H68+I68,F68+G68)</f>
        <v>3</v>
      </c>
      <c r="N68" s="35" cm="1">
        <f t="array" ref="N68">PointMin4(B68+C68,D68+E68,F68+G68,H68+I68,H68+I68)</f>
        <v>1</v>
      </c>
    </row>
    <row r="69" spans="1:14" x14ac:dyDescent="0.3">
      <c r="A69" s="98">
        <f t="shared" ref="A69:A78" si="1">A68+1</f>
        <v>67</v>
      </c>
      <c r="B69" s="70">
        <f>[1]Память!G69</f>
        <v>0</v>
      </c>
      <c r="C69" s="21">
        <f>[1]Память!S69</f>
        <v>0</v>
      </c>
      <c r="D69" s="22">
        <f>[2]Память!G69</f>
        <v>0</v>
      </c>
      <c r="E69" s="22">
        <f>[2]Память!S69</f>
        <v>0</v>
      </c>
      <c r="F69" s="23">
        <f>[3]Память!G69</f>
        <v>0</v>
      </c>
      <c r="G69" s="23">
        <f>[3]Память!S69</f>
        <v>0</v>
      </c>
      <c r="H69" s="24">
        <f>[4]Память!B69</f>
        <v>0</v>
      </c>
      <c r="I69" s="24">
        <f>[4]Память!I69</f>
        <v>0</v>
      </c>
      <c r="K69" s="35" cm="1">
        <f t="array" ref="K69">PointMin4(B69+C69,D69+E69,F69+G69,H69+I69,B69+C69)</f>
        <v>1</v>
      </c>
      <c r="L69" s="35" cm="1">
        <f t="array" ref="L69">PointMin4(B69+C69,D69+E69,F69+G69,H69+I69,D69+E69)</f>
        <v>1</v>
      </c>
      <c r="M69" s="35" cm="1">
        <f t="array" ref="M69">PointMin4(B69+C69,D69+E69,F69+G69,H69+I69,F69+G69)</f>
        <v>1</v>
      </c>
      <c r="N69" s="35" cm="1">
        <f t="array" ref="N69">PointMin4(B69+C69,D69+E69,F69+G69,H69+I69,H69+I69)</f>
        <v>1</v>
      </c>
    </row>
    <row r="70" spans="1:14" x14ac:dyDescent="0.3">
      <c r="A70" s="98">
        <f t="shared" si="1"/>
        <v>68</v>
      </c>
      <c r="B70" s="70">
        <f>[1]Память!G70</f>
        <v>0</v>
      </c>
      <c r="C70" s="21">
        <f>[1]Память!S70</f>
        <v>0</v>
      </c>
      <c r="D70" s="22">
        <f>[2]Память!G70</f>
        <v>0</v>
      </c>
      <c r="E70" s="22">
        <f>[2]Память!S70</f>
        <v>0</v>
      </c>
      <c r="F70" s="23">
        <f>[3]Память!G70</f>
        <v>0</v>
      </c>
      <c r="G70" s="23">
        <f>[3]Память!S70</f>
        <v>0</v>
      </c>
      <c r="H70" s="24">
        <f>[4]Память!B70</f>
        <v>0</v>
      </c>
      <c r="I70" s="24">
        <f>[4]Память!I70</f>
        <v>0</v>
      </c>
      <c r="K70" s="35" cm="1">
        <f t="array" ref="K70">PointMin4(B70+C70,D70+E70,F70+G70,H70+I70,B70+C70)</f>
        <v>1</v>
      </c>
      <c r="L70" s="35" cm="1">
        <f t="array" ref="L70">PointMin4(B70+C70,D70+E70,F70+G70,H70+I70,D70+E70)</f>
        <v>1</v>
      </c>
      <c r="M70" s="35" cm="1">
        <f t="array" ref="M70">PointMin4(B70+C70,D70+E70,F70+G70,H70+I70,F70+G70)</f>
        <v>1</v>
      </c>
      <c r="N70" s="35" cm="1">
        <f t="array" ref="N70">PointMin4(B70+C70,D70+E70,F70+G70,H70+I70,H70+I70)</f>
        <v>1</v>
      </c>
    </row>
    <row r="71" spans="1:14" x14ac:dyDescent="0.3">
      <c r="A71" s="98">
        <f t="shared" si="1"/>
        <v>69</v>
      </c>
      <c r="B71" s="70">
        <f>[1]Память!G71</f>
        <v>0</v>
      </c>
      <c r="C71" s="21">
        <f>[1]Память!S71</f>
        <v>0</v>
      </c>
      <c r="D71" s="22">
        <f>[2]Память!G71</f>
        <v>0</v>
      </c>
      <c r="E71" s="22">
        <f>[2]Память!S71</f>
        <v>0</v>
      </c>
      <c r="F71" s="23">
        <f>[3]Память!G71</f>
        <v>0</v>
      </c>
      <c r="G71" s="23">
        <f>[3]Память!S71</f>
        <v>0</v>
      </c>
      <c r="H71" s="24">
        <f>[4]Память!B71</f>
        <v>0</v>
      </c>
      <c r="I71" s="24">
        <f>[4]Память!I71</f>
        <v>0</v>
      </c>
      <c r="K71" s="35" cm="1">
        <f t="array" ref="K71">PointMin4(B71+C71,D71+E71,F71+G71,H71+I71,B71+C71)</f>
        <v>1</v>
      </c>
      <c r="L71" s="35" cm="1">
        <f t="array" ref="L71">PointMin4(B71+C71,D71+E71,F71+G71,H71+I71,D71+E71)</f>
        <v>1</v>
      </c>
      <c r="M71" s="35" cm="1">
        <f t="array" ref="M71">PointMin4(B71+C71,D71+E71,F71+G71,H71+I71,F71+G71)</f>
        <v>1</v>
      </c>
      <c r="N71" s="35" cm="1">
        <f t="array" ref="N71">PointMin4(B71+C71,D71+E71,F71+G71,H71+I71,H71+I71)</f>
        <v>1</v>
      </c>
    </row>
    <row r="72" spans="1:14" x14ac:dyDescent="0.3">
      <c r="A72" s="98">
        <f t="shared" si="1"/>
        <v>70</v>
      </c>
      <c r="B72" s="70">
        <f>[1]Память!G72</f>
        <v>0</v>
      </c>
      <c r="C72" s="21">
        <f>[1]Память!S72</f>
        <v>0</v>
      </c>
      <c r="D72" s="22">
        <f>[2]Память!G72</f>
        <v>0</v>
      </c>
      <c r="E72" s="22">
        <f>[2]Память!S72</f>
        <v>0</v>
      </c>
      <c r="F72" s="23">
        <f>[3]Память!G72</f>
        <v>0</v>
      </c>
      <c r="G72" s="23">
        <f>[3]Память!S72</f>
        <v>0</v>
      </c>
      <c r="H72" s="24">
        <f>[4]Память!B72</f>
        <v>0</v>
      </c>
      <c r="I72" s="24">
        <f>[4]Память!I72</f>
        <v>0</v>
      </c>
      <c r="K72" s="35" cm="1">
        <f t="array" ref="K72">PointMin4(B72+C72,D72+E72,F72+G72,H72+I72,B72+C72)</f>
        <v>1</v>
      </c>
      <c r="L72" s="35" cm="1">
        <f t="array" ref="L72">PointMin4(B72+C72,D72+E72,F72+G72,H72+I72,D72+E72)</f>
        <v>1</v>
      </c>
      <c r="M72" s="35" cm="1">
        <f t="array" ref="M72">PointMin4(B72+C72,D72+E72,F72+G72,H72+I72,F72+G72)</f>
        <v>1</v>
      </c>
      <c r="N72" s="35" cm="1">
        <f t="array" ref="N72">PointMin4(B72+C72,D72+E72,F72+G72,H72+I72,H72+I72)</f>
        <v>1</v>
      </c>
    </row>
    <row r="73" spans="1:14" x14ac:dyDescent="0.3">
      <c r="A73" s="99">
        <f t="shared" si="1"/>
        <v>71</v>
      </c>
      <c r="B73" s="70">
        <f>[1]Память!G73</f>
        <v>1249.3333333333333</v>
      </c>
      <c r="C73" s="21">
        <f>[1]Память!S73</f>
        <v>40.363033142275675</v>
      </c>
      <c r="D73" s="22">
        <f>[2]Память!G73</f>
        <v>55</v>
      </c>
      <c r="E73" s="22">
        <f>[2]Память!S73</f>
        <v>13.822566090756569</v>
      </c>
      <c r="F73" s="23">
        <f>[3]Память!G73</f>
        <v>540</v>
      </c>
      <c r="G73" s="23">
        <f>[3]Память!S73</f>
        <v>24.826061575153908</v>
      </c>
      <c r="H73" s="24">
        <f>[4]Память!B73</f>
        <v>7936</v>
      </c>
      <c r="I73" s="24">
        <f>[4]Память!I73</f>
        <v>0</v>
      </c>
      <c r="K73" s="35" cm="1">
        <f t="array" ref="K73">PointMin4(B73+C73,D73+E73,F73+G73,H73+I73,B73+C73)</f>
        <v>2</v>
      </c>
      <c r="L73" s="35" cm="1">
        <f t="array" ref="L73">PointMin4(B73+C73,D73+E73,F73+G73,H73+I73,D73+E73)</f>
        <v>4</v>
      </c>
      <c r="M73" s="35" cm="1">
        <f t="array" ref="M73">PointMin4(B73+C73,D73+E73,F73+G73,H73+I73,F73+G73)</f>
        <v>3</v>
      </c>
      <c r="N73" s="35" cm="1">
        <f t="array" ref="N73">PointMin4(B73+C73,D73+E73,F73+G73,H73+I73,H73+I73)</f>
        <v>1</v>
      </c>
    </row>
    <row r="74" spans="1:14" x14ac:dyDescent="0.3">
      <c r="A74" s="98">
        <f t="shared" si="1"/>
        <v>72</v>
      </c>
      <c r="B74" s="70">
        <f>[1]Память!G74</f>
        <v>0</v>
      </c>
      <c r="C74" s="21">
        <f>[1]Память!S74</f>
        <v>0</v>
      </c>
      <c r="D74" s="22">
        <f>[2]Память!G74</f>
        <v>0</v>
      </c>
      <c r="E74" s="22">
        <f>[2]Память!S74</f>
        <v>0</v>
      </c>
      <c r="F74" s="23">
        <f>[3]Память!G74</f>
        <v>0</v>
      </c>
      <c r="G74" s="23">
        <f>[3]Память!S74</f>
        <v>0</v>
      </c>
      <c r="H74" s="24">
        <f>[4]Память!B74</f>
        <v>0</v>
      </c>
      <c r="I74" s="24">
        <f>[4]Память!I74</f>
        <v>0</v>
      </c>
      <c r="K74" s="35" cm="1">
        <f t="array" ref="K74">PointMin4(B74+C74,D74+E74,F74+G74,H74+I74,B74+C74)</f>
        <v>1</v>
      </c>
      <c r="L74" s="35" cm="1">
        <f t="array" ref="L74">PointMin4(B74+C74,D74+E74,F74+G74,H74+I74,D74+E74)</f>
        <v>1</v>
      </c>
      <c r="M74" s="35" cm="1">
        <f t="array" ref="M74">PointMin4(B74+C74,D74+E74,F74+G74,H74+I74,F74+G74)</f>
        <v>1</v>
      </c>
      <c r="N74" s="35" cm="1">
        <f t="array" ref="N74">PointMin4(B74+C74,D74+E74,F74+G74,H74+I74,H74+I74)</f>
        <v>1</v>
      </c>
    </row>
    <row r="75" spans="1:14" x14ac:dyDescent="0.3">
      <c r="A75" s="98">
        <f t="shared" si="1"/>
        <v>73</v>
      </c>
      <c r="B75" s="70">
        <f>[1]Память!G75</f>
        <v>0</v>
      </c>
      <c r="C75" s="21">
        <f>[1]Память!S75</f>
        <v>0</v>
      </c>
      <c r="D75" s="22">
        <f>[2]Память!G75</f>
        <v>0</v>
      </c>
      <c r="E75" s="22">
        <f>[2]Память!S75</f>
        <v>0</v>
      </c>
      <c r="F75" s="23">
        <f>[3]Память!G75</f>
        <v>0</v>
      </c>
      <c r="G75" s="23">
        <f>[3]Память!S75</f>
        <v>0</v>
      </c>
      <c r="H75" s="24">
        <f>[4]Память!B75</f>
        <v>0</v>
      </c>
      <c r="I75" s="24">
        <f>[4]Память!I75</f>
        <v>0</v>
      </c>
      <c r="K75" s="35" cm="1">
        <f t="array" ref="K75">PointMin4(B75+C75,D75+E75,F75+G75,H75+I75,B75+C75)</f>
        <v>1</v>
      </c>
      <c r="L75" s="35" cm="1">
        <f t="array" ref="L75">PointMin4(B75+C75,D75+E75,F75+G75,H75+I75,D75+E75)</f>
        <v>1</v>
      </c>
      <c r="M75" s="35" cm="1">
        <f t="array" ref="M75">PointMin4(B75+C75,D75+E75,F75+G75,H75+I75,F75+G75)</f>
        <v>1</v>
      </c>
      <c r="N75" s="35" cm="1">
        <f t="array" ref="N75">PointMin4(B75+C75,D75+E75,F75+G75,H75+I75,H75+I75)</f>
        <v>1</v>
      </c>
    </row>
    <row r="76" spans="1:14" x14ac:dyDescent="0.3">
      <c r="A76" s="98">
        <f t="shared" si="1"/>
        <v>74</v>
      </c>
      <c r="B76" s="70">
        <f>[1]Память!G76</f>
        <v>0</v>
      </c>
      <c r="C76" s="21">
        <f>[1]Память!S76</f>
        <v>0</v>
      </c>
      <c r="D76" s="22">
        <f>[2]Память!G76</f>
        <v>0</v>
      </c>
      <c r="E76" s="22">
        <f>[2]Память!S76</f>
        <v>0</v>
      </c>
      <c r="F76" s="23">
        <f>[3]Память!G76</f>
        <v>0</v>
      </c>
      <c r="G76" s="23">
        <f>[3]Память!S76</f>
        <v>0</v>
      </c>
      <c r="H76" s="24">
        <f>[4]Память!B76</f>
        <v>0</v>
      </c>
      <c r="I76" s="24">
        <f>[4]Память!I76</f>
        <v>0</v>
      </c>
      <c r="K76" s="35" cm="1">
        <f t="array" ref="K76">PointMin4(B76+C76,D76+E76,F76+G76,H76+I76,B76+C76)</f>
        <v>1</v>
      </c>
      <c r="L76" s="35" cm="1">
        <f t="array" ref="L76">PointMin4(B76+C76,D76+E76,F76+G76,H76+I76,D76+E76)</f>
        <v>1</v>
      </c>
      <c r="M76" s="35" cm="1">
        <f t="array" ref="M76">PointMin4(B76+C76,D76+E76,F76+G76,H76+I76,F76+G76)</f>
        <v>1</v>
      </c>
      <c r="N76" s="35" cm="1">
        <f t="array" ref="N76">PointMin4(B76+C76,D76+E76,F76+G76,H76+I76,H76+I76)</f>
        <v>1</v>
      </c>
    </row>
    <row r="77" spans="1:14" x14ac:dyDescent="0.3">
      <c r="A77" s="98">
        <f t="shared" si="1"/>
        <v>75</v>
      </c>
      <c r="B77" s="70">
        <f>[1]Память!G77</f>
        <v>0</v>
      </c>
      <c r="C77" s="21">
        <f>[1]Память!S77</f>
        <v>0</v>
      </c>
      <c r="D77" s="22">
        <f>[2]Память!G77</f>
        <v>0</v>
      </c>
      <c r="E77" s="22">
        <f>[2]Память!S77</f>
        <v>0</v>
      </c>
      <c r="F77" s="23">
        <f>[3]Память!G77</f>
        <v>0</v>
      </c>
      <c r="G77" s="23">
        <f>[3]Память!S77</f>
        <v>0</v>
      </c>
      <c r="H77" s="24">
        <f>[4]Память!B77</f>
        <v>0</v>
      </c>
      <c r="I77" s="24">
        <f>[4]Память!I77</f>
        <v>0</v>
      </c>
      <c r="K77" s="35" cm="1">
        <f t="array" ref="K77">PointMin4(B77+C77,D77+E77,F77+G77,H77+I77,B77+C77)</f>
        <v>1</v>
      </c>
      <c r="L77" s="35" cm="1">
        <f t="array" ref="L77">PointMin4(B77+C77,D77+E77,F77+G77,H77+I77,D77+E77)</f>
        <v>1</v>
      </c>
      <c r="M77" s="35" cm="1">
        <f t="array" ref="M77">PointMin4(B77+C77,D77+E77,F77+G77,H77+I77,F77+G77)</f>
        <v>1</v>
      </c>
      <c r="N77" s="35" cm="1">
        <f t="array" ref="N77">PointMin4(B77+C77,D77+E77,F77+G77,H77+I77,H77+I77)</f>
        <v>1</v>
      </c>
    </row>
    <row r="78" spans="1:14" x14ac:dyDescent="0.3">
      <c r="A78" s="99">
        <f t="shared" si="1"/>
        <v>76</v>
      </c>
      <c r="B78" s="70">
        <f>[1]Память!G78</f>
        <v>1244.3333333333333</v>
      </c>
      <c r="C78" s="21">
        <f>[1]Память!S78</f>
        <v>27.346257107285776</v>
      </c>
      <c r="D78" s="22">
        <f>[2]Память!G78</f>
        <v>70.666666666666671</v>
      </c>
      <c r="E78" s="22">
        <f>[2]Память!S78</f>
        <v>22.389382404265746</v>
      </c>
      <c r="F78" s="23">
        <f>[3]Память!G78</f>
        <v>540</v>
      </c>
      <c r="G78" s="23">
        <f>[3]Память!S78</f>
        <v>24.826061575153908</v>
      </c>
      <c r="H78" s="24">
        <f>[4]Память!B78</f>
        <v>7936</v>
      </c>
      <c r="I78" s="24">
        <f>[4]Память!I78</f>
        <v>0</v>
      </c>
      <c r="K78" s="35" cm="1">
        <f t="array" ref="K78">PointMin4(B78+C78,D78+E78,F78+G78,H78+I78,B78+C78)</f>
        <v>2</v>
      </c>
      <c r="L78" s="35" cm="1">
        <f t="array" ref="L78">PointMin4(B78+C78,D78+E78,F78+G78,H78+I78,D78+E78)</f>
        <v>4</v>
      </c>
      <c r="M78" s="35" cm="1">
        <f t="array" ref="M78">PointMin4(B78+C78,D78+E78,F78+G78,H78+I78,F78+G78)</f>
        <v>3</v>
      </c>
      <c r="N78" s="35" cm="1">
        <f t="array" ref="N78">PointMin4(B78+C78,D78+E78,F78+G78,H78+I78,H78+I78)</f>
        <v>1</v>
      </c>
    </row>
    <row r="79" spans="1:14" x14ac:dyDescent="0.3">
      <c r="B79" s="70">
        <f>[1]Память!G79</f>
        <v>0</v>
      </c>
      <c r="C79" s="21">
        <f>[1]Память!S79</f>
        <v>0</v>
      </c>
      <c r="D79" s="22">
        <f>[2]Память!G79</f>
        <v>0</v>
      </c>
      <c r="E79" s="22">
        <f>[2]Память!S79</f>
        <v>0</v>
      </c>
      <c r="F79" s="23">
        <f>[3]Память!G79</f>
        <v>0</v>
      </c>
      <c r="G79" s="23">
        <f>[3]Память!S79</f>
        <v>0</v>
      </c>
      <c r="H79" s="24">
        <f>[4]Память!B79</f>
        <v>0</v>
      </c>
      <c r="I79" s="24">
        <f>[4]Память!I79</f>
        <v>0</v>
      </c>
      <c r="K79" s="35" cm="1">
        <f t="array" ref="K79">PointMin4(B79+C79,D79+E79,F79+G79,H79+I79,B79+C79)</f>
        <v>1</v>
      </c>
      <c r="L79" s="35" cm="1">
        <f t="array" ref="L79">PointMin4(B79+C79,D79+E79,F79+G79,H79+I79,D79+E79)</f>
        <v>1</v>
      </c>
      <c r="M79" s="35" cm="1">
        <f t="array" ref="M79">PointMin4(B79+C79,D79+E79,F79+G79,H79+I79,F79+G79)</f>
        <v>1</v>
      </c>
      <c r="N79" s="35" cm="1">
        <f t="array" ref="N79">PointMin4(B79+C79,D79+E79,F79+G79,H79+I79,H79+I79)</f>
        <v>1</v>
      </c>
    </row>
    <row r="80" spans="1:14" x14ac:dyDescent="0.3">
      <c r="B80" s="70">
        <f>[1]Память!G80</f>
        <v>0</v>
      </c>
      <c r="C80" s="21">
        <f>[1]Память!S80</f>
        <v>0</v>
      </c>
      <c r="D80" s="22">
        <f>[2]Память!G80</f>
        <v>0</v>
      </c>
      <c r="E80" s="22">
        <f>[2]Память!S80</f>
        <v>0</v>
      </c>
      <c r="F80" s="23">
        <f>[3]Память!G80</f>
        <v>0</v>
      </c>
      <c r="G80" s="23">
        <f>[3]Память!S80</f>
        <v>0</v>
      </c>
      <c r="H80" s="24">
        <f>[4]Память!B80</f>
        <v>0</v>
      </c>
      <c r="I80" s="24">
        <f>[4]Память!I80</f>
        <v>0</v>
      </c>
      <c r="K80" s="35" cm="1">
        <f t="array" ref="K80">PointMin4(B80+C80,D80+E80,F80+G80,H80+I80,B80+C80)</f>
        <v>1</v>
      </c>
      <c r="L80" s="35" cm="1">
        <f t="array" ref="L80">PointMin4(B80+C80,D80+E80,F80+G80,H80+I80,D80+E80)</f>
        <v>1</v>
      </c>
      <c r="M80" s="35" cm="1">
        <f t="array" ref="M80">PointMin4(B80+C80,D80+E80,F80+G80,H80+I80,F80+G80)</f>
        <v>1</v>
      </c>
      <c r="N80" s="35" cm="1">
        <f t="array" ref="N80">PointMin4(B80+C80,D80+E80,F80+G80,H80+I80,H80+I80)</f>
        <v>1</v>
      </c>
    </row>
    <row r="81" spans="1:14" x14ac:dyDescent="0.3">
      <c r="B81" s="70">
        <f>[1]Память!G81</f>
        <v>1250</v>
      </c>
      <c r="C81" s="21">
        <f>[1]Память!S81</f>
        <v>24.826061575153908</v>
      </c>
      <c r="D81" s="22">
        <f>[2]Память!G81</f>
        <v>50</v>
      </c>
      <c r="E81" s="22">
        <f>[2]Память!S81</f>
        <v>12.900000000000002</v>
      </c>
      <c r="F81" s="23">
        <f>[3]Память!G81</f>
        <v>540</v>
      </c>
      <c r="G81" s="23">
        <f>[3]Память!S81</f>
        <v>24.826061575153908</v>
      </c>
      <c r="H81" s="24">
        <f>[4]Память!B81</f>
        <v>7936</v>
      </c>
      <c r="I81" s="24">
        <f>[4]Память!I81</f>
        <v>0</v>
      </c>
      <c r="K81" s="35" cm="1">
        <f t="array" ref="K81">PointMin4(B81+C81,D81+E81,F81+G81,H81+I81,B81+C81)</f>
        <v>2</v>
      </c>
      <c r="L81" s="35" cm="1">
        <f t="array" ref="L81">PointMin4(B81+C81,D81+E81,F81+G81,H81+I81,D81+E81)</f>
        <v>4</v>
      </c>
      <c r="M81" s="35" cm="1">
        <f t="array" ref="M81">PointMin4(B81+C81,D81+E81,F81+G81,H81+I81,F81+G81)</f>
        <v>3</v>
      </c>
      <c r="N81" s="35" cm="1">
        <f t="array" ref="N81">PointMin4(B81+C81,D81+E81,F81+G81,H81+I81,H81+I81)</f>
        <v>1</v>
      </c>
    </row>
    <row r="82" spans="1:14" x14ac:dyDescent="0.3">
      <c r="A82" s="99" t="s">
        <v>51</v>
      </c>
      <c r="B82" s="70">
        <f>[1]Память!G82</f>
        <v>1245</v>
      </c>
      <c r="C82" s="21">
        <f>[1]Память!S82</f>
        <v>27.308667732669299</v>
      </c>
      <c r="D82" s="22">
        <f>[2]Память!G82</f>
        <v>50</v>
      </c>
      <c r="E82" s="22">
        <f>[2]Память!S82</f>
        <v>12.900000000000002</v>
      </c>
      <c r="F82" s="23">
        <f>[3]Память!G82</f>
        <v>540</v>
      </c>
      <c r="G82" s="23">
        <f>[3]Память!S82</f>
        <v>24.826061575153908</v>
      </c>
      <c r="H82" s="24">
        <f>[4]Память!B82</f>
        <v>7748</v>
      </c>
      <c r="I82" s="24">
        <f>[4]Память!I82</f>
        <v>0</v>
      </c>
      <c r="K82" s="35" cm="1">
        <f t="array" ref="K82">PointMin4(B82+C82,D82+E82,F82+G82,H82+I82,B82+C82)</f>
        <v>2</v>
      </c>
      <c r="L82" s="35" cm="1">
        <f t="array" ref="L82">PointMin4(B82+C82,D82+E82,F82+G82,H82+I82,D82+E82)</f>
        <v>4</v>
      </c>
      <c r="M82" s="35" cm="1">
        <f t="array" ref="M82">PointMin4(B82+C82,D82+E82,F82+G82,H82+I82,F82+G82)</f>
        <v>3</v>
      </c>
      <c r="N82" s="35" cm="1">
        <f t="array" ref="N82">PointMin4(B82+C82,D82+E82,F82+G82,H82+I82,H82+I82)</f>
        <v>1</v>
      </c>
    </row>
    <row r="83" spans="1:14" x14ac:dyDescent="0.3">
      <c r="A83" s="99" t="s">
        <v>52</v>
      </c>
      <c r="B83" s="70">
        <f>[1]Память!G83</f>
        <v>1253</v>
      </c>
      <c r="C83" s="21">
        <f>[1]Память!S83</f>
        <v>15.101103712422258</v>
      </c>
      <c r="D83" s="22">
        <f>[2]Память!G83</f>
        <v>57.333333333333336</v>
      </c>
      <c r="E83" s="22">
        <f>[2]Память!S83</f>
        <v>17.437252586854896</v>
      </c>
      <c r="F83" s="23">
        <f>[3]Память!G83</f>
        <v>540</v>
      </c>
      <c r="G83" s="23">
        <f>[3]Память!S83</f>
        <v>24.826061575153908</v>
      </c>
      <c r="H83" s="24">
        <f>[4]Память!B83</f>
        <v>7936</v>
      </c>
      <c r="I83" s="24">
        <f>[4]Память!I83</f>
        <v>0</v>
      </c>
      <c r="K83" s="35" cm="1">
        <f t="array" ref="K83">PointMin4(B83+C83,D83+E83,F83+G83,H83+I83,B83+C83)</f>
        <v>2</v>
      </c>
      <c r="L83" s="35" cm="1">
        <f t="array" ref="L83">PointMin4(B83+C83,D83+E83,F83+G83,H83+I83,D83+E83)</f>
        <v>4</v>
      </c>
      <c r="M83" s="35" cm="1">
        <f t="array" ref="M83">PointMin4(B83+C83,D83+E83,F83+G83,H83+I83,F83+G83)</f>
        <v>3</v>
      </c>
      <c r="N83" s="35" cm="1">
        <f t="array" ref="N83">PointMin4(B83+C83,D83+E83,F83+G83,H83+I83,H83+I83)</f>
        <v>1</v>
      </c>
    </row>
    <row r="84" spans="1:14" x14ac:dyDescent="0.3">
      <c r="A84" s="99" t="s">
        <v>53</v>
      </c>
      <c r="B84" s="70">
        <f>[1]Память!G84</f>
        <v>1241.6666666666667</v>
      </c>
      <c r="C84" s="21">
        <f>[1]Память!S84</f>
        <v>12.246405368288462</v>
      </c>
      <c r="D84" s="22">
        <f>[2]Память!G84</f>
        <v>56</v>
      </c>
      <c r="E84" s="22">
        <f>[2]Память!S84</f>
        <v>16.279537257960783</v>
      </c>
      <c r="F84" s="23">
        <f>[3]Память!G84</f>
        <v>540</v>
      </c>
      <c r="G84" s="23">
        <f>[3]Память!S84</f>
        <v>24.826061575153908</v>
      </c>
      <c r="H84" s="24">
        <f>[4]Память!B84</f>
        <v>7748</v>
      </c>
      <c r="I84" s="24">
        <f>[4]Память!I84</f>
        <v>0</v>
      </c>
      <c r="K84" s="35" cm="1">
        <f t="array" ref="K84">PointMin4(B84+C84,D84+E84,F84+G84,H84+I84,B84+C84)</f>
        <v>2</v>
      </c>
      <c r="L84" s="35" cm="1">
        <f t="array" ref="L84">PointMin4(B84+C84,D84+E84,F84+G84,H84+I84,D84+E84)</f>
        <v>4</v>
      </c>
      <c r="M84" s="35" cm="1">
        <f t="array" ref="M84">PointMin4(B84+C84,D84+E84,F84+G84,H84+I84,F84+G84)</f>
        <v>3</v>
      </c>
      <c r="N84" s="35" cm="1">
        <f t="array" ref="N84">PointMin4(B84+C84,D84+E84,F84+G84,H84+I84,H84+I84)</f>
        <v>1</v>
      </c>
    </row>
    <row r="85" spans="1:14" x14ac:dyDescent="0.3">
      <c r="A85" s="99" t="s">
        <v>54</v>
      </c>
      <c r="B85" s="70">
        <f>[1]Память!G85</f>
        <v>1258.6666666666667</v>
      </c>
      <c r="C85" s="21">
        <f>[1]Память!S85</f>
        <v>54.183033424782622</v>
      </c>
      <c r="D85" s="22">
        <f>[2]Память!G85</f>
        <v>59</v>
      </c>
      <c r="E85" s="22">
        <f>[2]Память!S85</f>
        <v>12.900000000000002</v>
      </c>
      <c r="F85" s="23">
        <f>[3]Память!G85</f>
        <v>540</v>
      </c>
      <c r="G85" s="23">
        <f>[3]Память!S85</f>
        <v>24.826061575153908</v>
      </c>
      <c r="H85" s="24">
        <f>[4]Память!B85</f>
        <v>7936</v>
      </c>
      <c r="I85" s="24">
        <f>[4]Память!I85</f>
        <v>0</v>
      </c>
      <c r="K85" s="35" cm="1">
        <f t="array" ref="K85">PointMin4(B85+C85,D85+E85,F85+G85,H85+I85,B85+C85)</f>
        <v>2</v>
      </c>
      <c r="L85" s="35" cm="1">
        <f t="array" ref="L85">PointMin4(B85+C85,D85+E85,F85+G85,H85+I85,D85+E85)</f>
        <v>4</v>
      </c>
      <c r="M85" s="35" cm="1">
        <f t="array" ref="M85">PointMin4(B85+C85,D85+E85,F85+G85,H85+I85,F85+G85)</f>
        <v>3</v>
      </c>
      <c r="N85" s="35" cm="1">
        <f t="array" ref="N85">PointMin4(B85+C85,D85+E85,F85+G85,H85+I85,H85+I85)</f>
        <v>1</v>
      </c>
    </row>
    <row r="86" spans="1:14" x14ac:dyDescent="0.3">
      <c r="A86" s="99" t="s">
        <v>55</v>
      </c>
      <c r="B86" s="70">
        <f>[1]Память!G86</f>
        <v>1250</v>
      </c>
      <c r="C86" s="21">
        <f>[1]Память!S86</f>
        <v>28.630810909461392</v>
      </c>
      <c r="D86" s="22">
        <f>[2]Память!G86</f>
        <v>65.666666666666671</v>
      </c>
      <c r="E86" s="22">
        <f>[2]Память!S86</f>
        <v>27.458716486957492</v>
      </c>
      <c r="F86" s="23">
        <f>[3]Память!G86</f>
        <v>540</v>
      </c>
      <c r="G86" s="23">
        <f>[3]Память!S86</f>
        <v>24.826061575153908</v>
      </c>
      <c r="H86" s="24">
        <f>[4]Память!B86</f>
        <v>7936</v>
      </c>
      <c r="I86" s="24">
        <f>[4]Память!I86</f>
        <v>0</v>
      </c>
      <c r="K86" s="35" cm="1">
        <f t="array" ref="K86">PointMin4(B86+C86,D86+E86,F86+G86,H86+I86,B86+C86)</f>
        <v>2</v>
      </c>
      <c r="L86" s="35" cm="1">
        <f t="array" ref="L86">PointMin4(B86+C86,D86+E86,F86+G86,H86+I86,D86+E86)</f>
        <v>4</v>
      </c>
      <c r="M86" s="35" cm="1">
        <f t="array" ref="M86">PointMin4(B86+C86,D86+E86,F86+G86,H86+I86,F86+G86)</f>
        <v>3</v>
      </c>
      <c r="N86" s="35" cm="1">
        <f t="array" ref="N86">PointMin4(B86+C86,D86+E86,F86+G86,H86+I86,H86+I86)</f>
        <v>1</v>
      </c>
    </row>
    <row r="87" spans="1:14" x14ac:dyDescent="0.3">
      <c r="A87" s="99" t="s">
        <v>56</v>
      </c>
      <c r="B87" s="70">
        <f>[1]Память!G87</f>
        <v>1250</v>
      </c>
      <c r="C87" s="21">
        <f>[1]Память!S87</f>
        <v>40.642014385772434</v>
      </c>
      <c r="D87" s="22">
        <f>[2]Память!G87</f>
        <v>65.666666666666671</v>
      </c>
      <c r="E87" s="22">
        <f>[2]Память!S87</f>
        <v>27.458716486957492</v>
      </c>
      <c r="F87" s="23">
        <f>[3]Память!G87</f>
        <v>540</v>
      </c>
      <c r="G87" s="23">
        <f>[3]Память!S87</f>
        <v>24.826061575153908</v>
      </c>
      <c r="H87" s="24">
        <f>[4]Память!B87</f>
        <v>7936</v>
      </c>
      <c r="I87" s="24">
        <f>[4]Память!I87</f>
        <v>0</v>
      </c>
      <c r="K87" s="35" cm="1">
        <f t="array" ref="K87">PointMin4(B87+C87,D87+E87,F87+G87,H87+I87,B87+C87)</f>
        <v>2</v>
      </c>
      <c r="L87" s="35" cm="1">
        <f t="array" ref="L87">PointMin4(B87+C87,D87+E87,F87+G87,H87+I87,D87+E87)</f>
        <v>4</v>
      </c>
      <c r="M87" s="35" cm="1">
        <f t="array" ref="M87">PointMin4(B87+C87,D87+E87,F87+G87,H87+I87,F87+G87)</f>
        <v>3</v>
      </c>
      <c r="N87" s="35" cm="1">
        <f t="array" ref="N87">PointMin4(B87+C87,D87+E87,F87+G87,H87+I87,H87+I87)</f>
        <v>1</v>
      </c>
    </row>
    <row r="88" spans="1:14" x14ac:dyDescent="0.3">
      <c r="A88" s="99" t="s">
        <v>57</v>
      </c>
      <c r="B88" s="70">
        <f>[1]Память!G88</f>
        <v>1239.3333333333333</v>
      </c>
      <c r="C88" s="21">
        <f>[1]Память!S88</f>
        <v>15.766666666666666</v>
      </c>
      <c r="D88" s="22">
        <f>[2]Память!G88</f>
        <v>61</v>
      </c>
      <c r="E88" s="22">
        <f>[2]Память!S88</f>
        <v>22.343455417638516</v>
      </c>
      <c r="F88" s="23">
        <f>[3]Память!G88</f>
        <v>540</v>
      </c>
      <c r="G88" s="23">
        <f>[3]Память!S88</f>
        <v>24.826061575153908</v>
      </c>
      <c r="H88" s="24">
        <f>[4]Память!B88</f>
        <v>7936</v>
      </c>
      <c r="I88" s="24">
        <f>[4]Память!I88</f>
        <v>0</v>
      </c>
      <c r="K88" s="35" cm="1">
        <f t="array" ref="K88">PointMin4(B88+C88,D88+E88,F88+G88,H88+I88,B88+C88)</f>
        <v>2</v>
      </c>
      <c r="L88" s="35" cm="1">
        <f t="array" ref="L88">PointMin4(B88+C88,D88+E88,F88+G88,H88+I88,D88+E88)</f>
        <v>4</v>
      </c>
      <c r="M88" s="35" cm="1">
        <f t="array" ref="M88">PointMin4(B88+C88,D88+E88,F88+G88,H88+I88,F88+G88)</f>
        <v>3</v>
      </c>
      <c r="N88" s="35" cm="1">
        <f t="array" ref="N88">PointMin4(B88+C88,D88+E88,F88+G88,H88+I88,H88+I88)</f>
        <v>1</v>
      </c>
    </row>
    <row r="89" spans="1:14" x14ac:dyDescent="0.3">
      <c r="A89" s="99" t="s">
        <v>58</v>
      </c>
      <c r="B89" s="70">
        <f>[1]Память!G89</f>
        <v>0</v>
      </c>
      <c r="C89" s="21">
        <f>[1]Память!S89</f>
        <v>0</v>
      </c>
      <c r="D89" s="22">
        <f>[2]Память!G89</f>
        <v>0</v>
      </c>
      <c r="E89" s="22">
        <f>[2]Память!S89</f>
        <v>0</v>
      </c>
      <c r="F89" s="23">
        <f>[3]Память!G89</f>
        <v>0</v>
      </c>
      <c r="G89" s="23">
        <f>[3]Память!S89</f>
        <v>0</v>
      </c>
      <c r="H89" s="24">
        <f>[4]Память!B89</f>
        <v>0</v>
      </c>
      <c r="I89" s="24">
        <f>[4]Память!I89</f>
        <v>0</v>
      </c>
      <c r="K89" s="35" cm="1">
        <f t="array" ref="K89">PointMin4(B89+C89,D89+E89,F89+G89,H89+I89,B89+C89)</f>
        <v>1</v>
      </c>
      <c r="L89" s="35" cm="1">
        <f t="array" ref="L89">PointMin4(B89+C89,D89+E89,F89+G89,H89+I89,D89+E89)</f>
        <v>1</v>
      </c>
      <c r="M89" s="35" cm="1">
        <f t="array" ref="M89">PointMin4(B89+C89,D89+E89,F89+G89,H89+I89,F89+G89)</f>
        <v>1</v>
      </c>
      <c r="N89" s="35" cm="1">
        <f t="array" ref="N89">PointMin4(B89+C89,D89+E89,F89+G89,H89+I89,H89+I89)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61685-09BC-4A4D-8DD3-00DB0B7B4F81}">
  <sheetPr codeName="Лист14"/>
  <dimension ref="A1:E13"/>
  <sheetViews>
    <sheetView workbookViewId="0">
      <selection activeCell="E17" sqref="E17"/>
    </sheetView>
  </sheetViews>
  <sheetFormatPr defaultRowHeight="14.4" x14ac:dyDescent="0.3"/>
  <cols>
    <col min="1" max="1" width="24.77734375" style="4" customWidth="1"/>
    <col min="2" max="2" width="22.33203125" style="4" customWidth="1"/>
    <col min="3" max="3" width="16" style="4" customWidth="1"/>
    <col min="4" max="4" width="23.44140625" style="4" customWidth="1"/>
    <col min="5" max="5" width="9.33203125" style="4" customWidth="1"/>
    <col min="6" max="16384" width="8.88671875" style="4"/>
  </cols>
  <sheetData>
    <row r="1" spans="1:5" s="2" customFormat="1" ht="15" thickBot="1" x14ac:dyDescent="0.35">
      <c r="A1" s="72" t="s">
        <v>48</v>
      </c>
      <c r="B1" s="73" t="s">
        <v>36</v>
      </c>
      <c r="C1" s="74"/>
      <c r="D1" s="75" t="s">
        <v>40</v>
      </c>
      <c r="E1" s="74"/>
    </row>
    <row r="2" spans="1:5" s="25" customFormat="1" ht="15" thickBot="1" x14ac:dyDescent="0.35">
      <c r="A2" s="76"/>
      <c r="B2" s="77" t="s">
        <v>37</v>
      </c>
      <c r="C2" s="78" t="s">
        <v>26</v>
      </c>
      <c r="D2" s="77" t="s">
        <v>37</v>
      </c>
      <c r="E2" s="78" t="s">
        <v>42</v>
      </c>
    </row>
    <row r="3" spans="1:5" s="20" customFormat="1" x14ac:dyDescent="0.3">
      <c r="A3" s="79" t="s">
        <v>16</v>
      </c>
      <c r="B3" s="80" t="s">
        <v>38</v>
      </c>
      <c r="C3" s="81">
        <f>4.5*499</f>
        <v>2245.5</v>
      </c>
      <c r="D3" s="80" t="s">
        <v>41</v>
      </c>
      <c r="E3" s="81">
        <v>4</v>
      </c>
    </row>
    <row r="4" spans="1:5" x14ac:dyDescent="0.3">
      <c r="A4" s="82" t="s">
        <v>17</v>
      </c>
      <c r="B4" s="83" t="s">
        <v>38</v>
      </c>
      <c r="C4" s="81">
        <f>4.5*499</f>
        <v>2245.5</v>
      </c>
      <c r="D4" s="83" t="s">
        <v>41</v>
      </c>
      <c r="E4" s="84">
        <v>4</v>
      </c>
    </row>
    <row r="5" spans="1:5" x14ac:dyDescent="0.3">
      <c r="A5" s="82" t="s">
        <v>18</v>
      </c>
      <c r="B5" s="83" t="s">
        <v>39</v>
      </c>
      <c r="C5" s="84">
        <f>4.6*2095</f>
        <v>9637</v>
      </c>
      <c r="D5" s="83" t="s">
        <v>39</v>
      </c>
      <c r="E5" s="84">
        <v>16</v>
      </c>
    </row>
    <row r="6" spans="1:5" x14ac:dyDescent="0.3">
      <c r="A6" s="82" t="s">
        <v>19</v>
      </c>
      <c r="B6" s="83" t="s">
        <v>39</v>
      </c>
      <c r="C6" s="84">
        <f>4.6*2095</f>
        <v>9637</v>
      </c>
      <c r="D6" s="83" t="s">
        <v>39</v>
      </c>
      <c r="E6" s="84">
        <v>16</v>
      </c>
    </row>
    <row r="12" spans="1:5" x14ac:dyDescent="0.3">
      <c r="C12" s="85" t="s">
        <v>15</v>
      </c>
    </row>
    <row r="13" spans="1:5" x14ac:dyDescent="0.3">
      <c r="C13" s="85" t="s">
        <v>43</v>
      </c>
    </row>
  </sheetData>
  <hyperlinks>
    <hyperlink ref="C12" r:id="rId1" xr:uid="{CE07BA51-2F6F-4B07-BAF9-2B60FC6EBBA3}"/>
    <hyperlink ref="C13" r:id="rId2" xr:uid="{39D99C51-BE07-4A87-BDD6-ADE9CC025F2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16E0-D152-4A78-9ED8-8F359E4DE0FB}">
  <sheetPr codeName="Лист15"/>
  <dimension ref="A1:BI18"/>
  <sheetViews>
    <sheetView tabSelected="1" workbookViewId="0">
      <pane xSplit="1" topLeftCell="AS1" activePane="topRight" state="frozen"/>
      <selection pane="topRight" activeCell="O3" sqref="O3"/>
    </sheetView>
  </sheetViews>
  <sheetFormatPr defaultRowHeight="14.4" x14ac:dyDescent="0.3"/>
  <cols>
    <col min="1" max="1" width="24.109375" style="89" customWidth="1"/>
    <col min="2" max="2" width="16.44140625" style="71" customWidth="1"/>
    <col min="3" max="3" width="8.5546875" style="5" customWidth="1"/>
    <col min="4" max="4" width="13.109375" style="5" customWidth="1"/>
    <col min="5" max="6" width="8.88671875" style="5"/>
    <col min="7" max="7" width="9.77734375" style="1" customWidth="1"/>
    <col min="8" max="8" width="8.88671875" style="1"/>
    <col min="9" max="9" width="14" style="1" customWidth="1"/>
    <col min="10" max="10" width="8.88671875" style="1"/>
    <col min="11" max="11" width="10" style="1" customWidth="1"/>
    <col min="12" max="12" width="8.88671875" style="14"/>
    <col min="13" max="13" width="11.21875" style="14" customWidth="1"/>
    <col min="14" max="14" width="13.77734375" style="14" customWidth="1"/>
    <col min="15" max="16" width="8.88671875" style="14"/>
    <col min="17" max="18" width="8.88671875" style="5"/>
    <col min="19" max="19" width="13.6640625" style="5" customWidth="1"/>
    <col min="20" max="21" width="8.88671875" style="5"/>
    <col min="22" max="23" width="8.88671875" style="1"/>
    <col min="24" max="24" width="13.5546875" style="1" customWidth="1"/>
    <col min="25" max="26" width="8.88671875" style="1"/>
    <col min="27" max="28" width="8.88671875" style="46"/>
    <col min="29" max="29" width="14.33203125" style="14" customWidth="1"/>
    <col min="30" max="31" width="8.88671875" style="14"/>
    <col min="32" max="33" width="8.88671875" style="5"/>
    <col min="34" max="34" width="13.6640625" style="5" customWidth="1"/>
    <col min="35" max="36" width="8.88671875" style="5"/>
    <col min="37" max="38" width="8.88671875" style="50"/>
    <col min="39" max="39" width="13.6640625" style="1" customWidth="1"/>
    <col min="40" max="41" width="8.88671875" style="1"/>
    <col min="42" max="43" width="8.88671875" style="46"/>
    <col min="44" max="44" width="14.33203125" style="14" customWidth="1"/>
    <col min="45" max="46" width="8.88671875" style="14"/>
    <col min="47" max="47" width="13.21875" style="5" customWidth="1"/>
    <col min="48" max="48" width="14.109375" style="5" customWidth="1"/>
    <col min="49" max="49" width="13.6640625" style="5" customWidth="1"/>
    <col min="50" max="51" width="8.88671875" style="5"/>
    <col min="52" max="52" width="13.44140625" style="1" customWidth="1"/>
    <col min="53" max="53" width="8.88671875" style="1"/>
    <col min="54" max="54" width="13.6640625" style="1" customWidth="1"/>
    <col min="55" max="56" width="8.88671875" style="1"/>
    <col min="57" max="59" width="8.88671875" style="6"/>
    <col min="60" max="60" width="6.6640625" style="19" customWidth="1"/>
    <col min="61" max="61" width="5.77734375" style="49" customWidth="1"/>
    <col min="62" max="16384" width="8.88671875" style="6"/>
  </cols>
  <sheetData>
    <row r="1" spans="1:61" s="51" customFormat="1" x14ac:dyDescent="0.3">
      <c r="A1" s="92" t="s">
        <v>48</v>
      </c>
      <c r="B1" s="53" t="s">
        <v>22</v>
      </c>
      <c r="C1" s="53"/>
      <c r="D1" s="53"/>
      <c r="E1" s="53"/>
      <c r="F1" s="54"/>
      <c r="G1" s="55" t="s">
        <v>23</v>
      </c>
      <c r="H1" s="56"/>
      <c r="I1" s="56"/>
      <c r="J1" s="56"/>
      <c r="K1" s="57"/>
      <c r="L1" s="58" t="s">
        <v>24</v>
      </c>
      <c r="M1" s="59"/>
      <c r="N1" s="59"/>
      <c r="O1" s="59"/>
      <c r="P1" s="60"/>
      <c r="Q1" s="52" t="s">
        <v>25</v>
      </c>
      <c r="R1" s="53"/>
      <c r="S1" s="53"/>
      <c r="T1" s="53"/>
      <c r="U1" s="54"/>
      <c r="V1" s="55" t="s">
        <v>31</v>
      </c>
      <c r="W1" s="56"/>
      <c r="X1" s="56"/>
      <c r="Y1" s="56"/>
      <c r="Z1" s="57"/>
      <c r="AA1" s="61" t="s">
        <v>32</v>
      </c>
      <c r="AB1" s="62"/>
      <c r="AC1" s="59"/>
      <c r="AD1" s="59"/>
      <c r="AE1" s="60"/>
      <c r="AF1" s="52" t="s">
        <v>33</v>
      </c>
      <c r="AG1" s="53"/>
      <c r="AH1" s="53"/>
      <c r="AI1" s="53"/>
      <c r="AJ1" s="54"/>
      <c r="AK1" s="63" t="s">
        <v>35</v>
      </c>
      <c r="AL1" s="64"/>
      <c r="AM1" s="56"/>
      <c r="AN1" s="56"/>
      <c r="AO1" s="57"/>
      <c r="AP1" s="61" t="s">
        <v>44</v>
      </c>
      <c r="AQ1" s="62"/>
      <c r="AR1" s="59"/>
      <c r="AS1" s="59"/>
      <c r="AT1" s="60"/>
      <c r="AU1" s="52" t="s">
        <v>49</v>
      </c>
      <c r="AV1" s="53"/>
      <c r="AW1" s="53"/>
      <c r="AX1" s="53"/>
      <c r="AY1" s="54"/>
      <c r="AZ1" s="55" t="s">
        <v>50</v>
      </c>
      <c r="BA1" s="56"/>
      <c r="BB1" s="56"/>
      <c r="BC1" s="56"/>
      <c r="BD1" s="57"/>
      <c r="BH1" s="65" t="s">
        <v>20</v>
      </c>
      <c r="BI1" s="66" t="s">
        <v>21</v>
      </c>
    </row>
    <row r="2" spans="1:61" s="33" customFormat="1" ht="15" thickBot="1" x14ac:dyDescent="0.35">
      <c r="A2" s="87"/>
      <c r="B2" s="69" t="s">
        <v>26</v>
      </c>
      <c r="C2" s="26" t="s">
        <v>27</v>
      </c>
      <c r="D2" s="26" t="s">
        <v>28</v>
      </c>
      <c r="E2" s="26" t="s">
        <v>29</v>
      </c>
      <c r="F2" s="26" t="s">
        <v>30</v>
      </c>
      <c r="G2" s="27" t="s">
        <v>26</v>
      </c>
      <c r="H2" s="27" t="s">
        <v>27</v>
      </c>
      <c r="I2" s="27" t="s">
        <v>28</v>
      </c>
      <c r="J2" s="27" t="s">
        <v>29</v>
      </c>
      <c r="K2" s="27" t="s">
        <v>30</v>
      </c>
      <c r="L2" s="28" t="s">
        <v>26</v>
      </c>
      <c r="M2" s="28" t="s">
        <v>27</v>
      </c>
      <c r="N2" s="28" t="s">
        <v>28</v>
      </c>
      <c r="O2" s="28" t="s">
        <v>29</v>
      </c>
      <c r="P2" s="28" t="s">
        <v>30</v>
      </c>
      <c r="Q2" s="26" t="s">
        <v>26</v>
      </c>
      <c r="R2" s="26" t="s">
        <v>27</v>
      </c>
      <c r="S2" s="26" t="s">
        <v>28</v>
      </c>
      <c r="T2" s="26" t="s">
        <v>29</v>
      </c>
      <c r="U2" s="26" t="s">
        <v>30</v>
      </c>
      <c r="V2" s="27" t="s">
        <v>26</v>
      </c>
      <c r="W2" s="27" t="s">
        <v>27</v>
      </c>
      <c r="X2" s="27" t="s">
        <v>28</v>
      </c>
      <c r="Y2" s="27" t="s">
        <v>29</v>
      </c>
      <c r="Z2" s="27" t="s">
        <v>30</v>
      </c>
      <c r="AA2" s="37" t="s">
        <v>26</v>
      </c>
      <c r="AB2" s="37" t="s">
        <v>34</v>
      </c>
      <c r="AC2" s="28" t="s">
        <v>28</v>
      </c>
      <c r="AD2" s="28" t="s">
        <v>29</v>
      </c>
      <c r="AE2" s="28" t="s">
        <v>30</v>
      </c>
      <c r="AF2" s="26" t="s">
        <v>26</v>
      </c>
      <c r="AG2" s="26" t="s">
        <v>34</v>
      </c>
      <c r="AH2" s="26" t="s">
        <v>28</v>
      </c>
      <c r="AI2" s="26" t="s">
        <v>29</v>
      </c>
      <c r="AJ2" s="26" t="s">
        <v>30</v>
      </c>
      <c r="AK2" s="38" t="s">
        <v>26</v>
      </c>
      <c r="AL2" s="38" t="s">
        <v>34</v>
      </c>
      <c r="AM2" s="27" t="s">
        <v>28</v>
      </c>
      <c r="AN2" s="27" t="s">
        <v>29</v>
      </c>
      <c r="AO2" s="27" t="s">
        <v>30</v>
      </c>
      <c r="AP2" s="37" t="s">
        <v>26</v>
      </c>
      <c r="AQ2" s="37" t="s">
        <v>27</v>
      </c>
      <c r="AR2" s="28" t="s">
        <v>28</v>
      </c>
      <c r="AS2" s="28" t="s">
        <v>29</v>
      </c>
      <c r="AT2" s="28" t="s">
        <v>30</v>
      </c>
      <c r="AU2" s="26" t="s">
        <v>26</v>
      </c>
      <c r="AV2" s="26" t="s">
        <v>34</v>
      </c>
      <c r="AW2" s="26" t="s">
        <v>28</v>
      </c>
      <c r="AX2" s="26" t="s">
        <v>29</v>
      </c>
      <c r="AY2" s="26" t="s">
        <v>30</v>
      </c>
      <c r="AZ2" s="27" t="s">
        <v>26</v>
      </c>
      <c r="BA2" s="27" t="s">
        <v>34</v>
      </c>
      <c r="BB2" s="27" t="s">
        <v>28</v>
      </c>
      <c r="BC2" s="27" t="s">
        <v>29</v>
      </c>
      <c r="BD2" s="27" t="s">
        <v>30</v>
      </c>
      <c r="BH2" s="29"/>
      <c r="BI2" s="39"/>
    </row>
    <row r="3" spans="1:61" s="31" customFormat="1" x14ac:dyDescent="0.3">
      <c r="A3" s="88" t="s">
        <v>16</v>
      </c>
      <c r="B3" s="70">
        <f>'Сравн.с_физ.Кг_s1'!U3+'Сравн.с_физ.Кг_s12'!U3</f>
        <v>322</v>
      </c>
      <c r="C3" s="43">
        <f>MAX(B3:B6)</f>
        <v>322</v>
      </c>
      <c r="D3" s="21">
        <f>B3/$C$3</f>
        <v>1</v>
      </c>
      <c r="E3" s="43">
        <f>0.2</f>
        <v>0.2</v>
      </c>
      <c r="F3" s="43">
        <v>1</v>
      </c>
      <c r="G3" s="22">
        <f>Сравн.Время!P3</f>
        <v>122</v>
      </c>
      <c r="H3" s="44">
        <f>MAX(G3:G6)</f>
        <v>164</v>
      </c>
      <c r="I3" s="22">
        <f>G3/$H$3</f>
        <v>0.74390243902439024</v>
      </c>
      <c r="J3" s="44">
        <f>0.1</f>
        <v>0.1</v>
      </c>
      <c r="K3" s="44">
        <v>1</v>
      </c>
      <c r="L3" s="23">
        <f>СредаЯзык!C3</f>
        <v>2245.5</v>
      </c>
      <c r="M3" s="45">
        <f>MAX(L3:L6)</f>
        <v>9637</v>
      </c>
      <c r="N3" s="23">
        <f>L3/$M$3</f>
        <v>0.23300819757185845</v>
      </c>
      <c r="O3" s="45">
        <f>0.057</f>
        <v>5.7000000000000002E-2</v>
      </c>
      <c r="P3" s="45">
        <v>1</v>
      </c>
      <c r="Q3" s="21">
        <v>0</v>
      </c>
      <c r="R3" s="43">
        <f>MAX(Q3:Q6)</f>
        <v>1</v>
      </c>
      <c r="S3" s="21">
        <f>Q3/$R$3</f>
        <v>0</v>
      </c>
      <c r="T3" s="43">
        <f>0.057</f>
        <v>5.7000000000000002E-2</v>
      </c>
      <c r="U3" s="43">
        <v>1</v>
      </c>
      <c r="V3" s="22">
        <v>0.9</v>
      </c>
      <c r="W3" s="44">
        <f>MAX(V3:V6)</f>
        <v>0.9</v>
      </c>
      <c r="X3" s="22">
        <f>V3/$W$3</f>
        <v>1</v>
      </c>
      <c r="Y3" s="44">
        <f>0.1</f>
        <v>0.1</v>
      </c>
      <c r="Z3" s="44">
        <v>1</v>
      </c>
      <c r="AA3" s="40">
        <v>85</v>
      </c>
      <c r="AB3" s="47">
        <f>MIN(AA3:AA6)</f>
        <v>10</v>
      </c>
      <c r="AC3" s="23">
        <f>AA3/$AB$3</f>
        <v>8.5</v>
      </c>
      <c r="AD3" s="45">
        <f>0.057</f>
        <v>5.7000000000000002E-2</v>
      </c>
      <c r="AE3" s="45">
        <v>-1</v>
      </c>
      <c r="AF3" s="21">
        <v>1E-3</v>
      </c>
      <c r="AG3" s="43">
        <f>MIN(AF3:AF6)</f>
        <v>1E-3</v>
      </c>
      <c r="AH3" s="21">
        <f>AF3/$AG$3</f>
        <v>1</v>
      </c>
      <c r="AI3" s="43">
        <f>0.2</f>
        <v>0.2</v>
      </c>
      <c r="AJ3" s="43">
        <v>-1</v>
      </c>
      <c r="AK3" s="41">
        <f>СредаЯзык!E3</f>
        <v>4</v>
      </c>
      <c r="AL3" s="48">
        <f>MIN(AK3:AK6)</f>
        <v>4</v>
      </c>
      <c r="AM3" s="22">
        <f>AK3/$AL$3</f>
        <v>1</v>
      </c>
      <c r="AN3" s="44">
        <f>0.057</f>
        <v>5.7000000000000002E-2</v>
      </c>
      <c r="AO3" s="44">
        <v>-1</v>
      </c>
      <c r="AP3" s="40">
        <f>Сравн.Память!P3</f>
        <v>113</v>
      </c>
      <c r="AQ3" s="47">
        <f>MAX(AP3:AP6)</f>
        <v>165</v>
      </c>
      <c r="AR3" s="23">
        <f>AP3/$AQ$3</f>
        <v>0.68484848484848482</v>
      </c>
      <c r="AS3" s="45">
        <f>0.057</f>
        <v>5.7000000000000002E-2</v>
      </c>
      <c r="AT3" s="45">
        <v>1</v>
      </c>
      <c r="AU3" s="21">
        <v>1</v>
      </c>
      <c r="AV3" s="43">
        <f>MIN(AU3:AU6)</f>
        <v>0.5</v>
      </c>
      <c r="AW3" s="21">
        <f>AU3/$AV$3</f>
        <v>2</v>
      </c>
      <c r="AX3" s="43">
        <f>0.057</f>
        <v>5.7000000000000002E-2</v>
      </c>
      <c r="AY3" s="43">
        <v>-1</v>
      </c>
      <c r="AZ3" s="22">
        <v>1</v>
      </c>
      <c r="BA3" s="44">
        <f>MIN(AZ3:AZ6)</f>
        <v>0.1</v>
      </c>
      <c r="BB3" s="22">
        <f>AZ3/$BA$3</f>
        <v>10</v>
      </c>
      <c r="BC3" s="44">
        <f>0.057</f>
        <v>5.7000000000000002E-2</v>
      </c>
      <c r="BD3" s="44">
        <v>-1</v>
      </c>
      <c r="BH3" s="24">
        <f>POWER(D3,$F$3)*$E$3+POWER(I3,$K$3)*$J$3+POWER(N3,$P$3)*$O$3+POWER(S3,$U$3)*$T$3+POWER(X3,$Z$3)*$Y$3+POWER(AC3,$AE$3)*$AD$3+POWER(AH3,$AJ$3)*$AI$3+POWER(AM3,$AO$3)*$AN$3+POWER(AR3,$AT$3)*$AS$3+POWER(AW3,$AY$3)*$AX$3+POWER(BB3,$BD$3)*$BC$3</f>
        <v>0.72461395715333987</v>
      </c>
      <c r="BI3" s="42" cm="1">
        <f t="array" ref="BI3">PointMin4($BH$3,$BH$4,$BH$5,$BH$6,BH3)</f>
        <v>1</v>
      </c>
    </row>
    <row r="4" spans="1:61" x14ac:dyDescent="0.3">
      <c r="A4" s="89" t="s">
        <v>17</v>
      </c>
      <c r="B4" s="70">
        <f>'Сравн.с_физ.Кг_s1'!V3+'Сравн.с_физ.Кг_s12'!V3</f>
        <v>244</v>
      </c>
      <c r="C4" s="43"/>
      <c r="D4" s="21">
        <f t="shared" ref="D4:D6" si="0">B4/$C$3</f>
        <v>0.75776397515527949</v>
      </c>
      <c r="E4" s="43"/>
      <c r="F4" s="43"/>
      <c r="G4" s="1">
        <f>Сравн.Время!Q3</f>
        <v>138</v>
      </c>
      <c r="H4" s="44"/>
      <c r="I4" s="22">
        <f t="shared" ref="I4:I6" si="1">G4/$H$3</f>
        <v>0.84146341463414631</v>
      </c>
      <c r="J4" s="44"/>
      <c r="K4" s="44"/>
      <c r="L4" s="23">
        <f>СредаЯзык!C4</f>
        <v>2245.5</v>
      </c>
      <c r="M4" s="45"/>
      <c r="N4" s="23">
        <f t="shared" ref="N4:N6" si="2">L4/$M$3</f>
        <v>0.23300819757185845</v>
      </c>
      <c r="O4" s="45"/>
      <c r="P4" s="45"/>
      <c r="Q4" s="5">
        <v>1</v>
      </c>
      <c r="R4" s="43"/>
      <c r="S4" s="21">
        <f t="shared" ref="S4:S6" si="3">Q4/$R$3</f>
        <v>1</v>
      </c>
      <c r="T4" s="43"/>
      <c r="U4" s="43"/>
      <c r="V4" s="1">
        <v>0</v>
      </c>
      <c r="W4" s="44"/>
      <c r="X4" s="22">
        <f t="shared" ref="X4:X6" si="4">V4/$W$3</f>
        <v>0</v>
      </c>
      <c r="Y4" s="44"/>
      <c r="Z4" s="44"/>
      <c r="AA4" s="46">
        <v>10</v>
      </c>
      <c r="AB4" s="47"/>
      <c r="AC4" s="23">
        <f t="shared" ref="AC4:AC6" si="5">AA4/$AB$3</f>
        <v>1</v>
      </c>
      <c r="AD4" s="45"/>
      <c r="AE4" s="45"/>
      <c r="AF4" s="5">
        <v>1</v>
      </c>
      <c r="AG4" s="43"/>
      <c r="AH4" s="21">
        <f t="shared" ref="AH4:AH6" si="6">AF4/$AG$3</f>
        <v>1000</v>
      </c>
      <c r="AI4" s="43"/>
      <c r="AJ4" s="43"/>
      <c r="AK4" s="41">
        <f>СредаЯзык!E4</f>
        <v>4</v>
      </c>
      <c r="AL4" s="48"/>
      <c r="AM4" s="22">
        <f>AK4/$AL$3</f>
        <v>1</v>
      </c>
      <c r="AN4" s="44"/>
      <c r="AO4" s="44"/>
      <c r="AP4" s="40">
        <f>Сравн.Память!Q3</f>
        <v>165</v>
      </c>
      <c r="AQ4" s="47"/>
      <c r="AR4" s="23">
        <f t="shared" ref="AR4:AR6" si="7">AP4/$AQ$3</f>
        <v>1</v>
      </c>
      <c r="AS4" s="45"/>
      <c r="AT4" s="45"/>
      <c r="AU4" s="5">
        <v>0.5</v>
      </c>
      <c r="AV4" s="43"/>
      <c r="AW4" s="21">
        <f>AU4/$AV$3</f>
        <v>1</v>
      </c>
      <c r="AX4" s="43"/>
      <c r="AY4" s="43"/>
      <c r="AZ4" s="22">
        <v>0.1</v>
      </c>
      <c r="BA4" s="44"/>
      <c r="BB4" s="22">
        <f t="shared" ref="BB4:BB6" si="8">AZ4/$BA$3</f>
        <v>1</v>
      </c>
      <c r="BC4" s="44"/>
      <c r="BD4" s="44"/>
      <c r="BH4" s="24">
        <f t="shared" ref="BH4:BH6" si="9">POWER(D4,$F$3)*$E$3+POWER(I4,$K$3)*$J$3+POWER(N4,$P$3)*$O$3+POWER(S4,$U$3)*$T$3+POWER(X4,$Z$3)*$Y$3+POWER(AC4,$AE$3)*$AD$3+POWER(AH4,$AJ$3)*$AI$3+POWER(AM4,$AO$3)*$AN$3+POWER(AR4,$AT$3)*$AS$3+POWER(AW4,$AY$3)*$AX$3+POWER(BB4,$BD$3)*$BC$3</f>
        <v>0.59118060375606651</v>
      </c>
      <c r="BI4" s="42" cm="1">
        <f t="array" ref="BI4">PointMin4($BH$3,$BH$4,$BH$5,$BH$6,BH4)</f>
        <v>3</v>
      </c>
    </row>
    <row r="5" spans="1:61" x14ac:dyDescent="0.3">
      <c r="A5" s="89" t="s">
        <v>18</v>
      </c>
      <c r="B5" s="70">
        <f>'Сравн.с_физ.Кг_s1'!W3+'Сравн.с_физ.Кг_s12'!W3</f>
        <v>178</v>
      </c>
      <c r="C5" s="43"/>
      <c r="D5" s="21">
        <f t="shared" si="0"/>
        <v>0.55279503105590067</v>
      </c>
      <c r="E5" s="43"/>
      <c r="F5" s="43"/>
      <c r="G5" s="1">
        <f>Сравн.Время!R3</f>
        <v>164</v>
      </c>
      <c r="H5" s="44"/>
      <c r="I5" s="22">
        <f t="shared" si="1"/>
        <v>1</v>
      </c>
      <c r="J5" s="44"/>
      <c r="K5" s="44"/>
      <c r="L5" s="23">
        <f>СредаЯзык!C5</f>
        <v>9637</v>
      </c>
      <c r="M5" s="45"/>
      <c r="N5" s="23">
        <f t="shared" si="2"/>
        <v>1</v>
      </c>
      <c r="O5" s="45"/>
      <c r="P5" s="45"/>
      <c r="Q5" s="5">
        <v>0</v>
      </c>
      <c r="R5" s="43"/>
      <c r="S5" s="21">
        <f t="shared" si="3"/>
        <v>0</v>
      </c>
      <c r="T5" s="43"/>
      <c r="U5" s="43"/>
      <c r="V5" s="1">
        <v>0</v>
      </c>
      <c r="W5" s="44"/>
      <c r="X5" s="22">
        <f t="shared" si="4"/>
        <v>0</v>
      </c>
      <c r="Y5" s="44"/>
      <c r="Z5" s="44"/>
      <c r="AA5" s="46">
        <v>10</v>
      </c>
      <c r="AB5" s="47"/>
      <c r="AC5" s="23">
        <f t="shared" si="5"/>
        <v>1</v>
      </c>
      <c r="AD5" s="45"/>
      <c r="AE5" s="45"/>
      <c r="AF5" s="5">
        <v>1</v>
      </c>
      <c r="AG5" s="43"/>
      <c r="AH5" s="21">
        <f t="shared" si="6"/>
        <v>1000</v>
      </c>
      <c r="AI5" s="43"/>
      <c r="AJ5" s="43"/>
      <c r="AK5" s="41">
        <f>СредаЯзык!E5</f>
        <v>16</v>
      </c>
      <c r="AL5" s="48"/>
      <c r="AM5" s="22">
        <f>AK5/$AL$3</f>
        <v>4</v>
      </c>
      <c r="AN5" s="44"/>
      <c r="AO5" s="44"/>
      <c r="AP5" s="40">
        <f>Сравн.Память!R3</f>
        <v>139</v>
      </c>
      <c r="AQ5" s="47"/>
      <c r="AR5" s="23">
        <f t="shared" si="7"/>
        <v>0.84242424242424241</v>
      </c>
      <c r="AS5" s="45"/>
      <c r="AT5" s="45"/>
      <c r="AU5" s="5">
        <v>1</v>
      </c>
      <c r="AV5" s="43"/>
      <c r="AW5" s="21">
        <f t="shared" ref="AW5:AW6" si="10">AU5/$AV$3</f>
        <v>2</v>
      </c>
      <c r="AX5" s="43"/>
      <c r="AY5" s="43"/>
      <c r="AZ5" s="22">
        <v>0.1</v>
      </c>
      <c r="BA5" s="44"/>
      <c r="BB5" s="22">
        <f t="shared" si="8"/>
        <v>1</v>
      </c>
      <c r="BC5" s="44"/>
      <c r="BD5" s="44"/>
      <c r="BH5" s="24">
        <f t="shared" si="9"/>
        <v>0.472527188029362</v>
      </c>
      <c r="BI5" s="42" cm="1">
        <f t="array" ref="BI5">PointMin4($BH$3,$BH$4,$BH$5,$BH$6,BH5)</f>
        <v>4</v>
      </c>
    </row>
    <row r="6" spans="1:61" x14ac:dyDescent="0.3">
      <c r="A6" s="89" t="s">
        <v>19</v>
      </c>
      <c r="B6" s="70">
        <f>'Сравн.с_физ.Кг_s1'!X3+'Сравн.с_физ.Кг_s12'!X3</f>
        <v>250</v>
      </c>
      <c r="C6" s="21"/>
      <c r="D6" s="21">
        <f t="shared" si="0"/>
        <v>0.77639751552795033</v>
      </c>
      <c r="E6" s="21"/>
      <c r="F6" s="21"/>
      <c r="G6" s="1">
        <f>Сравн.Время!S3</f>
        <v>88</v>
      </c>
      <c r="H6" s="22"/>
      <c r="I6" s="22">
        <f t="shared" si="1"/>
        <v>0.53658536585365857</v>
      </c>
      <c r="J6" s="22"/>
      <c r="K6" s="22"/>
      <c r="L6" s="23">
        <f>СредаЯзык!C6</f>
        <v>9637</v>
      </c>
      <c r="M6" s="23"/>
      <c r="N6" s="23">
        <f t="shared" si="2"/>
        <v>1</v>
      </c>
      <c r="O6" s="23"/>
      <c r="P6" s="23"/>
      <c r="Q6" s="5">
        <v>0</v>
      </c>
      <c r="R6" s="21"/>
      <c r="S6" s="21">
        <f t="shared" si="3"/>
        <v>0</v>
      </c>
      <c r="T6" s="21"/>
      <c r="U6" s="21"/>
      <c r="V6" s="1">
        <v>0.75</v>
      </c>
      <c r="W6" s="22"/>
      <c r="X6" s="22">
        <f t="shared" si="4"/>
        <v>0.83333333333333326</v>
      </c>
      <c r="Y6" s="22"/>
      <c r="Z6" s="22"/>
      <c r="AA6" s="46">
        <v>85</v>
      </c>
      <c r="AB6" s="40"/>
      <c r="AC6" s="23">
        <f t="shared" si="5"/>
        <v>8.5</v>
      </c>
      <c r="AD6" s="23"/>
      <c r="AE6" s="23"/>
      <c r="AF6" s="5">
        <v>1E-3</v>
      </c>
      <c r="AG6" s="21"/>
      <c r="AH6" s="21">
        <f t="shared" si="6"/>
        <v>1</v>
      </c>
      <c r="AI6" s="21"/>
      <c r="AJ6" s="21"/>
      <c r="AK6" s="41">
        <f>СредаЯзык!E6</f>
        <v>16</v>
      </c>
      <c r="AL6" s="41"/>
      <c r="AM6" s="22">
        <f t="shared" ref="AM6" si="11">AK6/$AL$3</f>
        <v>4</v>
      </c>
      <c r="AN6" s="22"/>
      <c r="AO6" s="22"/>
      <c r="AP6" s="40">
        <f>Сравн.Память!S3</f>
        <v>87</v>
      </c>
      <c r="AQ6" s="40"/>
      <c r="AR6" s="23">
        <f t="shared" si="7"/>
        <v>0.52727272727272723</v>
      </c>
      <c r="AS6" s="23"/>
      <c r="AT6" s="23"/>
      <c r="AU6" s="5">
        <v>1</v>
      </c>
      <c r="AV6" s="21"/>
      <c r="AW6" s="21">
        <f t="shared" si="10"/>
        <v>2</v>
      </c>
      <c r="AX6" s="21"/>
      <c r="AY6" s="21"/>
      <c r="AZ6" s="22">
        <v>1</v>
      </c>
      <c r="BA6" s="22"/>
      <c r="BB6" s="22">
        <f t="shared" si="8"/>
        <v>10</v>
      </c>
      <c r="BC6" s="22"/>
      <c r="BD6" s="22"/>
      <c r="BH6" s="24">
        <f t="shared" si="9"/>
        <v>0.63448180083177586</v>
      </c>
      <c r="BI6" s="42" cm="1">
        <f t="array" ref="BI6">PointMin4($BH$3,$BH$4,$BH$5,$BH$6,BH6)</f>
        <v>2</v>
      </c>
    </row>
    <row r="12" spans="1:61" x14ac:dyDescent="0.3">
      <c r="A12" s="90"/>
    </row>
    <row r="13" spans="1:61" x14ac:dyDescent="0.3">
      <c r="A13" s="90"/>
    </row>
    <row r="14" spans="1:61" x14ac:dyDescent="0.3">
      <c r="A14" s="91"/>
    </row>
    <row r="15" spans="1:61" x14ac:dyDescent="0.3">
      <c r="A15" s="90"/>
    </row>
    <row r="16" spans="1:61" x14ac:dyDescent="0.3">
      <c r="A16" s="90"/>
    </row>
    <row r="17" spans="1:2" x14ac:dyDescent="0.3">
      <c r="A17" s="91"/>
      <c r="B17" s="86"/>
    </row>
    <row r="18" spans="1:2" x14ac:dyDescent="0.3">
      <c r="B18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Сравн.с_физ.Кг_s1</vt:lpstr>
      <vt:lpstr>Сравн.с_физ.Кг_s12</vt:lpstr>
      <vt:lpstr>Сравн.Время</vt:lpstr>
      <vt:lpstr>Сравн.Память</vt:lpstr>
      <vt:lpstr>СредаЯзык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Павел Волков</cp:lastModifiedBy>
  <dcterms:created xsi:type="dcterms:W3CDTF">2015-06-05T18:19:34Z</dcterms:created>
  <dcterms:modified xsi:type="dcterms:W3CDTF">2025-05-27T20:39:11Z</dcterms:modified>
</cp:coreProperties>
</file>