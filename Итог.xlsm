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Татьяна\Downloads\Excel-файлы\"/>
    </mc:Choice>
  </mc:AlternateContent>
  <xr:revisionPtr revIDLastSave="0" documentId="13_ncr:1_{DA339982-1B54-46DD-80CA-2C415FD80D3F}" xr6:coauthVersionLast="47" xr6:coauthVersionMax="47" xr10:uidLastSave="{00000000-0000-0000-0000-000000000000}"/>
  <bookViews>
    <workbookView xWindow="-108" yWindow="-108" windowWidth="23256" windowHeight="12576" tabRatio="800" activeTab="2" xr2:uid="{00000000-000D-0000-FFFF-FFFF00000000}"/>
  </bookViews>
  <sheets>
    <sheet name="Сравн.с_физ.Кг_s1" sheetId="5" r:id="rId1"/>
    <sheet name="Сравн.с_физ.Кг_s12" sheetId="14" r:id="rId2"/>
    <sheet name="Сравн.Время" sheetId="7" r:id="rId3"/>
    <sheet name="Сравн.Память" sheetId="15" r:id="rId4"/>
    <sheet name="СредаЯзык" sheetId="9" r:id="rId5"/>
    <sheet name="Итог" sheetId="8" r:id="rId6"/>
  </sheets>
  <functionGroups builtInGroupCount="19"/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5" l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E3" i="15"/>
  <c r="D3" i="15"/>
  <c r="D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B3" i="7"/>
  <c r="D3" i="14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13" i="5"/>
  <c r="J9" i="5"/>
  <c r="J10" i="5"/>
  <c r="J11" i="5"/>
  <c r="J12" i="5"/>
  <c r="U3" i="5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E4" i="14"/>
  <c r="F4" i="14" s="1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3" i="5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4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B79" i="5"/>
  <c r="B80" i="5"/>
  <c r="B81" i="5"/>
  <c r="B82" i="5"/>
  <c r="B83" i="5"/>
  <c r="B84" i="5"/>
  <c r="B85" i="5"/>
  <c r="B86" i="5"/>
  <c r="B87" i="5"/>
  <c r="B8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F5" i="14"/>
  <c r="F6" i="14"/>
  <c r="G6" i="14"/>
  <c r="F7" i="14"/>
  <c r="A4" i="15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4" i="14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BC3" i="8"/>
  <c r="AX3" i="8"/>
  <c r="AS3" i="8"/>
  <c r="AN3" i="8"/>
  <c r="AI3" i="8"/>
  <c r="AD3" i="8"/>
  <c r="Y3" i="8"/>
  <c r="T3" i="8"/>
  <c r="O3" i="8"/>
  <c r="J3" i="8"/>
  <c r="E3" i="8"/>
  <c r="BB4" i="8"/>
  <c r="BB5" i="8"/>
  <c r="BB6" i="8"/>
  <c r="BB3" i="8"/>
  <c r="AV3" i="8"/>
  <c r="AW4" i="8" s="1"/>
  <c r="B3" i="5"/>
  <c r="G5" i="14" l="1"/>
  <c r="G7" i="14"/>
  <c r="G4" i="14"/>
  <c r="BA3" i="8"/>
  <c r="AW6" i="8"/>
  <c r="AW5" i="8"/>
  <c r="AW3" i="8"/>
  <c r="C8" i="14"/>
  <c r="B8" i="14"/>
  <c r="C8" i="5"/>
  <c r="C3" i="15" l="1"/>
  <c r="B3" i="15"/>
  <c r="B8" i="7"/>
  <c r="C3" i="7"/>
  <c r="N5" i="15" a="1"/>
  <c r="N4" i="15" a="1"/>
  <c r="K7" i="15" a="1"/>
  <c r="N7" i="15" a="1"/>
  <c r="L5" i="15" a="1"/>
  <c r="M6" i="15" a="1"/>
  <c r="M7" i="7" a="1"/>
  <c r="N5" i="7" a="1"/>
  <c r="N6" i="7" a="1"/>
  <c r="N7" i="7" a="1"/>
  <c r="N4" i="7" a="1"/>
  <c r="R5" i="14" a="1"/>
  <c r="Q4" i="14" a="1"/>
  <c r="S6" i="14" a="1"/>
  <c r="Q7" i="14" a="1"/>
  <c r="Q5" i="14" a="1"/>
  <c r="S7" i="14" a="1"/>
  <c r="R6" i="14" a="1"/>
  <c r="R4" i="14" a="1"/>
  <c r="S4" i="14" a="1"/>
  <c r="R7" i="14" a="1"/>
  <c r="Q6" i="14" a="1"/>
  <c r="S5" i="14" a="1"/>
  <c r="Q7" i="5" a="1"/>
  <c r="Q5" i="5" a="1"/>
  <c r="S7" i="5" a="1"/>
  <c r="R7" i="5" a="1"/>
  <c r="R4" i="5" a="1"/>
  <c r="R6" i="5" a="1"/>
  <c r="Q4" i="5" a="1"/>
  <c r="S4" i="5" a="1"/>
  <c r="Q6" i="5" a="1"/>
  <c r="S5" i="5" a="1"/>
  <c r="R5" i="5" a="1"/>
  <c r="S6" i="5" a="1"/>
  <c r="Q8" i="5" a="1"/>
  <c r="S8" i="5" a="1"/>
  <c r="S8" i="14" a="1"/>
  <c r="M3" i="7" a="1"/>
  <c r="N3" i="7" a="1"/>
  <c r="N8" i="15" a="1"/>
  <c r="K3" i="7" a="1"/>
  <c r="R8" i="14" a="1"/>
  <c r="Q8" i="14" a="1"/>
  <c r="K3" i="15" a="1"/>
  <c r="R8" i="5" a="1"/>
  <c r="K3" i="7" l="1"/>
  <c r="S8" i="14"/>
  <c r="S6" i="14"/>
  <c r="S7" i="14"/>
  <c r="S5" i="14"/>
  <c r="S4" i="14"/>
  <c r="R8" i="14"/>
  <c r="R6" i="14"/>
  <c r="R7" i="14"/>
  <c r="R5" i="14"/>
  <c r="R4" i="14"/>
  <c r="Q8" i="14"/>
  <c r="Q6" i="14"/>
  <c r="Q5" i="14"/>
  <c r="Q7" i="14"/>
  <c r="Q4" i="14"/>
  <c r="S6" i="5"/>
  <c r="S8" i="5"/>
  <c r="S5" i="5"/>
  <c r="S7" i="5"/>
  <c r="S4" i="5"/>
  <c r="R6" i="5"/>
  <c r="R8" i="5"/>
  <c r="R5" i="5"/>
  <c r="R7" i="5"/>
  <c r="R4" i="5"/>
  <c r="Q7" i="5"/>
  <c r="Q8" i="5"/>
  <c r="Q6" i="5"/>
  <c r="Q5" i="5"/>
  <c r="Q4" i="5"/>
  <c r="N8" i="15"/>
  <c r="N5" i="15"/>
  <c r="N7" i="15"/>
  <c r="N4" i="15"/>
  <c r="M6" i="15"/>
  <c r="L5" i="15"/>
  <c r="K7" i="15"/>
  <c r="K3" i="15"/>
  <c r="N6" i="7"/>
  <c r="N5" i="7"/>
  <c r="N7" i="7"/>
  <c r="N4" i="7"/>
  <c r="N3" i="7"/>
  <c r="M7" i="7"/>
  <c r="M3" i="7"/>
  <c r="M5" i="15" a="1"/>
  <c r="N6" i="15" a="1"/>
  <c r="K6" i="15" a="1"/>
  <c r="L7" i="15" a="1"/>
  <c r="K4" i="15" a="1"/>
  <c r="K5" i="15" a="1"/>
  <c r="M4" i="15" a="1"/>
  <c r="L4" i="15" a="1"/>
  <c r="M7" i="15" a="1"/>
  <c r="L6" i="15" a="1"/>
  <c r="M4" i="7" a="1"/>
  <c r="M6" i="7" a="1"/>
  <c r="M5" i="7" a="1"/>
  <c r="L5" i="7" a="1"/>
  <c r="K5" i="7" a="1"/>
  <c r="L6" i="7" a="1"/>
  <c r="K4" i="7" a="1"/>
  <c r="K7" i="7" a="1"/>
  <c r="L7" i="7" a="1"/>
  <c r="L4" i="7" a="1"/>
  <c r="K6" i="7" a="1"/>
  <c r="N3" i="15" a="1"/>
  <c r="L8" i="15" a="1"/>
  <c r="L3" i="7" a="1"/>
  <c r="L3" i="15" a="1"/>
  <c r="M8" i="15" a="1"/>
  <c r="K8" i="15" a="1"/>
  <c r="M3" i="15" a="1"/>
  <c r="M4" i="7" l="1"/>
  <c r="M8" i="15"/>
  <c r="K8" i="15"/>
  <c r="K4" i="7"/>
  <c r="L5" i="7"/>
  <c r="L8" i="15"/>
  <c r="K5" i="7"/>
  <c r="M5" i="7"/>
  <c r="K5" i="15"/>
  <c r="M5" i="15"/>
  <c r="M7" i="15"/>
  <c r="L3" i="15"/>
  <c r="N3" i="15"/>
  <c r="K6" i="15"/>
  <c r="L3" i="7"/>
  <c r="L6" i="7"/>
  <c r="L4" i="15"/>
  <c r="M4" i="15"/>
  <c r="L4" i="7"/>
  <c r="K4" i="15"/>
  <c r="L7" i="15"/>
  <c r="M6" i="7"/>
  <c r="L6" i="15"/>
  <c r="L7" i="7"/>
  <c r="K6" i="7"/>
  <c r="K7" i="7"/>
  <c r="N6" i="15"/>
  <c r="M3" i="15"/>
  <c r="C3" i="14"/>
  <c r="B3" i="14"/>
  <c r="C3" i="5"/>
  <c r="O8" i="14" l="1"/>
  <c r="N8" i="14"/>
  <c r="K8" i="14"/>
  <c r="J8" i="14"/>
  <c r="G8" i="14"/>
  <c r="F8" i="14"/>
  <c r="O7" i="14"/>
  <c r="N7" i="14"/>
  <c r="K7" i="14"/>
  <c r="J7" i="14"/>
  <c r="O6" i="14"/>
  <c r="N6" i="14"/>
  <c r="K6" i="14"/>
  <c r="J6" i="14"/>
  <c r="O5" i="14"/>
  <c r="N5" i="14"/>
  <c r="K5" i="14"/>
  <c r="J5" i="14"/>
  <c r="O4" i="14"/>
  <c r="N4" i="14"/>
  <c r="K4" i="14"/>
  <c r="J4" i="14"/>
  <c r="O3" i="14"/>
  <c r="N3" i="14"/>
  <c r="K3" i="14"/>
  <c r="J3" i="14"/>
  <c r="G3" i="14"/>
  <c r="F3" i="14"/>
  <c r="C6" i="9"/>
  <c r="C5" i="9"/>
  <c r="C4" i="9"/>
  <c r="C3" i="9"/>
  <c r="R3" i="14" a="1"/>
  <c r="Q3" i="5" a="1"/>
  <c r="S3" i="14" a="1"/>
  <c r="S3" i="5" a="1"/>
  <c r="Q3" i="14" a="1"/>
  <c r="R3" i="5" a="1"/>
  <c r="Q3" i="14" l="1"/>
  <c r="S3" i="14"/>
  <c r="R3" i="5"/>
  <c r="S3" i="5"/>
  <c r="R3" i="14"/>
  <c r="Q3" i="5"/>
  <c r="X3" i="5"/>
  <c r="AK4" i="8"/>
  <c r="AK5" i="8"/>
  <c r="AK6" i="8"/>
  <c r="AK3" i="8"/>
  <c r="L3" i="8"/>
  <c r="L4" i="8"/>
  <c r="L5" i="8"/>
  <c r="L6" i="8"/>
  <c r="AG3" i="8"/>
  <c r="AH6" i="8" s="1"/>
  <c r="AB3" i="8"/>
  <c r="AC3" i="8" s="1"/>
  <c r="W3" i="8"/>
  <c r="X4" i="8" s="1"/>
  <c r="R3" i="8"/>
  <c r="S5" i="8" s="1"/>
  <c r="J3" i="5"/>
  <c r="N3" i="5"/>
  <c r="O4" i="5"/>
  <c r="O5" i="5"/>
  <c r="O6" i="5"/>
  <c r="O7" i="5"/>
  <c r="O8" i="5"/>
  <c r="N4" i="5"/>
  <c r="N5" i="5"/>
  <c r="N6" i="5"/>
  <c r="N7" i="5"/>
  <c r="N8" i="5"/>
  <c r="K4" i="5"/>
  <c r="K5" i="5"/>
  <c r="K6" i="5"/>
  <c r="K7" i="5"/>
  <c r="K8" i="5"/>
  <c r="J4" i="5"/>
  <c r="J5" i="5"/>
  <c r="J6" i="5"/>
  <c r="J7" i="5"/>
  <c r="J8" i="5"/>
  <c r="G4" i="5"/>
  <c r="G5" i="5"/>
  <c r="G6" i="5"/>
  <c r="G7" i="5"/>
  <c r="G8" i="5"/>
  <c r="F5" i="5"/>
  <c r="F6" i="5"/>
  <c r="F7" i="5"/>
  <c r="F8" i="5"/>
  <c r="G3" i="5"/>
  <c r="O3" i="5"/>
  <c r="K3" i="5"/>
  <c r="U3" i="14" l="1"/>
  <c r="V3" i="5"/>
  <c r="S3" i="15"/>
  <c r="AP6" i="8" s="1"/>
  <c r="W3" i="5"/>
  <c r="X3" i="14"/>
  <c r="B6" i="8" s="1"/>
  <c r="P3" i="15"/>
  <c r="AP3" i="8" s="1"/>
  <c r="W3" i="14"/>
  <c r="V3" i="14"/>
  <c r="R3" i="15"/>
  <c r="AP5" i="8" s="1"/>
  <c r="Q3" i="15"/>
  <c r="AP4" i="8" s="1"/>
  <c r="S4" i="8"/>
  <c r="S3" i="8"/>
  <c r="S6" i="8"/>
  <c r="M3" i="8"/>
  <c r="N4" i="8" s="1"/>
  <c r="AL3" i="8"/>
  <c r="AM5" i="8" s="1"/>
  <c r="N6" i="8"/>
  <c r="X3" i="8"/>
  <c r="AH5" i="8"/>
  <c r="X6" i="8"/>
  <c r="AH4" i="8"/>
  <c r="AC6" i="8"/>
  <c r="AC5" i="8"/>
  <c r="AC4" i="8"/>
  <c r="AH3" i="8"/>
  <c r="X5" i="8"/>
  <c r="N5" i="8" l="1"/>
  <c r="B4" i="8"/>
  <c r="B5" i="8"/>
  <c r="B3" i="8"/>
  <c r="AQ3" i="8"/>
  <c r="AR5" i="8" s="1"/>
  <c r="N3" i="8"/>
  <c r="AM4" i="8"/>
  <c r="AM6" i="8"/>
  <c r="AM3" i="8"/>
  <c r="C3" i="8" l="1"/>
  <c r="D4" i="8" s="1"/>
  <c r="AR4" i="8"/>
  <c r="AR6" i="8"/>
  <c r="AR3" i="8"/>
  <c r="D6" i="8" l="1"/>
  <c r="D5" i="8"/>
  <c r="D3" i="8"/>
  <c r="C8" i="7" l="1"/>
  <c r="K8" i="7" a="1"/>
  <c r="N8" i="7" a="1"/>
  <c r="L8" i="7" a="1"/>
  <c r="M8" i="7" a="1"/>
  <c r="M8" i="7" l="1"/>
  <c r="R3" i="7" s="1"/>
  <c r="G5" i="8" s="1"/>
  <c r="L8" i="7"/>
  <c r="Q3" i="7" s="1"/>
  <c r="G4" i="8" s="1"/>
  <c r="K8" i="7"/>
  <c r="P3" i="7" s="1"/>
  <c r="G3" i="8" s="1"/>
  <c r="N8" i="7"/>
  <c r="S3" i="7" s="1"/>
  <c r="G6" i="8" s="1"/>
  <c r="H3" i="8" l="1"/>
  <c r="I4" i="8" s="1"/>
  <c r="BH4" i="8" s="1"/>
  <c r="I5" i="8" l="1"/>
  <c r="BH5" i="8" s="1"/>
  <c r="I3" i="8"/>
  <c r="BH3" i="8" s="1"/>
  <c r="I6" i="8"/>
  <c r="BH6" i="8" s="1"/>
  <c r="BI6" i="8" a="1"/>
  <c r="BI5" i="8" a="1"/>
  <c r="BI3" i="8" a="1"/>
  <c r="BI4" i="8" a="1"/>
  <c r="BI6" i="8" l="1"/>
  <c r="BI3" i="8"/>
  <c r="BI4" i="8"/>
  <c r="BI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<sst xmlns="http://schemas.openxmlformats.org/spreadsheetml/2006/main" count="220" uniqueCount="59">
  <si>
    <t>z_ср [доли]</t>
  </si>
  <si>
    <t>Δz [доли]</t>
  </si>
  <si>
    <t>Физ.</t>
  </si>
  <si>
    <t>Сети Петри</t>
  </si>
  <si>
    <t>Марков</t>
  </si>
  <si>
    <t>Монте-Карло</t>
  </si>
  <si>
    <t>Абс.погр. [доли]</t>
  </si>
  <si>
    <t>Относ.погр. [%]</t>
  </si>
  <si>
    <t>t_ср [с]</t>
  </si>
  <si>
    <t>Δt [с]</t>
  </si>
  <si>
    <t>Δt[с]</t>
  </si>
  <si>
    <t>ΣМарков</t>
  </si>
  <si>
    <t>ΣСети Петри</t>
  </si>
  <si>
    <t>ΣМонте-Карло</t>
  </si>
  <si>
    <t>ΣФиз.</t>
  </si>
  <si>
    <t>https://www.softwareadvice.com/simulation/anylogic-profile/vs/matlab/</t>
  </si>
  <si>
    <t>А1 - Физ.</t>
  </si>
  <si>
    <t>А2 - Марков</t>
  </si>
  <si>
    <t>А3 - Сети Петри</t>
  </si>
  <si>
    <t>А4 - Монте-Карло</t>
  </si>
  <si>
    <t>Ki</t>
  </si>
  <si>
    <t>Ri</t>
  </si>
  <si>
    <t>k1 - Баллы точности с физ. (max)</t>
  </si>
  <si>
    <t>k2 - Баллы времени исполнения (max)</t>
  </si>
  <si>
    <t>k3 - Рейтинг среды моделирования (max)</t>
  </si>
  <si>
    <t>k4 - Наличие нац. cтандарта (max)</t>
  </si>
  <si>
    <t>Оценка</t>
  </si>
  <si>
    <t>Макс</t>
  </si>
  <si>
    <t>Норм_оценка</t>
  </si>
  <si>
    <t>Вес</t>
  </si>
  <si>
    <t>Степень</t>
  </si>
  <si>
    <t>k5 - Изображение топологии сети (max)</t>
  </si>
  <si>
    <t>k6 - Число входных параметров (min)</t>
  </si>
  <si>
    <t>k7 - Наличие связи с другим видом (min)</t>
  </si>
  <si>
    <t>Мин</t>
  </si>
  <si>
    <t>k8 - Место языка программирования (min)</t>
  </si>
  <si>
    <t>Среда моделирования</t>
  </si>
  <si>
    <t>Название</t>
  </si>
  <si>
    <t>AnyLogic</t>
  </si>
  <si>
    <t>MatLab</t>
  </si>
  <si>
    <t>Язык программирования</t>
  </si>
  <si>
    <t>Java</t>
  </si>
  <si>
    <t>Место</t>
  </si>
  <si>
    <t>https://www.tiobe.com/tiobe-index/</t>
  </si>
  <si>
    <t>k9 - Баллы используемой памяти (max)</t>
  </si>
  <si>
    <t>m_ср [МБ]</t>
  </si>
  <si>
    <t>Δm [МБ]</t>
  </si>
  <si>
    <t>Серия экспериментов\статистика</t>
  </si>
  <si>
    <t>Альтернативы\критерии</t>
  </si>
  <si>
    <t>k10 -Критичность использования специализированного ПО (min)</t>
  </si>
  <si>
    <t>k11 -Критичность использования cуперкомпьютера (min)</t>
  </si>
  <si>
    <t>Спец. 1</t>
  </si>
  <si>
    <t>Спец. 2</t>
  </si>
  <si>
    <t>Спец. 3</t>
  </si>
  <si>
    <t>Спец. 4</t>
  </si>
  <si>
    <t xml:space="preserve"> Спец. 5</t>
  </si>
  <si>
    <t xml:space="preserve"> Спец. 6</t>
  </si>
  <si>
    <t xml:space="preserve"> Спец. 7</t>
  </si>
  <si>
    <t xml:space="preserve"> Спец.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</si>
</sst>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BBF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4">
    <xf numFmtId="0" fontId="0" fillId="0" borderId="0" xfId="0"/>
    <xf numFmtId="164" fontId="0" fillId="3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4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1" fillId="5" borderId="1" xfId="0" applyNumberFormat="1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3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3" borderId="5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1" fontId="1" fillId="4" borderId="5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1" fillId="5" borderId="5" xfId="0" applyNumberFormat="1" applyFon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64" fontId="1" fillId="0" borderId="1" xfId="0" applyNumberFormat="1" applyFont="1" applyBorder="1" applyAlignment="1">
      <alignment horizontal="left"/>
    </xf>
    <xf numFmtId="164" fontId="1" fillId="2" borderId="2" xfId="0" applyNumberFormat="1" applyFont="1" applyFill="1" applyBorder="1" applyAlignment="1">
      <alignment horizontal="left"/>
    </xf>
    <xf numFmtId="164" fontId="1" fillId="2" borderId="4" xfId="0" applyNumberFormat="1" applyFont="1" applyFill="1" applyBorder="1" applyAlignment="1">
      <alignment horizontal="left"/>
    </xf>
    <xf numFmtId="164" fontId="1" fillId="2" borderId="3" xfId="0" applyNumberFormat="1" applyFont="1" applyFill="1" applyBorder="1" applyAlignment="1">
      <alignment horizontal="left"/>
    </xf>
    <xf numFmtId="164" fontId="1" fillId="3" borderId="2" xfId="0" applyNumberFormat="1" applyFont="1" applyFill="1" applyBorder="1" applyAlignment="1">
      <alignment horizontal="left"/>
    </xf>
    <xf numFmtId="164" fontId="1" fillId="3" borderId="4" xfId="0" applyNumberFormat="1" applyFont="1" applyFill="1" applyBorder="1" applyAlignment="1">
      <alignment horizontal="left"/>
    </xf>
    <xf numFmtId="164" fontId="1" fillId="3" borderId="3" xfId="0" applyNumberFormat="1" applyFont="1" applyFill="1" applyBorder="1" applyAlignment="1">
      <alignment horizontal="left"/>
    </xf>
    <xf numFmtId="164" fontId="1" fillId="4" borderId="2" xfId="0" applyNumberFormat="1" applyFont="1" applyFill="1" applyBorder="1" applyAlignment="1">
      <alignment horizontal="left"/>
    </xf>
    <xf numFmtId="164" fontId="1" fillId="4" borderId="4" xfId="0" applyNumberFormat="1" applyFont="1" applyFill="1" applyBorder="1" applyAlignment="1">
      <alignment horizontal="left"/>
    </xf>
    <xf numFmtId="164" fontId="1" fillId="4" borderId="3" xfId="0" applyNumberFormat="1" applyFont="1" applyFill="1" applyBorder="1" applyAlignment="1">
      <alignment horizontal="left"/>
    </xf>
    <xf numFmtId="1" fontId="1" fillId="4" borderId="2" xfId="0" applyNumberFormat="1" applyFont="1" applyFill="1" applyBorder="1" applyAlignment="1">
      <alignment horizontal="left"/>
    </xf>
    <xf numFmtId="1" fontId="1" fillId="4" borderId="4" xfId="0" applyNumberFormat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left"/>
    </xf>
    <xf numFmtId="1" fontId="1" fillId="3" borderId="4" xfId="0" applyNumberFormat="1" applyFont="1" applyFill="1" applyBorder="1" applyAlignment="1">
      <alignment horizontal="left"/>
    </xf>
    <xf numFmtId="164" fontId="1" fillId="5" borderId="1" xfId="0" applyNumberFormat="1" applyFont="1" applyFill="1" applyBorder="1" applyAlignment="1">
      <alignment horizontal="left"/>
    </xf>
    <xf numFmtId="1" fontId="1" fillId="5" borderId="1" xfId="0" applyNumberFormat="1" applyFont="1" applyFill="1" applyBorder="1" applyAlignment="1">
      <alignment horizontal="left"/>
    </xf>
    <xf numFmtId="0" fontId="1" fillId="0" borderId="13" xfId="0" applyFont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9" xfId="0" applyNumberFormat="1" applyFon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1" fillId="6" borderId="10" xfId="0" applyNumberFormat="1" applyFont="1" applyFill="1" applyBorder="1" applyAlignment="1">
      <alignment horizontal="center"/>
    </xf>
    <xf numFmtId="164" fontId="1" fillId="6" borderId="4" xfId="0" applyNumberFormat="1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164" fontId="1" fillId="6" borderId="5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6" xfId="0" applyNumberFormat="1" applyFon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1" fillId="6" borderId="1" xfId="0" applyNumberFormat="1" applyFon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1" applyBorder="1" applyAlignment="1">
      <alignment horizontal="center"/>
    </xf>
    <xf numFmtId="164" fontId="0" fillId="2" borderId="3" xfId="0" applyNumberFormat="1" applyFill="1" applyBorder="1" applyAlignment="1">
      <alignment horizontal="left"/>
    </xf>
    <xf numFmtId="164" fontId="1" fillId="0" borderId="15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2" fillId="0" borderId="13" xfId="1" applyNumberForma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 wrapText="1"/>
    </xf>
    <xf numFmtId="0" fontId="1" fillId="6" borderId="15" xfId="0" applyFont="1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DBBFF3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60;&#1080;&#1079;.xlsx" TargetMode="External"/><Relationship Id="rId1" Type="http://schemas.openxmlformats.org/officeDocument/2006/relationships/externalLinkPath" Target="&#1060;&#1080;&#1079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52;&#1072;&#1088;&#1082;&#1086;&#1074;.xlsx" TargetMode="External"/><Relationship Id="rId1" Type="http://schemas.openxmlformats.org/officeDocument/2006/relationships/externalLinkPath" Target="&#1052;&#1072;&#1088;&#1082;&#1086;&#107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0_1"/>
      <sheetName val="T0_12"/>
      <sheetName val="Tв_23"/>
      <sheetName val="Tв_3"/>
      <sheetName val="l_12"/>
      <sheetName val="l_13"/>
      <sheetName val="l_23"/>
      <sheetName val="m_21"/>
      <sheetName val="m_31"/>
      <sheetName val="m_32"/>
      <sheetName val="Время"/>
      <sheetName val="Память"/>
      <sheetName val="Кг_s1"/>
      <sheetName val="Кг_s12"/>
      <sheetName val="До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G3">
            <v>155.23766666666668</v>
          </cell>
          <cell r="S3">
            <v>9.3975495196590479</v>
          </cell>
        </row>
        <row r="8">
          <cell r="G8">
            <v>146.49466666666669</v>
          </cell>
          <cell r="S8">
            <v>7.0440424038883762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146.71599999999998</v>
          </cell>
          <cell r="S13">
            <v>3.8526568239766168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161.822</v>
          </cell>
          <cell r="S18">
            <v>5.3511514661176696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158.21199999999999</v>
          </cell>
          <cell r="S23">
            <v>5.164280904766243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146.71599999999998</v>
          </cell>
          <cell r="S28">
            <v>3.8526568239766168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161.822</v>
          </cell>
          <cell r="S33">
            <v>5.3511514661176696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146.49466666666669</v>
          </cell>
          <cell r="S38">
            <v>7.0440424038883762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172.7353333333333</v>
          </cell>
          <cell r="S43">
            <v>13.526013075100064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174.37733333333335</v>
          </cell>
          <cell r="S48">
            <v>4.7270733572099823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172.47366666666667</v>
          </cell>
          <cell r="S53">
            <v>6.8177004369345529</v>
          </cell>
        </row>
        <row r="54">
          <cell r="G54">
            <v>1401.6890000000001</v>
          </cell>
          <cell r="S54">
            <v>24.902444709773736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179.76966666666667</v>
          </cell>
          <cell r="S58">
            <v>7.971469126272245</v>
          </cell>
        </row>
        <row r="59">
          <cell r="G59">
            <v>1404.7733333333333</v>
          </cell>
          <cell r="S59">
            <v>25.648288586462044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172.07966666666667</v>
          </cell>
          <cell r="S63">
            <v>5.8863410449767075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177.13766666666666</v>
          </cell>
          <cell r="S68">
            <v>6.9879768794535737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147.50200000000001</v>
          </cell>
          <cell r="S73">
            <v>7.1147919198900782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161.822</v>
          </cell>
          <cell r="S78">
            <v>5.3511514661176696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154.274</v>
          </cell>
          <cell r="S81">
            <v>18.293777306231743</v>
          </cell>
        </row>
        <row r="82">
          <cell r="G82">
            <v>154.524</v>
          </cell>
          <cell r="S82">
            <v>1.9658055626129478</v>
          </cell>
        </row>
        <row r="83">
          <cell r="G83">
            <v>128.62899999999999</v>
          </cell>
          <cell r="S83">
            <v>22.698930238890107</v>
          </cell>
        </row>
        <row r="84">
          <cell r="G84">
            <v>125.17333333333333</v>
          </cell>
          <cell r="S84">
            <v>5.9078225295883042</v>
          </cell>
        </row>
        <row r="85">
          <cell r="G85">
            <v>142.01533333333333</v>
          </cell>
          <cell r="S85">
            <v>4.5706905460529281</v>
          </cell>
        </row>
        <row r="86">
          <cell r="G86">
            <v>163.53299999999999</v>
          </cell>
          <cell r="S86">
            <v>8.3408986987813893</v>
          </cell>
        </row>
        <row r="87">
          <cell r="G87">
            <v>125.05399999999999</v>
          </cell>
          <cell r="S87">
            <v>5.8390754328061236</v>
          </cell>
        </row>
        <row r="88">
          <cell r="G88">
            <v>99.165000000000006</v>
          </cell>
          <cell r="S88">
            <v>22.358295370920676</v>
          </cell>
        </row>
      </sheetData>
      <sheetData sheetId="11">
        <row r="3">
          <cell r="G3">
            <v>1244</v>
          </cell>
          <cell r="S3">
            <v>24.826061575153908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1246</v>
          </cell>
          <cell r="S8">
            <v>31.106965993702012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1244.3333333333333</v>
          </cell>
          <cell r="S13">
            <v>27.346257107285776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1250</v>
          </cell>
          <cell r="S18">
            <v>29.791273890184691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1247</v>
          </cell>
          <cell r="S23">
            <v>28.630810909461392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1246</v>
          </cell>
          <cell r="S28">
            <v>31.106965993702012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1244.3333333333333</v>
          </cell>
          <cell r="S33">
            <v>27.346257107285776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1249.3333333333333</v>
          </cell>
          <cell r="S38">
            <v>40.363033142275675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1246.6666666666667</v>
          </cell>
          <cell r="S43">
            <v>23.595644607521201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1243</v>
          </cell>
          <cell r="S48">
            <v>27.308667732669299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1241.6666666666667</v>
          </cell>
          <cell r="S53">
            <v>23.595644607521201</v>
          </cell>
        </row>
        <row r="54">
          <cell r="G54">
            <v>1758.6666666666667</v>
          </cell>
          <cell r="S54">
            <v>70.233333333333334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1249.6666666666667</v>
          </cell>
          <cell r="S58">
            <v>21.114318469807269</v>
          </cell>
        </row>
        <row r="59">
          <cell r="G59">
            <v>1766</v>
          </cell>
          <cell r="S59">
            <v>63.342955409421812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1245</v>
          </cell>
          <cell r="S63">
            <v>22.343455417638516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1267.3333333333333</v>
          </cell>
          <cell r="S68">
            <v>65.792966527163415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1249.3333333333333</v>
          </cell>
          <cell r="S73">
            <v>40.363033142275675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1244.3333333333333</v>
          </cell>
          <cell r="S78">
            <v>27.346257107285776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1250</v>
          </cell>
          <cell r="S81">
            <v>24.826061575153908</v>
          </cell>
        </row>
        <row r="82">
          <cell r="G82">
            <v>1245</v>
          </cell>
          <cell r="S82">
            <v>27.308667732669299</v>
          </cell>
        </row>
        <row r="83">
          <cell r="G83">
            <v>1253</v>
          </cell>
          <cell r="S83">
            <v>15.101103712422258</v>
          </cell>
        </row>
        <row r="84">
          <cell r="G84">
            <v>1241.6666666666667</v>
          </cell>
          <cell r="S84">
            <v>12.246405368288462</v>
          </cell>
        </row>
        <row r="85">
          <cell r="G85">
            <v>1258.6666666666667</v>
          </cell>
          <cell r="S85">
            <v>54.183033424782622</v>
          </cell>
        </row>
        <row r="86">
          <cell r="G86">
            <v>1250</v>
          </cell>
          <cell r="S86">
            <v>28.630810909461392</v>
          </cell>
        </row>
        <row r="87">
          <cell r="G87">
            <v>1250</v>
          </cell>
          <cell r="S87">
            <v>40.642014385772434</v>
          </cell>
        </row>
        <row r="88">
          <cell r="G88">
            <v>1239.3333333333333</v>
          </cell>
          <cell r="S88">
            <v>15.766666666666666</v>
          </cell>
        </row>
      </sheetData>
      <sheetData sheetId="12">
        <row r="2">
          <cell r="B2">
            <v>0.86638899999999996</v>
          </cell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  <row r="8">
          <cell r="D8" t="e">
            <v>#DIV/0!</v>
          </cell>
          <cell r="I8" t="e">
            <v>#DIV/0!</v>
          </cell>
        </row>
        <row r="9">
          <cell r="D9" t="e">
            <v>#DIV/0!</v>
          </cell>
          <cell r="I9" t="e">
            <v>#DIV/0!</v>
          </cell>
        </row>
        <row r="10">
          <cell r="D10" t="e">
            <v>#DIV/0!</v>
          </cell>
          <cell r="I10" t="e">
            <v>#DIV/0!</v>
          </cell>
        </row>
        <row r="11">
          <cell r="D11" t="e">
            <v>#DIV/0!</v>
          </cell>
          <cell r="I11" t="e">
            <v>#DIV/0!</v>
          </cell>
        </row>
        <row r="12">
          <cell r="D12">
            <v>1</v>
          </cell>
          <cell r="I12">
            <v>0</v>
          </cell>
        </row>
        <row r="13">
          <cell r="D13" t="e">
            <v>#DIV/0!</v>
          </cell>
          <cell r="I13" t="e">
            <v>#DIV/0!</v>
          </cell>
        </row>
        <row r="14">
          <cell r="D14" t="e">
            <v>#DIV/0!</v>
          </cell>
          <cell r="I14" t="e">
            <v>#DIV/0!</v>
          </cell>
        </row>
        <row r="15">
          <cell r="D15" t="e">
            <v>#DIV/0!</v>
          </cell>
          <cell r="I15" t="e">
            <v>#DIV/0!</v>
          </cell>
        </row>
        <row r="16">
          <cell r="D16" t="e">
            <v>#DIV/0!</v>
          </cell>
          <cell r="I16" t="e">
            <v>#DIV/0!</v>
          </cell>
        </row>
        <row r="17">
          <cell r="D17">
            <v>0.93407780964224163</v>
          </cell>
          <cell r="I17">
            <v>0.27029839581291781</v>
          </cell>
        </row>
        <row r="18">
          <cell r="D18" t="e">
            <v>#DIV/0!</v>
          </cell>
          <cell r="I18" t="e">
            <v>#DIV/0!</v>
          </cell>
        </row>
        <row r="19">
          <cell r="D19" t="e">
            <v>#DIV/0!</v>
          </cell>
          <cell r="I19" t="e">
            <v>#DIV/0!</v>
          </cell>
        </row>
        <row r="20">
          <cell r="D20" t="e">
            <v>#DIV/0!</v>
          </cell>
          <cell r="I20" t="e">
            <v>#DIV/0!</v>
          </cell>
        </row>
        <row r="21">
          <cell r="D21" t="e">
            <v>#DIV/0!</v>
          </cell>
          <cell r="I21" t="e">
            <v>#DIV/0!</v>
          </cell>
        </row>
        <row r="22">
          <cell r="D22">
            <v>0.98406122288656095</v>
          </cell>
          <cell r="I22">
            <v>3.792456734900173E-2</v>
          </cell>
        </row>
        <row r="23">
          <cell r="D23" t="e">
            <v>#DIV/0!</v>
          </cell>
          <cell r="I23" t="e">
            <v>#DIV/0!</v>
          </cell>
        </row>
        <row r="24">
          <cell r="D24" t="e">
            <v>#DIV/0!</v>
          </cell>
          <cell r="I24" t="e">
            <v>#DIV/0!</v>
          </cell>
        </row>
        <row r="25">
          <cell r="D25" t="e">
            <v>#DIV/0!</v>
          </cell>
          <cell r="I25" t="e">
            <v>#DIV/0!</v>
          </cell>
        </row>
        <row r="26">
          <cell r="D26" t="e">
            <v>#DIV/0!</v>
          </cell>
          <cell r="I26" t="e">
            <v>#DIV/0!</v>
          </cell>
        </row>
        <row r="27">
          <cell r="D27">
            <v>0.99509801661048369</v>
          </cell>
          <cell r="I27">
            <v>2.1409305045132269E-2</v>
          </cell>
        </row>
        <row r="28">
          <cell r="D28" t="e">
            <v>#DIV/0!</v>
          </cell>
          <cell r="I28" t="e">
            <v>#DIV/0!</v>
          </cell>
        </row>
        <row r="29">
          <cell r="D29" t="e">
            <v>#DIV/0!</v>
          </cell>
          <cell r="I29" t="e">
            <v>#DIV/0!</v>
          </cell>
        </row>
        <row r="30">
          <cell r="D30" t="e">
            <v>#DIV/0!</v>
          </cell>
          <cell r="I30" t="e">
            <v>#DIV/0!</v>
          </cell>
        </row>
        <row r="31">
          <cell r="D31" t="e">
            <v>#DIV/0!</v>
          </cell>
          <cell r="I31" t="e">
            <v>#DIV/0!</v>
          </cell>
        </row>
        <row r="32">
          <cell r="D32">
            <v>0.99233058249835704</v>
          </cell>
          <cell r="I32">
            <v>3.3408837392875514E-2</v>
          </cell>
        </row>
        <row r="33">
          <cell r="D33" t="e">
            <v>#DIV/0!</v>
          </cell>
          <cell r="I33" t="e">
            <v>#DIV/0!</v>
          </cell>
        </row>
        <row r="34">
          <cell r="D34" t="e">
            <v>#DIV/0!</v>
          </cell>
          <cell r="I34" t="e">
            <v>#DIV/0!</v>
          </cell>
        </row>
        <row r="35">
          <cell r="D35" t="e">
            <v>#DIV/0!</v>
          </cell>
          <cell r="I35" t="e">
            <v>#DIV/0!</v>
          </cell>
        </row>
        <row r="36">
          <cell r="D36" t="e">
            <v>#DIV/0!</v>
          </cell>
          <cell r="I36" t="e">
            <v>#DIV/0!</v>
          </cell>
        </row>
        <row r="37">
          <cell r="D37">
            <v>0.96625504971354281</v>
          </cell>
          <cell r="I37">
            <v>8.8082117426413389E-3</v>
          </cell>
        </row>
        <row r="38">
          <cell r="D38" t="e">
            <v>#DIV/0!</v>
          </cell>
          <cell r="I38" t="e">
            <v>#DIV/0!</v>
          </cell>
        </row>
        <row r="39">
          <cell r="D39" t="e">
            <v>#DIV/0!</v>
          </cell>
          <cell r="I39" t="e">
            <v>#DIV/0!</v>
          </cell>
        </row>
        <row r="40">
          <cell r="D40" t="e">
            <v>#DIV/0!</v>
          </cell>
          <cell r="I40" t="e">
            <v>#DIV/0!</v>
          </cell>
        </row>
        <row r="41">
          <cell r="D41" t="e">
            <v>#DIV/0!</v>
          </cell>
          <cell r="I41" t="e">
            <v>#DIV/0!</v>
          </cell>
        </row>
        <row r="42">
          <cell r="D42">
            <v>1</v>
          </cell>
          <cell r="I42">
            <v>0</v>
          </cell>
        </row>
        <row r="43">
          <cell r="D43" t="e">
            <v>#DIV/0!</v>
          </cell>
          <cell r="I43" t="e">
            <v>#DIV/0!</v>
          </cell>
        </row>
        <row r="44">
          <cell r="D44" t="e">
            <v>#DIV/0!</v>
          </cell>
          <cell r="I44" t="e">
            <v>#DIV/0!</v>
          </cell>
        </row>
        <row r="45">
          <cell r="D45" t="e">
            <v>#DIV/0!</v>
          </cell>
          <cell r="I45" t="e">
            <v>#DIV/0!</v>
          </cell>
        </row>
        <row r="46">
          <cell r="D46" t="e">
            <v>#DIV/0!</v>
          </cell>
          <cell r="I46" t="e">
            <v>#DIV/0!</v>
          </cell>
        </row>
        <row r="47">
          <cell r="D47">
            <v>1</v>
          </cell>
          <cell r="I47">
            <v>0</v>
          </cell>
        </row>
        <row r="48">
          <cell r="D48" t="e">
            <v>#DIV/0!</v>
          </cell>
          <cell r="I48" t="e">
            <v>#DIV/0!</v>
          </cell>
        </row>
        <row r="49">
          <cell r="D49" t="e">
            <v>#DIV/0!</v>
          </cell>
          <cell r="I49" t="e">
            <v>#DIV/0!</v>
          </cell>
        </row>
        <row r="50">
          <cell r="D50" t="e">
            <v>#DIV/0!</v>
          </cell>
          <cell r="I50" t="e">
            <v>#DIV/0!</v>
          </cell>
        </row>
        <row r="51">
          <cell r="D51" t="e">
            <v>#DIV/0!</v>
          </cell>
          <cell r="I51" t="e">
            <v>#DIV/0!</v>
          </cell>
        </row>
        <row r="52">
          <cell r="D52">
            <v>1</v>
          </cell>
          <cell r="I52">
            <v>0</v>
          </cell>
        </row>
        <row r="53">
          <cell r="D53">
            <v>1</v>
          </cell>
          <cell r="I53">
            <v>0</v>
          </cell>
        </row>
        <row r="54">
          <cell r="D54" t="e">
            <v>#DIV/0!</v>
          </cell>
          <cell r="I54" t="e">
            <v>#DIV/0!</v>
          </cell>
        </row>
        <row r="55">
          <cell r="D55" t="e">
            <v>#DIV/0!</v>
          </cell>
          <cell r="I55" t="e">
            <v>#DIV/0!</v>
          </cell>
        </row>
        <row r="56">
          <cell r="D56" t="e">
            <v>#DIV/0!</v>
          </cell>
          <cell r="I56" t="e">
            <v>#DIV/0!</v>
          </cell>
        </row>
        <row r="57">
          <cell r="D57">
            <v>1</v>
          </cell>
          <cell r="I57">
            <v>0</v>
          </cell>
        </row>
        <row r="58">
          <cell r="D58">
            <v>1</v>
          </cell>
          <cell r="I58">
            <v>0</v>
          </cell>
        </row>
        <row r="59">
          <cell r="D59" t="e">
            <v>#DIV/0!</v>
          </cell>
          <cell r="I59" t="e">
            <v>#DIV/0!</v>
          </cell>
        </row>
        <row r="60">
          <cell r="D60" t="e">
            <v>#DIV/0!</v>
          </cell>
          <cell r="I60" t="e">
            <v>#DIV/0!</v>
          </cell>
        </row>
        <row r="61">
          <cell r="D61" t="e">
            <v>#DIV/0!</v>
          </cell>
          <cell r="I61" t="e">
            <v>#DIV/0!</v>
          </cell>
        </row>
        <row r="62">
          <cell r="D62">
            <v>0.99363158520063111</v>
          </cell>
          <cell r="I62">
            <v>2.7773566292601932E-2</v>
          </cell>
        </row>
        <row r="63">
          <cell r="D63" t="e">
            <v>#DIV/0!</v>
          </cell>
          <cell r="I63" t="e">
            <v>#DIV/0!</v>
          </cell>
        </row>
        <row r="64">
          <cell r="D64" t="e">
            <v>#DIV/0!</v>
          </cell>
          <cell r="I64" t="e">
            <v>#DIV/0!</v>
          </cell>
        </row>
        <row r="65">
          <cell r="D65" t="e">
            <v>#DIV/0!</v>
          </cell>
          <cell r="I65" t="e">
            <v>#DIV/0!</v>
          </cell>
        </row>
        <row r="66">
          <cell r="D66" t="e">
            <v>#DIV/0!</v>
          </cell>
          <cell r="I66" t="e">
            <v>#DIV/0!</v>
          </cell>
        </row>
        <row r="67">
          <cell r="D67">
            <v>0.95921374911562929</v>
          </cell>
          <cell r="I67">
            <v>2.5253091213205462E-2</v>
          </cell>
        </row>
        <row r="68">
          <cell r="D68" t="e">
            <v>#DIV/0!</v>
          </cell>
          <cell r="I68" t="e">
            <v>#DIV/0!</v>
          </cell>
        </row>
        <row r="69">
          <cell r="D69" t="e">
            <v>#DIV/0!</v>
          </cell>
          <cell r="I69" t="e">
            <v>#DIV/0!</v>
          </cell>
        </row>
        <row r="70">
          <cell r="D70" t="e">
            <v>#DIV/0!</v>
          </cell>
          <cell r="I70" t="e">
            <v>#DIV/0!</v>
          </cell>
        </row>
        <row r="71">
          <cell r="D71" t="e">
            <v>#DIV/0!</v>
          </cell>
          <cell r="I71" t="e">
            <v>#DIV/0!</v>
          </cell>
        </row>
        <row r="72">
          <cell r="D72">
            <v>0.9825794184622092</v>
          </cell>
          <cell r="I72">
            <v>4.4431283257467882E-2</v>
          </cell>
        </row>
        <row r="73">
          <cell r="D73" t="e">
            <v>#DIV/0!</v>
          </cell>
          <cell r="I73" t="e">
            <v>#DIV/0!</v>
          </cell>
        </row>
        <row r="74">
          <cell r="D74" t="e">
            <v>#DIV/0!</v>
          </cell>
          <cell r="I74" t="e">
            <v>#DIV/0!</v>
          </cell>
        </row>
        <row r="75">
          <cell r="D75" t="e">
            <v>#DIV/0!</v>
          </cell>
          <cell r="I75" t="e">
            <v>#DIV/0!</v>
          </cell>
        </row>
        <row r="76">
          <cell r="D76" t="e">
            <v>#DIV/0!</v>
          </cell>
          <cell r="I76" t="e">
            <v>#DIV/0!</v>
          </cell>
        </row>
        <row r="77">
          <cell r="D77">
            <v>0.99300939114425524</v>
          </cell>
          <cell r="I77">
            <v>3.132317182053642E-2</v>
          </cell>
        </row>
        <row r="78">
          <cell r="D78" t="e">
            <v>#DIV/0!</v>
          </cell>
          <cell r="I78" t="e">
            <v>#DIV/0!</v>
          </cell>
        </row>
        <row r="79">
          <cell r="D79" t="e">
            <v>#DIV/0!</v>
          </cell>
          <cell r="I79" t="e">
            <v>#DIV/0!</v>
          </cell>
        </row>
        <row r="80">
          <cell r="D80">
            <v>1</v>
          </cell>
          <cell r="I80">
            <v>0</v>
          </cell>
        </row>
        <row r="81">
          <cell r="D81">
            <v>1</v>
          </cell>
          <cell r="I81">
            <v>0</v>
          </cell>
        </row>
        <row r="82">
          <cell r="D82">
            <v>0.69260006727211565</v>
          </cell>
          <cell r="I82">
            <v>0.19767306984655311</v>
          </cell>
        </row>
        <row r="83">
          <cell r="D83">
            <v>0.67463626685592626</v>
          </cell>
          <cell r="I83">
            <v>0.10995865870470983</v>
          </cell>
        </row>
        <row r="84">
          <cell r="D84">
            <v>0.95249794501780982</v>
          </cell>
          <cell r="I84">
            <v>2.9169537689868188E-4</v>
          </cell>
        </row>
        <row r="85">
          <cell r="D85">
            <v>0.96319885604016997</v>
          </cell>
          <cell r="I85">
            <v>3.8469649108373465E-2</v>
          </cell>
        </row>
        <row r="86">
          <cell r="D86">
            <v>0.81334333210865106</v>
          </cell>
          <cell r="I86">
            <v>0.11678846481691314</v>
          </cell>
        </row>
        <row r="87">
          <cell r="D87">
            <v>0.61640052431554571</v>
          </cell>
          <cell r="I87">
            <v>0.19832614144616162</v>
          </cell>
        </row>
      </sheetData>
      <sheetData sheetId="13">
        <row r="2"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  <row r="8">
          <cell r="D8" t="e">
            <v>#DIV/0!</v>
          </cell>
          <cell r="I8" t="e">
            <v>#DIV/0!</v>
          </cell>
        </row>
        <row r="9">
          <cell r="D9" t="e">
            <v>#DIV/0!</v>
          </cell>
          <cell r="I9" t="e">
            <v>#DIV/0!</v>
          </cell>
        </row>
        <row r="10">
          <cell r="D10" t="e">
            <v>#DIV/0!</v>
          </cell>
          <cell r="I10" t="e">
            <v>#DIV/0!</v>
          </cell>
        </row>
        <row r="11">
          <cell r="D11" t="e">
            <v>#DIV/0!</v>
          </cell>
          <cell r="I11" t="e">
            <v>#DIV/0!</v>
          </cell>
        </row>
        <row r="12">
          <cell r="D12">
            <v>1</v>
          </cell>
          <cell r="I12">
            <v>0</v>
          </cell>
        </row>
        <row r="13">
          <cell r="D13" t="e">
            <v>#DIV/0!</v>
          </cell>
          <cell r="I13" t="e">
            <v>#DIV/0!</v>
          </cell>
        </row>
        <row r="14">
          <cell r="D14" t="e">
            <v>#DIV/0!</v>
          </cell>
          <cell r="I14" t="e">
            <v>#DIV/0!</v>
          </cell>
        </row>
        <row r="15">
          <cell r="D15" t="e">
            <v>#DIV/0!</v>
          </cell>
          <cell r="I15" t="e">
            <v>#DIV/0!</v>
          </cell>
        </row>
        <row r="16">
          <cell r="D16" t="e">
            <v>#DIV/0!</v>
          </cell>
          <cell r="I16" t="e">
            <v>#DIV/0!</v>
          </cell>
        </row>
        <row r="17">
          <cell r="D17">
            <v>0.93407780964224163</v>
          </cell>
          <cell r="I17">
            <v>0.27029839581291781</v>
          </cell>
        </row>
        <row r="18">
          <cell r="D18" t="e">
            <v>#DIV/0!</v>
          </cell>
          <cell r="I18" t="e">
            <v>#DIV/0!</v>
          </cell>
        </row>
        <row r="19">
          <cell r="D19" t="e">
            <v>#DIV/0!</v>
          </cell>
          <cell r="I19" t="e">
            <v>#DIV/0!</v>
          </cell>
        </row>
        <row r="20">
          <cell r="D20" t="e">
            <v>#DIV/0!</v>
          </cell>
          <cell r="I20" t="e">
            <v>#DIV/0!</v>
          </cell>
        </row>
        <row r="21">
          <cell r="D21" t="e">
            <v>#DIV/0!</v>
          </cell>
          <cell r="I21" t="e">
            <v>#DIV/0!</v>
          </cell>
        </row>
        <row r="22">
          <cell r="D22">
            <v>1</v>
          </cell>
          <cell r="I22">
            <v>0</v>
          </cell>
        </row>
        <row r="23">
          <cell r="D23" t="e">
            <v>#DIV/0!</v>
          </cell>
          <cell r="I23" t="e">
            <v>#DIV/0!</v>
          </cell>
        </row>
        <row r="24">
          <cell r="D24" t="e">
            <v>#DIV/0!</v>
          </cell>
          <cell r="I24" t="e">
            <v>#DIV/0!</v>
          </cell>
        </row>
        <row r="25">
          <cell r="D25" t="e">
            <v>#DIV/0!</v>
          </cell>
          <cell r="I25" t="e">
            <v>#DIV/0!</v>
          </cell>
        </row>
        <row r="26">
          <cell r="D26" t="e">
            <v>#DIV/0!</v>
          </cell>
          <cell r="I26" t="e">
            <v>#DIV/0!</v>
          </cell>
        </row>
        <row r="27">
          <cell r="D27">
            <v>1</v>
          </cell>
          <cell r="I27">
            <v>0</v>
          </cell>
        </row>
        <row r="28">
          <cell r="D28" t="e">
            <v>#DIV/0!</v>
          </cell>
          <cell r="I28" t="e">
            <v>#DIV/0!</v>
          </cell>
        </row>
        <row r="29">
          <cell r="D29" t="e">
            <v>#DIV/0!</v>
          </cell>
          <cell r="I29" t="e">
            <v>#DIV/0!</v>
          </cell>
        </row>
        <row r="30">
          <cell r="D30" t="e">
            <v>#DIV/0!</v>
          </cell>
          <cell r="I30" t="e">
            <v>#DIV/0!</v>
          </cell>
        </row>
        <row r="31">
          <cell r="D31" t="e">
            <v>#DIV/0!</v>
          </cell>
          <cell r="I31" t="e">
            <v>#DIV/0!</v>
          </cell>
        </row>
        <row r="32">
          <cell r="D32">
            <v>1</v>
          </cell>
          <cell r="I32">
            <v>0</v>
          </cell>
        </row>
        <row r="33">
          <cell r="D33" t="e">
            <v>#DIV/0!</v>
          </cell>
          <cell r="I33" t="e">
            <v>#DIV/0!</v>
          </cell>
        </row>
        <row r="34">
          <cell r="D34" t="e">
            <v>#DIV/0!</v>
          </cell>
          <cell r="I34" t="e">
            <v>#DIV/0!</v>
          </cell>
        </row>
        <row r="35">
          <cell r="D35" t="e">
            <v>#DIV/0!</v>
          </cell>
          <cell r="I35" t="e">
            <v>#DIV/0!</v>
          </cell>
        </row>
        <row r="36">
          <cell r="D36" t="e">
            <v>#DIV/0!</v>
          </cell>
          <cell r="I36" t="e">
            <v>#DIV/0!</v>
          </cell>
        </row>
        <row r="37">
          <cell r="D37">
            <v>1</v>
          </cell>
          <cell r="I37">
            <v>0</v>
          </cell>
        </row>
        <row r="38">
          <cell r="D38" t="e">
            <v>#DIV/0!</v>
          </cell>
          <cell r="I38" t="e">
            <v>#DIV/0!</v>
          </cell>
        </row>
        <row r="39">
          <cell r="D39" t="e">
            <v>#DIV/0!</v>
          </cell>
          <cell r="I39" t="e">
            <v>#DIV/0!</v>
          </cell>
        </row>
        <row r="40">
          <cell r="D40" t="e">
            <v>#DIV/0!</v>
          </cell>
          <cell r="I40" t="e">
            <v>#DIV/0!</v>
          </cell>
        </row>
        <row r="41">
          <cell r="D41" t="e">
            <v>#DIV/0!</v>
          </cell>
          <cell r="I41" t="e">
            <v>#DIV/0!</v>
          </cell>
        </row>
        <row r="42">
          <cell r="D42">
            <v>1</v>
          </cell>
          <cell r="I42">
            <v>0</v>
          </cell>
        </row>
        <row r="43">
          <cell r="D43" t="e">
            <v>#DIV/0!</v>
          </cell>
          <cell r="I43" t="e">
            <v>#DIV/0!</v>
          </cell>
        </row>
        <row r="44">
          <cell r="D44" t="e">
            <v>#DIV/0!</v>
          </cell>
          <cell r="I44" t="e">
            <v>#DIV/0!</v>
          </cell>
        </row>
        <row r="45">
          <cell r="D45" t="e">
            <v>#DIV/0!</v>
          </cell>
          <cell r="I45" t="e">
            <v>#DIV/0!</v>
          </cell>
        </row>
        <row r="46">
          <cell r="D46" t="e">
            <v>#DIV/0!</v>
          </cell>
          <cell r="I46" t="e">
            <v>#DIV/0!</v>
          </cell>
        </row>
        <row r="47">
          <cell r="D47">
            <v>1</v>
          </cell>
          <cell r="I47">
            <v>0</v>
          </cell>
        </row>
        <row r="48">
          <cell r="D48" t="e">
            <v>#DIV/0!</v>
          </cell>
          <cell r="I48" t="e">
            <v>#DIV/0!</v>
          </cell>
        </row>
        <row r="49">
          <cell r="D49" t="e">
            <v>#DIV/0!</v>
          </cell>
          <cell r="I49" t="e">
            <v>#DIV/0!</v>
          </cell>
        </row>
        <row r="50">
          <cell r="D50" t="e">
            <v>#DIV/0!</v>
          </cell>
          <cell r="I50" t="e">
            <v>#DIV/0!</v>
          </cell>
        </row>
        <row r="51">
          <cell r="D51" t="e">
            <v>#DIV/0!</v>
          </cell>
          <cell r="I51" t="e">
            <v>#DIV/0!</v>
          </cell>
        </row>
        <row r="52">
          <cell r="D52">
            <v>1</v>
          </cell>
          <cell r="I52">
            <v>0</v>
          </cell>
        </row>
        <row r="53">
          <cell r="D53">
            <v>1</v>
          </cell>
          <cell r="I53">
            <v>0</v>
          </cell>
        </row>
        <row r="54">
          <cell r="D54" t="e">
            <v>#DIV/0!</v>
          </cell>
          <cell r="I54" t="e">
            <v>#DIV/0!</v>
          </cell>
        </row>
        <row r="55">
          <cell r="D55" t="e">
            <v>#DIV/0!</v>
          </cell>
          <cell r="I55" t="e">
            <v>#DIV/0!</v>
          </cell>
        </row>
        <row r="56">
          <cell r="D56" t="e">
            <v>#DIV/0!</v>
          </cell>
          <cell r="I56" t="e">
            <v>#DIV/0!</v>
          </cell>
        </row>
        <row r="57">
          <cell r="D57">
            <v>1</v>
          </cell>
          <cell r="I57">
            <v>0</v>
          </cell>
        </row>
        <row r="58">
          <cell r="D58">
            <v>1</v>
          </cell>
          <cell r="I58">
            <v>0</v>
          </cell>
        </row>
        <row r="59">
          <cell r="D59" t="e">
            <v>#DIV/0!</v>
          </cell>
          <cell r="I59" t="e">
            <v>#DIV/0!</v>
          </cell>
        </row>
        <row r="60">
          <cell r="D60" t="e">
            <v>#DIV/0!</v>
          </cell>
          <cell r="I60" t="e">
            <v>#DIV/0!</v>
          </cell>
        </row>
        <row r="61">
          <cell r="D61" t="e">
            <v>#DIV/0!</v>
          </cell>
          <cell r="I61" t="e">
            <v>#DIV/0!</v>
          </cell>
        </row>
        <row r="62">
          <cell r="D62">
            <v>1</v>
          </cell>
          <cell r="I62">
            <v>0</v>
          </cell>
        </row>
        <row r="63">
          <cell r="D63" t="e">
            <v>#DIV/0!</v>
          </cell>
          <cell r="I63" t="e">
            <v>#DIV/0!</v>
          </cell>
        </row>
        <row r="64">
          <cell r="D64" t="e">
            <v>#DIV/0!</v>
          </cell>
          <cell r="I64" t="e">
            <v>#DIV/0!</v>
          </cell>
        </row>
        <row r="65">
          <cell r="D65" t="e">
            <v>#DIV/0!</v>
          </cell>
          <cell r="I65" t="e">
            <v>#DIV/0!</v>
          </cell>
        </row>
        <row r="66">
          <cell r="D66" t="e">
            <v>#DIV/0!</v>
          </cell>
          <cell r="I66" t="e">
            <v>#DIV/0!</v>
          </cell>
        </row>
        <row r="67">
          <cell r="D67">
            <v>1</v>
          </cell>
          <cell r="I67">
            <v>0</v>
          </cell>
        </row>
        <row r="68">
          <cell r="D68" t="e">
            <v>#DIV/0!</v>
          </cell>
          <cell r="I68" t="e">
            <v>#DIV/0!</v>
          </cell>
        </row>
        <row r="69">
          <cell r="D69" t="e">
            <v>#DIV/0!</v>
          </cell>
          <cell r="I69" t="e">
            <v>#DIV/0!</v>
          </cell>
        </row>
        <row r="70">
          <cell r="D70" t="e">
            <v>#DIV/0!</v>
          </cell>
          <cell r="I70" t="e">
            <v>#DIV/0!</v>
          </cell>
        </row>
        <row r="71">
          <cell r="D71" t="e">
            <v>#DIV/0!</v>
          </cell>
          <cell r="I71" t="e">
            <v>#DIV/0!</v>
          </cell>
        </row>
        <row r="72">
          <cell r="D72">
            <v>1</v>
          </cell>
          <cell r="I72">
            <v>0</v>
          </cell>
        </row>
        <row r="73">
          <cell r="D73" t="e">
            <v>#DIV/0!</v>
          </cell>
          <cell r="I73" t="e">
            <v>#DIV/0!</v>
          </cell>
        </row>
        <row r="74">
          <cell r="D74" t="e">
            <v>#DIV/0!</v>
          </cell>
          <cell r="I74" t="e">
            <v>#DIV/0!</v>
          </cell>
        </row>
        <row r="75">
          <cell r="D75" t="e">
            <v>#DIV/0!</v>
          </cell>
          <cell r="I75" t="e">
            <v>#DIV/0!</v>
          </cell>
        </row>
        <row r="76">
          <cell r="D76" t="e">
            <v>#DIV/0!</v>
          </cell>
          <cell r="I76" t="e">
            <v>#DIV/0!</v>
          </cell>
        </row>
        <row r="77">
          <cell r="D77">
            <v>1</v>
          </cell>
          <cell r="I77">
            <v>0</v>
          </cell>
        </row>
        <row r="78">
          <cell r="D78" t="e">
            <v>#DIV/0!</v>
          </cell>
          <cell r="I78" t="e">
            <v>#DIV/0!</v>
          </cell>
        </row>
        <row r="79">
          <cell r="D79" t="e">
            <v>#DIV/0!</v>
          </cell>
          <cell r="I79" t="e">
            <v>#DIV/0!</v>
          </cell>
        </row>
        <row r="80">
          <cell r="D80">
            <v>1</v>
          </cell>
          <cell r="I80">
            <v>0</v>
          </cell>
        </row>
        <row r="81">
          <cell r="D81">
            <v>1</v>
          </cell>
          <cell r="I81">
            <v>0</v>
          </cell>
        </row>
        <row r="82">
          <cell r="D82">
            <v>0.8468451536844982</v>
          </cell>
          <cell r="I82">
            <v>0.13594658225371029</v>
          </cell>
        </row>
        <row r="83">
          <cell r="D83">
            <v>0.87245034292330981</v>
          </cell>
          <cell r="I83">
            <v>4.2498556665950378E-2</v>
          </cell>
        </row>
        <row r="84">
          <cell r="D84">
            <v>1</v>
          </cell>
          <cell r="I84">
            <v>0</v>
          </cell>
        </row>
        <row r="85">
          <cell r="D85">
            <v>0.99920898270745739</v>
          </cell>
          <cell r="I85">
            <v>3.4663077875842223E-3</v>
          </cell>
        </row>
        <row r="86">
          <cell r="D86">
            <v>0.82177843432841091</v>
          </cell>
          <cell r="I86">
            <v>0.11094443425691701</v>
          </cell>
        </row>
        <row r="87">
          <cell r="D87">
            <v>0.62402618280146083</v>
          </cell>
          <cell r="I87">
            <v>0.20837802940781933</v>
          </cell>
        </row>
      </sheetData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Время"/>
      <sheetName val="Память"/>
      <sheetName val="Кг_s1"/>
      <sheetName val="Кг_s12"/>
    </sheetNames>
    <sheetDataSet>
      <sheetData sheetId="0">
        <row r="3">
          <cell r="G3">
            <v>1.2</v>
          </cell>
          <cell r="S3">
            <v>0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1.2</v>
          </cell>
          <cell r="S8">
            <v>0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11.333333333333334</v>
          </cell>
          <cell r="S13">
            <v>0.62477551524082975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2.9</v>
          </cell>
          <cell r="S18">
            <v>0.43000000000000038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2.8333333333333335</v>
          </cell>
          <cell r="S23">
            <v>0.28666666666666629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2.8333333333333335</v>
          </cell>
          <cell r="S28">
            <v>0.14333333333333348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2.8333333333333335</v>
          </cell>
          <cell r="S33">
            <v>0.14333333333333348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4</v>
          </cell>
          <cell r="S38">
            <v>0.24826061575153877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1.2</v>
          </cell>
          <cell r="S43">
            <v>0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1.2</v>
          </cell>
          <cell r="S48">
            <v>0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1.2</v>
          </cell>
          <cell r="S53">
            <v>0</v>
          </cell>
        </row>
        <row r="54">
          <cell r="G54">
            <v>1.2</v>
          </cell>
          <cell r="S54">
            <v>0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1.2</v>
          </cell>
          <cell r="S58">
            <v>0</v>
          </cell>
        </row>
        <row r="59">
          <cell r="G59">
            <v>1.2</v>
          </cell>
          <cell r="S59">
            <v>0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2.8333333333333335</v>
          </cell>
          <cell r="S63">
            <v>0.14333333333333348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1.6000000000000003</v>
          </cell>
          <cell r="S68">
            <v>0.24826061575153904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1.6000000000000003</v>
          </cell>
          <cell r="S73">
            <v>6.7513975723402323E-16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7.2</v>
          </cell>
          <cell r="S78">
            <v>0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1.2</v>
          </cell>
          <cell r="S81">
            <v>0</v>
          </cell>
        </row>
        <row r="82">
          <cell r="G82">
            <v>1.2</v>
          </cell>
          <cell r="S82">
            <v>0</v>
          </cell>
        </row>
        <row r="83">
          <cell r="G83">
            <v>2.7999999999999994</v>
          </cell>
          <cell r="S83">
            <v>1.3502795144680465E-15</v>
          </cell>
        </row>
        <row r="84">
          <cell r="G84">
            <v>2.7999999999999994</v>
          </cell>
          <cell r="S84">
            <v>1.3502795144680465E-15</v>
          </cell>
        </row>
        <row r="85">
          <cell r="G85">
            <v>3.9</v>
          </cell>
          <cell r="S85">
            <v>0</v>
          </cell>
        </row>
        <row r="86">
          <cell r="G86">
            <v>3.9</v>
          </cell>
          <cell r="S86">
            <v>0</v>
          </cell>
        </row>
        <row r="87">
          <cell r="G87">
            <v>2.7999999999999994</v>
          </cell>
          <cell r="S87">
            <v>1.3502795144680465E-15</v>
          </cell>
        </row>
        <row r="88">
          <cell r="G88">
            <v>3.7999999999999994</v>
          </cell>
          <cell r="S88">
            <v>1.3502795144680465E-15</v>
          </cell>
        </row>
      </sheetData>
      <sheetData sheetId="1">
        <row r="3">
          <cell r="G3">
            <v>50</v>
          </cell>
          <cell r="S3">
            <v>12.900000000000002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50</v>
          </cell>
          <cell r="S8">
            <v>12.900000000000002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53</v>
          </cell>
          <cell r="S13">
            <v>17.378243102607737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48.333333333333336</v>
          </cell>
          <cell r="S18">
            <v>21.114318469807273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56</v>
          </cell>
          <cell r="S23">
            <v>17.902327595408739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56.666666666666664</v>
          </cell>
          <cell r="S28">
            <v>15.960924506779397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56.666666666666664</v>
          </cell>
          <cell r="S33">
            <v>15.960924506779397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58.333333333333336</v>
          </cell>
          <cell r="S38">
            <v>16.152846326404656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50</v>
          </cell>
          <cell r="S43">
            <v>12.900000000000002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50</v>
          </cell>
          <cell r="S48">
            <v>12.900000000000002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50</v>
          </cell>
          <cell r="S53">
            <v>12.900000000000002</v>
          </cell>
        </row>
        <row r="54">
          <cell r="G54">
            <v>50</v>
          </cell>
          <cell r="S54">
            <v>12.900000000000002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50</v>
          </cell>
          <cell r="S58">
            <v>12.900000000000002</v>
          </cell>
        </row>
        <row r="59">
          <cell r="G59">
            <v>50</v>
          </cell>
          <cell r="S59">
            <v>12.900000000000002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55.333333333333336</v>
          </cell>
          <cell r="S63">
            <v>18.797990436332402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60.666666666666664</v>
          </cell>
          <cell r="S68">
            <v>21.690269195604234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55</v>
          </cell>
          <cell r="S73">
            <v>13.822566090756569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70.666666666666671</v>
          </cell>
          <cell r="S78">
            <v>22.389382404265746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50</v>
          </cell>
          <cell r="S81">
            <v>12.900000000000002</v>
          </cell>
        </row>
        <row r="82">
          <cell r="G82">
            <v>50</v>
          </cell>
          <cell r="S82">
            <v>12.900000000000002</v>
          </cell>
        </row>
        <row r="83">
          <cell r="G83">
            <v>57.333333333333336</v>
          </cell>
          <cell r="S83">
            <v>17.437252586854896</v>
          </cell>
        </row>
        <row r="84">
          <cell r="G84">
            <v>56</v>
          </cell>
          <cell r="S84">
            <v>16.279537257960783</v>
          </cell>
        </row>
        <row r="85">
          <cell r="G85">
            <v>59</v>
          </cell>
          <cell r="S85">
            <v>12.900000000000002</v>
          </cell>
        </row>
        <row r="86">
          <cell r="G86">
            <v>65.666666666666671</v>
          </cell>
          <cell r="S86">
            <v>27.458716486957492</v>
          </cell>
        </row>
        <row r="87">
          <cell r="G87">
            <v>65.666666666666671</v>
          </cell>
          <cell r="S87">
            <v>27.458716486957492</v>
          </cell>
        </row>
        <row r="88">
          <cell r="G88">
            <v>61</v>
          </cell>
          <cell r="S88">
            <v>22.343455417638516</v>
          </cell>
        </row>
      </sheetData>
      <sheetData sheetId="2">
        <row r="2">
          <cell r="B2">
            <v>1</v>
          </cell>
          <cell r="C2">
            <v>1E-3</v>
          </cell>
        </row>
        <row r="7">
          <cell r="B7">
            <v>1</v>
          </cell>
        </row>
        <row r="12">
          <cell r="B12">
            <v>0.5</v>
          </cell>
        </row>
        <row r="17">
          <cell r="B17">
            <v>0.5</v>
          </cell>
        </row>
        <row r="22">
          <cell r="B22">
            <v>0.5</v>
          </cell>
        </row>
        <row r="27">
          <cell r="B27">
            <v>0.5</v>
          </cell>
        </row>
        <row r="32">
          <cell r="B32">
            <v>0.5</v>
          </cell>
        </row>
        <row r="37">
          <cell r="B37">
            <v>0.5</v>
          </cell>
        </row>
        <row r="42">
          <cell r="B42">
            <v>1</v>
          </cell>
        </row>
        <row r="47">
          <cell r="B47">
            <v>1</v>
          </cell>
        </row>
        <row r="52">
          <cell r="B52">
            <v>1</v>
          </cell>
        </row>
        <row r="53">
          <cell r="B53">
            <v>1</v>
          </cell>
        </row>
        <row r="57">
          <cell r="B57">
            <v>1</v>
          </cell>
        </row>
        <row r="58">
          <cell r="B58">
            <v>1</v>
          </cell>
        </row>
        <row r="62">
          <cell r="B62">
            <v>0.5</v>
          </cell>
        </row>
        <row r="67">
          <cell r="B67">
            <v>0.5</v>
          </cell>
        </row>
        <row r="72">
          <cell r="B72">
            <v>0.5</v>
          </cell>
        </row>
        <row r="77">
          <cell r="B77">
            <v>2.0000000000000001E-4</v>
          </cell>
        </row>
        <row r="80">
          <cell r="B80">
            <v>1</v>
          </cell>
        </row>
        <row r="81">
          <cell r="B81">
            <v>1</v>
          </cell>
        </row>
        <row r="82">
          <cell r="B82">
            <v>0.32200000000000001</v>
          </cell>
        </row>
        <row r="83">
          <cell r="B83">
            <v>0.317</v>
          </cell>
        </row>
        <row r="84">
          <cell r="B84">
            <v>0.5</v>
          </cell>
        </row>
        <row r="85">
          <cell r="B85">
            <v>0.33300000000000002</v>
          </cell>
        </row>
        <row r="86">
          <cell r="B86">
            <v>0.36099999999999999</v>
          </cell>
        </row>
        <row r="87">
          <cell r="B87">
            <v>0.375</v>
          </cell>
        </row>
      </sheetData>
      <sheetData sheetId="3">
        <row r="2">
          <cell r="B2">
            <v>1</v>
          </cell>
          <cell r="C2">
            <v>1E-3</v>
          </cell>
        </row>
        <row r="7">
          <cell r="B7">
            <v>1</v>
          </cell>
        </row>
        <row r="12">
          <cell r="B12">
            <v>0.5</v>
          </cell>
        </row>
        <row r="17">
          <cell r="B17">
            <v>0.5</v>
          </cell>
        </row>
        <row r="22">
          <cell r="B22">
            <v>1</v>
          </cell>
        </row>
        <row r="27">
          <cell r="B27">
            <v>1</v>
          </cell>
        </row>
        <row r="32">
          <cell r="B32">
            <v>1</v>
          </cell>
        </row>
        <row r="37">
          <cell r="B37">
            <v>1</v>
          </cell>
        </row>
        <row r="42">
          <cell r="B42">
            <v>1</v>
          </cell>
        </row>
        <row r="47">
          <cell r="B47">
            <v>1</v>
          </cell>
        </row>
        <row r="52">
          <cell r="B52">
            <v>1</v>
          </cell>
        </row>
        <row r="53">
          <cell r="B53">
            <v>1</v>
          </cell>
        </row>
        <row r="57">
          <cell r="B57">
            <v>1</v>
          </cell>
        </row>
        <row r="58">
          <cell r="B58">
            <v>1</v>
          </cell>
        </row>
        <row r="62">
          <cell r="B62">
            <v>1</v>
          </cell>
        </row>
        <row r="67">
          <cell r="B67">
            <v>1</v>
          </cell>
        </row>
        <row r="72">
          <cell r="B72">
            <v>1</v>
          </cell>
        </row>
        <row r="77">
          <cell r="B77">
            <v>5.0000000000000001E-4</v>
          </cell>
        </row>
        <row r="80">
          <cell r="B80">
            <v>1</v>
          </cell>
        </row>
        <row r="81">
          <cell r="B81">
            <v>1</v>
          </cell>
        </row>
        <row r="82">
          <cell r="B82">
            <v>0.64600000000000002</v>
          </cell>
        </row>
        <row r="83">
          <cell r="B83">
            <v>0.624</v>
          </cell>
        </row>
        <row r="84">
          <cell r="B84">
            <v>1</v>
          </cell>
        </row>
        <row r="85">
          <cell r="B85">
            <v>0.66700000000000004</v>
          </cell>
        </row>
        <row r="86">
          <cell r="B86">
            <v>0.68</v>
          </cell>
        </row>
        <row r="87">
          <cell r="B87">
            <v>0.68700000000000006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iobe.com/tiobe-index/" TargetMode="External"/><Relationship Id="rId1" Type="http://schemas.openxmlformats.org/officeDocument/2006/relationships/hyperlink" Target="https://www.softwareadvice.com/simulation/anylogic-profile/vs/matlab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1914-F13D-43DB-B845-891AB6D1503B}">
  <sheetPr codeName="Лист10"/>
  <dimension ref="A1:X88"/>
  <sheetViews>
    <sheetView workbookViewId="0">
      <pane xSplit="1" topLeftCell="B1" activePane="topRight" state="frozen"/>
      <selection pane="topRight" activeCell="I9" sqref="I9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18.5546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2" t="s">
        <v>47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3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8">
        <v>1</v>
      </c>
      <c r="B3" s="70">
        <f>[1]Кг_s1!D2</f>
        <v>1</v>
      </c>
      <c r="C3" s="21">
        <f>[1]Кг_s1!I2</f>
        <v>0</v>
      </c>
      <c r="D3" s="22">
        <f>[2]Кг_s1!B2</f>
        <v>1</v>
      </c>
      <c r="E3" s="22">
        <f>[2]Кг_s1!$C$2</f>
        <v>1E-3</v>
      </c>
      <c r="F3" s="22" t="str">
        <f>ROUNDUP(ABS(B3-D3),3) &amp; " ± " &amp; ROUNDUP(ABS(C3-E3),3)</f>
        <v>0 ± 0,001</v>
      </c>
      <c r="G3" s="22" t="str">
        <f>ROUNDUP(ABS(B3-D3)/B3*100,3) &amp; " ± " &amp; ROUNDUP(ABS(C3-E3)/B3*100,3)</f>
        <v>0 ± 0,1</v>
      </c>
      <c r="H3" s="23">
        <v>0.5</v>
      </c>
      <c r="I3" s="23">
        <v>0.01</v>
      </c>
      <c r="J3" s="23" t="str">
        <f>ROUNDUP(ABS(B3-H3),3) &amp; " ± " &amp; ROUNDUP(ABS(C3-I3),3)</f>
        <v>0,5 ± 0,01</v>
      </c>
      <c r="K3" s="23" t="str">
        <f>ROUNDUP(ABS(B3-H3)/B3*100,3) &amp; " ± " &amp; ROUNDUP(ABS(C3-I3)/B3*100,3)</f>
        <v>50 ± 1</v>
      </c>
      <c r="L3" s="24">
        <v>0.95</v>
      </c>
      <c r="M3" s="24">
        <v>2E-3</v>
      </c>
      <c r="N3" s="24" t="str">
        <f>ROUNDUP(ABS(B3-L3),3) &amp; " ± " &amp; ROUNDUP(ABS(C3-M3),3)</f>
        <v>0,05 ± 0,002</v>
      </c>
      <c r="O3" s="24" t="str">
        <f>ROUNDUP(ABS(B3-L3)/B3*100,3) &amp; " ± " &amp; ROUNDUP(ABS(C3-M3)/B3*100,3)</f>
        <v>5 ± 0,2</v>
      </c>
      <c r="Q3" s="20" cm="1">
        <f t="array" ref="Q3">PointMin3(ABS(B3-D3)+ABS(C3-E3),ABS(B3-H3)+ABS(C3-I3),ABS(B3-L3)+ABS(C3-M3),ABS(B3-D3)+ABS(C3-E3))</f>
        <v>3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2</v>
      </c>
      <c r="U3" s="20">
        <f>SUM(Q:S)</f>
        <v>31</v>
      </c>
      <c r="V3" s="20">
        <f>SUM(Q:Q)</f>
        <v>10</v>
      </c>
      <c r="W3" s="20">
        <f>SUM(R:R)</f>
        <v>10</v>
      </c>
      <c r="X3" s="20">
        <f>SUM(S:S)</f>
        <v>11</v>
      </c>
    </row>
    <row r="4" spans="1:24" x14ac:dyDescent="0.3">
      <c r="A4" s="99">
        <f>A3+1</f>
        <v>2</v>
      </c>
      <c r="B4" s="70">
        <v>-1</v>
      </c>
      <c r="C4" s="21">
        <v>-1</v>
      </c>
      <c r="D4" s="22">
        <f>[2]Кг_s1!B3</f>
        <v>0</v>
      </c>
      <c r="E4" s="22">
        <f>[2]Кг_s1!$C$2</f>
        <v>1E-3</v>
      </c>
      <c r="F4" s="22" t="str">
        <f>ROUNDUP(ABS(B4-D4),3) &amp; " ± " &amp; ROUNDUP(ABS(C4-E4),3)</f>
        <v>1 ± 1,001</v>
      </c>
      <c r="G4" s="22" t="str">
        <f t="shared" ref="G4:G67" si="0">ROUNDUP(ABS(B4-D4)/B4*100,3) &amp; " ± " &amp; ROUNDUP(ABS(C4-E4)/B4*100,3)</f>
        <v>-100 ± -100,1</v>
      </c>
      <c r="H4" s="14">
        <v>-1</v>
      </c>
      <c r="I4" s="14">
        <v>-1</v>
      </c>
      <c r="J4" s="23" t="str">
        <f t="shared" ref="J4:J67" si="1">ROUNDUP(ABS(B4-H4),3) &amp; " ± " &amp; ROUNDUP(ABS(C4-I4),3)</f>
        <v>0 ± 0</v>
      </c>
      <c r="K4" s="23" t="str">
        <f t="shared" ref="K4:K67" si="2">ROUNDUP(ABS(B4-H4)/B4*100,3) &amp; " ± " &amp; ROUNDUP(ABS(C4-I4)/B4*100,3)</f>
        <v>0 ± 0</v>
      </c>
      <c r="L4" s="19">
        <v>-1</v>
      </c>
      <c r="M4" s="19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2</v>
      </c>
      <c r="S4" s="20" cm="1">
        <f t="array" ref="S4">PointMin3(ABS(B4-D4)+ABS(C4-E4),ABS(B4-H4)+ABS(C4-I4),ABS(B4-L4)+ABS(C4-M4),ABS(B4-L4)+ABS(C4-M4))</f>
        <v>2</v>
      </c>
    </row>
    <row r="5" spans="1:24" x14ac:dyDescent="0.3">
      <c r="A5" s="99">
        <f t="shared" ref="A5:A68" si="3">A4+1</f>
        <v>3</v>
      </c>
      <c r="B5" s="70">
        <v>-1</v>
      </c>
      <c r="C5" s="21">
        <v>-1</v>
      </c>
      <c r="D5" s="22">
        <f>[2]Кг_s1!B4</f>
        <v>0</v>
      </c>
      <c r="E5" s="22">
        <f>[2]Кг_s1!$C$2</f>
        <v>1E-3</v>
      </c>
      <c r="F5" s="22" t="str">
        <f t="shared" ref="F4:F67" si="4">ROUNDUP(ABS(B5-D5),3) &amp; " ± " &amp; ROUNDUP(ABS(C5-E5),3)</f>
        <v>1 ± 1,001</v>
      </c>
      <c r="G5" s="22" t="str">
        <f t="shared" si="0"/>
        <v>-100 ± -100,1</v>
      </c>
      <c r="H5" s="14">
        <v>-1</v>
      </c>
      <c r="I5" s="14">
        <v>-1</v>
      </c>
      <c r="J5" s="23" t="str">
        <f t="shared" si="1"/>
        <v>0 ± 0</v>
      </c>
      <c r="K5" s="23" t="str">
        <f t="shared" si="2"/>
        <v>0 ± 0</v>
      </c>
      <c r="L5" s="19">
        <v>-1</v>
      </c>
      <c r="M5" s="19">
        <v>-1</v>
      </c>
      <c r="N5" s="24" t="str">
        <f t="shared" ref="N5:N68" si="5">ROUNDUP(ABS(B5-L5),3) &amp; " ± " &amp; ROUNDUP(ABS(C5-M5),3)</f>
        <v>0 ± 0</v>
      </c>
      <c r="O5" s="24" t="str">
        <f t="shared" ref="O5:O6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2</v>
      </c>
      <c r="S5" s="20" cm="1">
        <f t="array" ref="S5">PointMin3(ABS(B5-D5)+ABS(C5-E5),ABS(B5-H5)+ABS(C5-I5),ABS(B5-L5)+ABS(C5-M5),ABS(B5-L5)+ABS(C5-M5))</f>
        <v>2</v>
      </c>
    </row>
    <row r="6" spans="1:24" x14ac:dyDescent="0.3">
      <c r="A6" s="99">
        <f t="shared" si="3"/>
        <v>4</v>
      </c>
      <c r="B6" s="70">
        <v>-1</v>
      </c>
      <c r="C6" s="21">
        <v>-1</v>
      </c>
      <c r="D6" s="22">
        <f>[2]Кг_s1!B5</f>
        <v>0</v>
      </c>
      <c r="E6" s="22">
        <f>[2]Кг_s1!$C$2</f>
        <v>1E-3</v>
      </c>
      <c r="F6" s="22" t="str">
        <f t="shared" si="4"/>
        <v>1 ± 1,001</v>
      </c>
      <c r="G6" s="22" t="str">
        <f t="shared" si="0"/>
        <v>-100 ± -100,1</v>
      </c>
      <c r="H6" s="14">
        <v>-1</v>
      </c>
      <c r="I6" s="14">
        <v>-1</v>
      </c>
      <c r="J6" s="23" t="str">
        <f t="shared" si="1"/>
        <v>0 ± 0</v>
      </c>
      <c r="K6" s="23" t="str">
        <f t="shared" si="2"/>
        <v>0 ± 0</v>
      </c>
      <c r="L6" s="19">
        <v>-1</v>
      </c>
      <c r="M6" s="19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2</v>
      </c>
      <c r="S6" s="20" cm="1">
        <f t="array" ref="S6">PointMin3(ABS(B6-D6)+ABS(C6-E6),ABS(B6-H6)+ABS(C6-I6),ABS(B6-L6)+ABS(C6-M6),ABS(B6-L6)+ABS(C6-M6))</f>
        <v>2</v>
      </c>
    </row>
    <row r="7" spans="1:24" x14ac:dyDescent="0.3">
      <c r="A7" s="99">
        <f t="shared" si="3"/>
        <v>5</v>
      </c>
      <c r="B7" s="70">
        <v>-1</v>
      </c>
      <c r="C7" s="21">
        <v>-1</v>
      </c>
      <c r="D7" s="22">
        <f>[2]Кг_s1!B6</f>
        <v>0</v>
      </c>
      <c r="E7" s="22">
        <f>[2]Кг_s1!$C$2</f>
        <v>1E-3</v>
      </c>
      <c r="F7" s="22" t="str">
        <f t="shared" si="4"/>
        <v>1 ± 1,001</v>
      </c>
      <c r="G7" s="22" t="str">
        <f t="shared" si="0"/>
        <v>-100 ± -100,1</v>
      </c>
      <c r="H7" s="14">
        <v>-1</v>
      </c>
      <c r="I7" s="14">
        <v>-1</v>
      </c>
      <c r="J7" s="23" t="str">
        <f t="shared" si="1"/>
        <v>0 ± 0</v>
      </c>
      <c r="K7" s="23" t="str">
        <f t="shared" si="2"/>
        <v>0 ± 0</v>
      </c>
      <c r="L7" s="19">
        <v>-1</v>
      </c>
      <c r="M7" s="19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2</v>
      </c>
      <c r="S7" s="20" cm="1">
        <f t="array" ref="S7">PointMin3(ABS(B7-D7)+ABS(C7-E7),ABS(B7-H7)+ABS(C7-I7),ABS(B7-L7)+ABS(C7-M7),ABS(B7-L7)+ABS(C7-M7))</f>
        <v>2</v>
      </c>
    </row>
    <row r="8" spans="1:24" x14ac:dyDescent="0.3">
      <c r="A8" s="100">
        <f t="shared" si="3"/>
        <v>6</v>
      </c>
      <c r="B8" s="70">
        <f>[1]Кг_s1!D7</f>
        <v>1</v>
      </c>
      <c r="C8" s="21">
        <f>[1]Кг_s1!I7</f>
        <v>0</v>
      </c>
      <c r="D8" s="22">
        <f>[2]Кг_s1!B7</f>
        <v>1</v>
      </c>
      <c r="E8" s="22">
        <f>[2]Кг_s1!$C$2</f>
        <v>1E-3</v>
      </c>
      <c r="F8" s="22" t="str">
        <f t="shared" si="4"/>
        <v>0 ± 0,001</v>
      </c>
      <c r="G8" s="22" t="str">
        <f t="shared" si="0"/>
        <v>0 ± 0,1</v>
      </c>
      <c r="J8" s="23" t="str">
        <f t="shared" si="1"/>
        <v>1 ± 0</v>
      </c>
      <c r="K8" s="23" t="str">
        <f t="shared" si="2"/>
        <v>100 ± 0</v>
      </c>
      <c r="N8" s="24" t="str">
        <f t="shared" si="5"/>
        <v>1 ± 0</v>
      </c>
      <c r="O8" s="24" t="str">
        <f t="shared" si="6"/>
        <v>100 ± 0</v>
      </c>
      <c r="Q8" s="20" cm="1">
        <f t="array" ref="Q8">PointMin3(ABS(B8-D8)+ABS(C8-E8),ABS(B8-H8)+ABS(C8-I8),ABS(B8-L8)+ABS(C8-M8),ABS(B8-D8)+ABS(C8-E8))</f>
        <v>3</v>
      </c>
      <c r="R8" s="20" cm="1">
        <f t="array" ref="R8">PointMin3(ABS(B8-D8)+ABS(C8-E8),ABS(B8-H8)+ABS(C8-I8),ABS(B8-L8)+ABS(C8-M8),ABS(B8-H8)+ABS(C8-I8))</f>
        <v>1</v>
      </c>
      <c r="S8" s="20" cm="1">
        <f t="array" ref="S8">PointMin3(ABS(B8-D8)+ABS(C8-E8),ABS(B8-H8)+ABS(C8-I8),ABS(B8-L8)+ABS(C8-M8),ABS(B8-L8)+ABS(C8-M8))</f>
        <v>1</v>
      </c>
    </row>
    <row r="9" spans="1:24" x14ac:dyDescent="0.3">
      <c r="A9" s="99">
        <f t="shared" si="3"/>
        <v>7</v>
      </c>
      <c r="B9" s="70" t="e">
        <f>[1]Кг_s1!D8</f>
        <v>#DIV/0!</v>
      </c>
      <c r="C9" s="21" t="e">
        <f>[1]Кг_s1!I8</f>
        <v>#DIV/0!</v>
      </c>
      <c r="D9" s="22">
        <f>[2]Кг_s1!B8</f>
        <v>0</v>
      </c>
      <c r="E9" s="22">
        <f>[2]Кг_s1!$C$2</f>
        <v>1E-3</v>
      </c>
      <c r="F9" s="22" t="e">
        <f t="shared" si="4"/>
        <v>#DIV/0!</v>
      </c>
      <c r="G9" s="22" t="e">
        <f t="shared" si="0"/>
        <v>#DIV/0!</v>
      </c>
      <c r="J9" s="23" t="e">
        <f t="shared" si="1"/>
        <v>#DIV/0!</v>
      </c>
      <c r="K9" s="23" t="e">
        <f t="shared" si="2"/>
        <v>#DIV/0!</v>
      </c>
      <c r="N9" s="24" t="e">
        <f t="shared" si="5"/>
        <v>#DIV/0!</v>
      </c>
      <c r="O9" s="24" t="e">
        <f t="shared" si="6"/>
        <v>#DIV/0!</v>
      </c>
    </row>
    <row r="10" spans="1:24" x14ac:dyDescent="0.3">
      <c r="A10" s="99">
        <f t="shared" si="3"/>
        <v>8</v>
      </c>
      <c r="B10" s="70" t="e">
        <f>[1]Кг_s1!D9</f>
        <v>#DIV/0!</v>
      </c>
      <c r="C10" s="21" t="e">
        <f>[1]Кг_s1!I9</f>
        <v>#DIV/0!</v>
      </c>
      <c r="D10" s="22">
        <f>[2]Кг_s1!B9</f>
        <v>0</v>
      </c>
      <c r="E10" s="22">
        <f>[2]Кг_s1!$C$2</f>
        <v>1E-3</v>
      </c>
      <c r="F10" s="22" t="e">
        <f t="shared" si="4"/>
        <v>#DIV/0!</v>
      </c>
      <c r="G10" s="22" t="e">
        <f t="shared" si="0"/>
        <v>#DIV/0!</v>
      </c>
      <c r="J10" s="23" t="e">
        <f t="shared" si="1"/>
        <v>#DIV/0!</v>
      </c>
      <c r="K10" s="23" t="e">
        <f t="shared" si="2"/>
        <v>#DIV/0!</v>
      </c>
      <c r="N10" s="24" t="e">
        <f t="shared" si="5"/>
        <v>#DIV/0!</v>
      </c>
      <c r="O10" s="24" t="e">
        <f t="shared" si="6"/>
        <v>#DIV/0!</v>
      </c>
      <c r="U10" s="36"/>
    </row>
    <row r="11" spans="1:24" x14ac:dyDescent="0.3">
      <c r="A11" s="99">
        <f t="shared" si="3"/>
        <v>9</v>
      </c>
      <c r="B11" s="70" t="e">
        <f>[1]Кг_s1!D10</f>
        <v>#DIV/0!</v>
      </c>
      <c r="C11" s="21" t="e">
        <f>[1]Кг_s1!I10</f>
        <v>#DIV/0!</v>
      </c>
      <c r="D11" s="22">
        <f>[2]Кг_s1!B10</f>
        <v>0</v>
      </c>
      <c r="E11" s="22">
        <f>[2]Кг_s1!$C$2</f>
        <v>1E-3</v>
      </c>
      <c r="F11" s="22" t="e">
        <f t="shared" si="4"/>
        <v>#DIV/0!</v>
      </c>
      <c r="G11" s="22" t="e">
        <f t="shared" si="0"/>
        <v>#DIV/0!</v>
      </c>
      <c r="J11" s="23" t="e">
        <f t="shared" si="1"/>
        <v>#DIV/0!</v>
      </c>
      <c r="K11" s="23" t="e">
        <f t="shared" si="2"/>
        <v>#DIV/0!</v>
      </c>
      <c r="N11" s="24" t="e">
        <f t="shared" si="5"/>
        <v>#DIV/0!</v>
      </c>
      <c r="O11" s="24" t="e">
        <f t="shared" si="6"/>
        <v>#DIV/0!</v>
      </c>
    </row>
    <row r="12" spans="1:24" x14ac:dyDescent="0.3">
      <c r="A12" s="99">
        <f t="shared" si="3"/>
        <v>10</v>
      </c>
      <c r="B12" s="70" t="e">
        <f>[1]Кг_s1!D11</f>
        <v>#DIV/0!</v>
      </c>
      <c r="C12" s="21" t="e">
        <f>[1]Кг_s1!I11</f>
        <v>#DIV/0!</v>
      </c>
      <c r="D12" s="22">
        <f>[2]Кг_s1!B11</f>
        <v>0</v>
      </c>
      <c r="E12" s="22">
        <f>[2]Кг_s1!$C$2</f>
        <v>1E-3</v>
      </c>
      <c r="F12" s="22" t="e">
        <f t="shared" si="4"/>
        <v>#DIV/0!</v>
      </c>
      <c r="G12" s="22" t="e">
        <f t="shared" si="0"/>
        <v>#DIV/0!</v>
      </c>
      <c r="J12" s="23" t="e">
        <f t="shared" si="1"/>
        <v>#DIV/0!</v>
      </c>
      <c r="K12" s="23" t="e">
        <f t="shared" si="2"/>
        <v>#DIV/0!</v>
      </c>
      <c r="N12" s="24" t="e">
        <f t="shared" si="5"/>
        <v>#DIV/0!</v>
      </c>
      <c r="O12" s="24" t="e">
        <f t="shared" si="6"/>
        <v>#DIV/0!</v>
      </c>
    </row>
    <row r="13" spans="1:24" x14ac:dyDescent="0.3">
      <c r="A13" s="100">
        <f t="shared" si="3"/>
        <v>11</v>
      </c>
      <c r="B13" s="70">
        <f>[1]Кг_s1!D12</f>
        <v>1</v>
      </c>
      <c r="C13" s="21">
        <f>[1]Кг_s1!I12</f>
        <v>0</v>
      </c>
      <c r="D13" s="22">
        <f>[2]Кг_s1!B12</f>
        <v>0.5</v>
      </c>
      <c r="E13" s="22">
        <f>[2]Кг_s1!$C$2</f>
        <v>1E-3</v>
      </c>
      <c r="F13" s="22" t="str">
        <f t="shared" si="4"/>
        <v>0,5 ± 0,001</v>
      </c>
      <c r="G13" s="22" t="str">
        <f t="shared" si="0"/>
        <v>50 ± 0,1</v>
      </c>
      <c r="J13" s="23" t="str">
        <f t="shared" si="1"/>
        <v>1 ± 0</v>
      </c>
      <c r="K13" s="23" t="str">
        <f t="shared" si="2"/>
        <v>100 ± 0</v>
      </c>
      <c r="N13" s="24" t="str">
        <f t="shared" si="5"/>
        <v>1 ± 0</v>
      </c>
      <c r="O13" s="24" t="str">
        <f t="shared" si="6"/>
        <v>100 ± 0</v>
      </c>
    </row>
    <row r="14" spans="1:24" x14ac:dyDescent="0.3">
      <c r="A14" s="99">
        <f t="shared" si="3"/>
        <v>12</v>
      </c>
      <c r="B14" s="70" t="e">
        <f>[1]Кг_s1!D13</f>
        <v>#DIV/0!</v>
      </c>
      <c r="C14" s="21" t="e">
        <f>[1]Кг_s1!I13</f>
        <v>#DIV/0!</v>
      </c>
      <c r="D14" s="22">
        <f>[2]Кг_s1!B13</f>
        <v>0</v>
      </c>
      <c r="E14" s="22">
        <f>[2]Кг_s1!$C$2</f>
        <v>1E-3</v>
      </c>
      <c r="F14" s="22" t="e">
        <f t="shared" si="4"/>
        <v>#DIV/0!</v>
      </c>
      <c r="G14" s="22" t="e">
        <f t="shared" si="0"/>
        <v>#DIV/0!</v>
      </c>
      <c r="J14" s="23" t="e">
        <f t="shared" si="1"/>
        <v>#DIV/0!</v>
      </c>
      <c r="K14" s="23" t="e">
        <f t="shared" si="2"/>
        <v>#DIV/0!</v>
      </c>
      <c r="N14" s="24" t="e">
        <f t="shared" si="5"/>
        <v>#DIV/0!</v>
      </c>
      <c r="O14" s="24" t="e">
        <f t="shared" si="6"/>
        <v>#DIV/0!</v>
      </c>
      <c r="P14" s="30"/>
    </row>
    <row r="15" spans="1:24" x14ac:dyDescent="0.3">
      <c r="A15" s="99">
        <f t="shared" si="3"/>
        <v>13</v>
      </c>
      <c r="B15" s="70" t="e">
        <f>[1]Кг_s1!D14</f>
        <v>#DIV/0!</v>
      </c>
      <c r="C15" s="21" t="e">
        <f>[1]Кг_s1!I14</f>
        <v>#DIV/0!</v>
      </c>
      <c r="D15" s="22">
        <f>[2]Кг_s1!B14</f>
        <v>0</v>
      </c>
      <c r="E15" s="22">
        <f>[2]Кг_s1!$C$2</f>
        <v>1E-3</v>
      </c>
      <c r="F15" s="22" t="e">
        <f t="shared" si="4"/>
        <v>#DIV/0!</v>
      </c>
      <c r="G15" s="22" t="e">
        <f t="shared" si="0"/>
        <v>#DIV/0!</v>
      </c>
      <c r="J15" s="23" t="e">
        <f t="shared" si="1"/>
        <v>#DIV/0!</v>
      </c>
      <c r="K15" s="23" t="e">
        <f t="shared" si="2"/>
        <v>#DIV/0!</v>
      </c>
      <c r="N15" s="24" t="e">
        <f t="shared" si="5"/>
        <v>#DIV/0!</v>
      </c>
      <c r="O15" s="24" t="e">
        <f t="shared" si="6"/>
        <v>#DIV/0!</v>
      </c>
      <c r="Q15" s="30"/>
    </row>
    <row r="16" spans="1:24" x14ac:dyDescent="0.3">
      <c r="A16" s="99">
        <f t="shared" si="3"/>
        <v>14</v>
      </c>
      <c r="B16" s="70" t="e">
        <f>[1]Кг_s1!D15</f>
        <v>#DIV/0!</v>
      </c>
      <c r="C16" s="21" t="e">
        <f>[1]Кг_s1!I15</f>
        <v>#DIV/0!</v>
      </c>
      <c r="D16" s="22">
        <f>[2]Кг_s1!B15</f>
        <v>0</v>
      </c>
      <c r="E16" s="22">
        <f>[2]Кг_s1!$C$2</f>
        <v>1E-3</v>
      </c>
      <c r="F16" s="22" t="e">
        <f t="shared" si="4"/>
        <v>#DIV/0!</v>
      </c>
      <c r="G16" s="22" t="e">
        <f t="shared" si="0"/>
        <v>#DIV/0!</v>
      </c>
      <c r="J16" s="23" t="e">
        <f t="shared" si="1"/>
        <v>#DIV/0!</v>
      </c>
      <c r="K16" s="23" t="e">
        <f t="shared" si="2"/>
        <v>#DIV/0!</v>
      </c>
      <c r="N16" s="24" t="e">
        <f t="shared" si="5"/>
        <v>#DIV/0!</v>
      </c>
      <c r="O16" s="24" t="e">
        <f t="shared" si="6"/>
        <v>#DIV/0!</v>
      </c>
      <c r="Q16" s="97"/>
    </row>
    <row r="17" spans="1:15" x14ac:dyDescent="0.3">
      <c r="A17" s="99">
        <f t="shared" si="3"/>
        <v>15</v>
      </c>
      <c r="B17" s="70" t="e">
        <f>[1]Кг_s1!D16</f>
        <v>#DIV/0!</v>
      </c>
      <c r="C17" s="21" t="e">
        <f>[1]Кг_s1!I16</f>
        <v>#DIV/0!</v>
      </c>
      <c r="D17" s="22">
        <f>[2]Кг_s1!B16</f>
        <v>0</v>
      </c>
      <c r="E17" s="22">
        <f>[2]Кг_s1!$C$2</f>
        <v>1E-3</v>
      </c>
      <c r="F17" s="22" t="e">
        <f t="shared" si="4"/>
        <v>#DIV/0!</v>
      </c>
      <c r="G17" s="22" t="e">
        <f t="shared" si="0"/>
        <v>#DIV/0!</v>
      </c>
      <c r="J17" s="23" t="e">
        <f t="shared" si="1"/>
        <v>#DIV/0!</v>
      </c>
      <c r="K17" s="23" t="e">
        <f t="shared" si="2"/>
        <v>#DIV/0!</v>
      </c>
      <c r="N17" s="24" t="e">
        <f t="shared" si="5"/>
        <v>#DIV/0!</v>
      </c>
      <c r="O17" s="24" t="e">
        <f t="shared" si="6"/>
        <v>#DIV/0!</v>
      </c>
    </row>
    <row r="18" spans="1:15" x14ac:dyDescent="0.3">
      <c r="A18" s="100">
        <f t="shared" si="3"/>
        <v>16</v>
      </c>
      <c r="B18" s="70">
        <f>[1]Кг_s1!D17</f>
        <v>0.93407780964224163</v>
      </c>
      <c r="C18" s="21">
        <f>[1]Кг_s1!I17</f>
        <v>0.27029839581291781</v>
      </c>
      <c r="D18" s="22">
        <f>[2]Кг_s1!B17</f>
        <v>0.5</v>
      </c>
      <c r="E18" s="22">
        <f>[2]Кг_s1!$C$2</f>
        <v>1E-3</v>
      </c>
      <c r="F18" s="22" t="str">
        <f t="shared" si="4"/>
        <v>0,435 ± 0,27</v>
      </c>
      <c r="G18" s="22" t="str">
        <f t="shared" si="0"/>
        <v>46,472 ± 28,831</v>
      </c>
      <c r="J18" s="23" t="str">
        <f t="shared" si="1"/>
        <v>0,935 ± 0,271</v>
      </c>
      <c r="K18" s="23" t="str">
        <f t="shared" si="2"/>
        <v>100 ± 28,938</v>
      </c>
      <c r="N18" s="24" t="str">
        <f t="shared" si="5"/>
        <v>0,935 ± 0,271</v>
      </c>
      <c r="O18" s="24" t="str">
        <f t="shared" si="6"/>
        <v>100 ± 28,938</v>
      </c>
    </row>
    <row r="19" spans="1:15" x14ac:dyDescent="0.3">
      <c r="A19" s="99">
        <f t="shared" si="3"/>
        <v>17</v>
      </c>
      <c r="B19" s="70" t="e">
        <f>[1]Кг_s1!D18</f>
        <v>#DIV/0!</v>
      </c>
      <c r="C19" s="21" t="e">
        <f>[1]Кг_s1!I18</f>
        <v>#DIV/0!</v>
      </c>
      <c r="D19" s="22">
        <f>[2]Кг_s1!B18</f>
        <v>0</v>
      </c>
      <c r="E19" s="22">
        <f>[2]Кг_s1!$C$2</f>
        <v>1E-3</v>
      </c>
      <c r="F19" s="22" t="e">
        <f t="shared" si="4"/>
        <v>#DIV/0!</v>
      </c>
      <c r="G19" s="22" t="e">
        <f t="shared" si="0"/>
        <v>#DIV/0!</v>
      </c>
      <c r="J19" s="23" t="e">
        <f t="shared" si="1"/>
        <v>#DIV/0!</v>
      </c>
      <c r="K19" s="23" t="e">
        <f t="shared" si="2"/>
        <v>#DIV/0!</v>
      </c>
      <c r="N19" s="24" t="e">
        <f t="shared" si="5"/>
        <v>#DIV/0!</v>
      </c>
      <c r="O19" s="24" t="e">
        <f t="shared" si="6"/>
        <v>#DIV/0!</v>
      </c>
    </row>
    <row r="20" spans="1:15" x14ac:dyDescent="0.3">
      <c r="A20" s="99">
        <f t="shared" si="3"/>
        <v>18</v>
      </c>
      <c r="B20" s="70" t="e">
        <f>[1]Кг_s1!D19</f>
        <v>#DIV/0!</v>
      </c>
      <c r="C20" s="21" t="e">
        <f>[1]Кг_s1!I19</f>
        <v>#DIV/0!</v>
      </c>
      <c r="D20" s="22">
        <f>[2]Кг_s1!B19</f>
        <v>0</v>
      </c>
      <c r="E20" s="22">
        <f>[2]Кг_s1!$C$2</f>
        <v>1E-3</v>
      </c>
      <c r="F20" s="22" t="e">
        <f t="shared" si="4"/>
        <v>#DIV/0!</v>
      </c>
      <c r="G20" s="22" t="e">
        <f t="shared" si="0"/>
        <v>#DIV/0!</v>
      </c>
      <c r="J20" s="23" t="e">
        <f t="shared" si="1"/>
        <v>#DIV/0!</v>
      </c>
      <c r="K20" s="23" t="e">
        <f t="shared" si="2"/>
        <v>#DIV/0!</v>
      </c>
      <c r="N20" s="24" t="e">
        <f t="shared" si="5"/>
        <v>#DIV/0!</v>
      </c>
      <c r="O20" s="24" t="e">
        <f t="shared" si="6"/>
        <v>#DIV/0!</v>
      </c>
    </row>
    <row r="21" spans="1:15" x14ac:dyDescent="0.3">
      <c r="A21" s="99">
        <f t="shared" si="3"/>
        <v>19</v>
      </c>
      <c r="B21" s="70" t="e">
        <f>[1]Кг_s1!D20</f>
        <v>#DIV/0!</v>
      </c>
      <c r="C21" s="21" t="e">
        <f>[1]Кг_s1!I20</f>
        <v>#DIV/0!</v>
      </c>
      <c r="D21" s="22">
        <f>[2]Кг_s1!B20</f>
        <v>0</v>
      </c>
      <c r="E21" s="22">
        <f>[2]Кг_s1!$C$2</f>
        <v>1E-3</v>
      </c>
      <c r="F21" s="22" t="e">
        <f t="shared" si="4"/>
        <v>#DIV/0!</v>
      </c>
      <c r="G21" s="22" t="e">
        <f t="shared" si="0"/>
        <v>#DIV/0!</v>
      </c>
      <c r="J21" s="23" t="e">
        <f t="shared" si="1"/>
        <v>#DIV/0!</v>
      </c>
      <c r="K21" s="23" t="e">
        <f t="shared" si="2"/>
        <v>#DIV/0!</v>
      </c>
      <c r="N21" s="24" t="e">
        <f t="shared" si="5"/>
        <v>#DIV/0!</v>
      </c>
      <c r="O21" s="24" t="e">
        <f t="shared" si="6"/>
        <v>#DIV/0!</v>
      </c>
    </row>
    <row r="22" spans="1:15" x14ac:dyDescent="0.3">
      <c r="A22" s="99">
        <f t="shared" si="3"/>
        <v>20</v>
      </c>
      <c r="B22" s="70" t="e">
        <f>[1]Кг_s1!D21</f>
        <v>#DIV/0!</v>
      </c>
      <c r="C22" s="21" t="e">
        <f>[1]Кг_s1!I21</f>
        <v>#DIV/0!</v>
      </c>
      <c r="D22" s="22">
        <f>[2]Кг_s1!B21</f>
        <v>0</v>
      </c>
      <c r="E22" s="22">
        <f>[2]Кг_s1!$C$2</f>
        <v>1E-3</v>
      </c>
      <c r="F22" s="22" t="e">
        <f t="shared" si="4"/>
        <v>#DIV/0!</v>
      </c>
      <c r="G22" s="22" t="e">
        <f t="shared" si="0"/>
        <v>#DIV/0!</v>
      </c>
      <c r="J22" s="23" t="e">
        <f t="shared" si="1"/>
        <v>#DIV/0!</v>
      </c>
      <c r="K22" s="23" t="e">
        <f t="shared" si="2"/>
        <v>#DIV/0!</v>
      </c>
      <c r="N22" s="24" t="e">
        <f t="shared" si="5"/>
        <v>#DIV/0!</v>
      </c>
      <c r="O22" s="24" t="e">
        <f t="shared" si="6"/>
        <v>#DIV/0!</v>
      </c>
    </row>
    <row r="23" spans="1:15" x14ac:dyDescent="0.3">
      <c r="A23" s="100">
        <f t="shared" si="3"/>
        <v>21</v>
      </c>
      <c r="B23" s="70">
        <f>[1]Кг_s1!D22</f>
        <v>0.98406122288656095</v>
      </c>
      <c r="C23" s="21">
        <f>[1]Кг_s1!I22</f>
        <v>3.792456734900173E-2</v>
      </c>
      <c r="D23" s="22">
        <f>[2]Кг_s1!B22</f>
        <v>0.5</v>
      </c>
      <c r="E23" s="22">
        <f>[2]Кг_s1!$C$2</f>
        <v>1E-3</v>
      </c>
      <c r="F23" s="22" t="str">
        <f t="shared" si="4"/>
        <v>0,485 ± 0,037</v>
      </c>
      <c r="G23" s="22" t="str">
        <f t="shared" si="0"/>
        <v>49,191 ± 3,753</v>
      </c>
      <c r="J23" s="23" t="str">
        <f t="shared" si="1"/>
        <v>0,985 ± 0,038</v>
      </c>
      <c r="K23" s="23" t="str">
        <f t="shared" si="2"/>
        <v>100 ± 3,854</v>
      </c>
      <c r="N23" s="24" t="str">
        <f t="shared" si="5"/>
        <v>0,985 ± 0,038</v>
      </c>
      <c r="O23" s="24" t="str">
        <f t="shared" si="6"/>
        <v>100 ± 3,854</v>
      </c>
    </row>
    <row r="24" spans="1:15" x14ac:dyDescent="0.3">
      <c r="A24" s="67">
        <f t="shared" si="3"/>
        <v>22</v>
      </c>
      <c r="B24" s="70" t="e">
        <f>[1]Кг_s1!D23</f>
        <v>#DIV/0!</v>
      </c>
      <c r="C24" s="21" t="e">
        <f>[1]Кг_s1!I23</f>
        <v>#DIV/0!</v>
      </c>
      <c r="D24" s="22">
        <f>[2]Кг_s1!B23</f>
        <v>0</v>
      </c>
      <c r="E24" s="22">
        <f>[2]Кг_s1!$C$2</f>
        <v>1E-3</v>
      </c>
      <c r="F24" s="22" t="e">
        <f t="shared" si="4"/>
        <v>#DIV/0!</v>
      </c>
      <c r="G24" s="22" t="e">
        <f t="shared" si="0"/>
        <v>#DIV/0!</v>
      </c>
      <c r="J24" s="23" t="e">
        <f t="shared" si="1"/>
        <v>#DIV/0!</v>
      </c>
      <c r="K24" s="23" t="e">
        <f t="shared" si="2"/>
        <v>#DIV/0!</v>
      </c>
      <c r="N24" s="24" t="e">
        <f t="shared" si="5"/>
        <v>#DIV/0!</v>
      </c>
      <c r="O24" s="24" t="e">
        <f t="shared" si="6"/>
        <v>#DIV/0!</v>
      </c>
    </row>
    <row r="25" spans="1:15" x14ac:dyDescent="0.3">
      <c r="A25" s="67">
        <f t="shared" si="3"/>
        <v>23</v>
      </c>
      <c r="B25" s="70" t="e">
        <f>[1]Кг_s1!D24</f>
        <v>#DIV/0!</v>
      </c>
      <c r="C25" s="21" t="e">
        <f>[1]Кг_s1!I24</f>
        <v>#DIV/0!</v>
      </c>
      <c r="D25" s="22">
        <f>[2]Кг_s1!B24</f>
        <v>0</v>
      </c>
      <c r="E25" s="22">
        <f>[2]Кг_s1!$C$2</f>
        <v>1E-3</v>
      </c>
      <c r="F25" s="22" t="e">
        <f t="shared" si="4"/>
        <v>#DIV/0!</v>
      </c>
      <c r="G25" s="22" t="e">
        <f t="shared" si="0"/>
        <v>#DIV/0!</v>
      </c>
      <c r="J25" s="23" t="e">
        <f t="shared" si="1"/>
        <v>#DIV/0!</v>
      </c>
      <c r="K25" s="23" t="e">
        <f t="shared" si="2"/>
        <v>#DIV/0!</v>
      </c>
      <c r="N25" s="24" t="e">
        <f t="shared" si="5"/>
        <v>#DIV/0!</v>
      </c>
      <c r="O25" s="24" t="e">
        <f t="shared" si="6"/>
        <v>#DIV/0!</v>
      </c>
    </row>
    <row r="26" spans="1:15" x14ac:dyDescent="0.3">
      <c r="A26" s="67">
        <f t="shared" si="3"/>
        <v>24</v>
      </c>
      <c r="B26" s="70" t="e">
        <f>[1]Кг_s1!D25</f>
        <v>#DIV/0!</v>
      </c>
      <c r="C26" s="21" t="e">
        <f>[1]Кг_s1!I25</f>
        <v>#DIV/0!</v>
      </c>
      <c r="D26" s="22">
        <f>[2]Кг_s1!B25</f>
        <v>0</v>
      </c>
      <c r="E26" s="22">
        <f>[2]Кг_s1!$C$2</f>
        <v>1E-3</v>
      </c>
      <c r="F26" s="22" t="e">
        <f t="shared" si="4"/>
        <v>#DIV/0!</v>
      </c>
      <c r="G26" s="22" t="e">
        <f t="shared" si="0"/>
        <v>#DIV/0!</v>
      </c>
      <c r="J26" s="23" t="e">
        <f t="shared" si="1"/>
        <v>#DIV/0!</v>
      </c>
      <c r="K26" s="23" t="e">
        <f t="shared" si="2"/>
        <v>#DIV/0!</v>
      </c>
      <c r="N26" s="24" t="e">
        <f t="shared" si="5"/>
        <v>#DIV/0!</v>
      </c>
      <c r="O26" s="24" t="e">
        <f t="shared" si="6"/>
        <v>#DIV/0!</v>
      </c>
    </row>
    <row r="27" spans="1:15" x14ac:dyDescent="0.3">
      <c r="A27" s="67">
        <f t="shared" si="3"/>
        <v>25</v>
      </c>
      <c r="B27" s="70" t="e">
        <f>[1]Кг_s1!D26</f>
        <v>#DIV/0!</v>
      </c>
      <c r="C27" s="21" t="e">
        <f>[1]Кг_s1!I26</f>
        <v>#DIV/0!</v>
      </c>
      <c r="D27" s="22">
        <f>[2]Кг_s1!B26</f>
        <v>0</v>
      </c>
      <c r="E27" s="22">
        <f>[2]Кг_s1!$C$2</f>
        <v>1E-3</v>
      </c>
      <c r="F27" s="22" t="e">
        <f t="shared" si="4"/>
        <v>#DIV/0!</v>
      </c>
      <c r="G27" s="22" t="e">
        <f t="shared" si="0"/>
        <v>#DIV/0!</v>
      </c>
      <c r="J27" s="23" t="e">
        <f t="shared" si="1"/>
        <v>#DIV/0!</v>
      </c>
      <c r="K27" s="23" t="e">
        <f t="shared" si="2"/>
        <v>#DIV/0!</v>
      </c>
      <c r="N27" s="24" t="e">
        <f t="shared" si="5"/>
        <v>#DIV/0!</v>
      </c>
      <c r="O27" s="24" t="e">
        <f t="shared" si="6"/>
        <v>#DIV/0!</v>
      </c>
    </row>
    <row r="28" spans="1:15" x14ac:dyDescent="0.3">
      <c r="A28" s="100">
        <f t="shared" si="3"/>
        <v>26</v>
      </c>
      <c r="B28" s="70">
        <f>[1]Кг_s1!D27</f>
        <v>0.99509801661048369</v>
      </c>
      <c r="C28" s="21">
        <f>[1]Кг_s1!I27</f>
        <v>2.1409305045132269E-2</v>
      </c>
      <c r="D28" s="22">
        <f>[2]Кг_s1!B27</f>
        <v>0.5</v>
      </c>
      <c r="E28" s="22">
        <f>[2]Кг_s1!$C$2</f>
        <v>1E-3</v>
      </c>
      <c r="F28" s="22" t="str">
        <f t="shared" si="4"/>
        <v>0,496 ± 0,021</v>
      </c>
      <c r="G28" s="22" t="str">
        <f t="shared" si="0"/>
        <v>49,754 ± 2,051</v>
      </c>
      <c r="J28" s="23" t="str">
        <f t="shared" si="1"/>
        <v>0,996 ± 0,022</v>
      </c>
      <c r="K28" s="23" t="str">
        <f t="shared" si="2"/>
        <v>100 ± 2,152</v>
      </c>
      <c r="N28" s="24" t="str">
        <f t="shared" si="5"/>
        <v>0,996 ± 0,022</v>
      </c>
      <c r="O28" s="24" t="str">
        <f t="shared" si="6"/>
        <v>100 ± 2,152</v>
      </c>
    </row>
    <row r="29" spans="1:15" x14ac:dyDescent="0.3">
      <c r="A29" s="67">
        <f t="shared" si="3"/>
        <v>27</v>
      </c>
      <c r="B29" s="70" t="e">
        <f>[1]Кг_s1!D28</f>
        <v>#DIV/0!</v>
      </c>
      <c r="C29" s="21" t="e">
        <f>[1]Кг_s1!I28</f>
        <v>#DIV/0!</v>
      </c>
      <c r="D29" s="22">
        <f>[2]Кг_s1!B28</f>
        <v>0</v>
      </c>
      <c r="E29" s="22">
        <f>[2]Кг_s1!$C$2</f>
        <v>1E-3</v>
      </c>
      <c r="F29" s="22" t="e">
        <f t="shared" si="4"/>
        <v>#DIV/0!</v>
      </c>
      <c r="G29" s="22" t="e">
        <f t="shared" si="0"/>
        <v>#DIV/0!</v>
      </c>
      <c r="J29" s="23" t="e">
        <f t="shared" si="1"/>
        <v>#DIV/0!</v>
      </c>
      <c r="K29" s="23" t="e">
        <f t="shared" si="2"/>
        <v>#DIV/0!</v>
      </c>
      <c r="N29" s="24" t="e">
        <f t="shared" si="5"/>
        <v>#DIV/0!</v>
      </c>
      <c r="O29" s="24" t="e">
        <f t="shared" si="6"/>
        <v>#DIV/0!</v>
      </c>
    </row>
    <row r="30" spans="1:15" x14ac:dyDescent="0.3">
      <c r="A30" s="67">
        <f t="shared" si="3"/>
        <v>28</v>
      </c>
      <c r="B30" s="70" t="e">
        <f>[1]Кг_s1!D29</f>
        <v>#DIV/0!</v>
      </c>
      <c r="C30" s="21" t="e">
        <f>[1]Кг_s1!I29</f>
        <v>#DIV/0!</v>
      </c>
      <c r="D30" s="22">
        <f>[2]Кг_s1!B29</f>
        <v>0</v>
      </c>
      <c r="E30" s="22">
        <f>[2]Кг_s1!$C$2</f>
        <v>1E-3</v>
      </c>
      <c r="F30" s="22" t="e">
        <f t="shared" si="4"/>
        <v>#DIV/0!</v>
      </c>
      <c r="G30" s="22" t="e">
        <f t="shared" si="0"/>
        <v>#DIV/0!</v>
      </c>
      <c r="J30" s="23" t="e">
        <f t="shared" si="1"/>
        <v>#DIV/0!</v>
      </c>
      <c r="K30" s="23" t="e">
        <f t="shared" si="2"/>
        <v>#DIV/0!</v>
      </c>
      <c r="N30" s="24" t="e">
        <f t="shared" si="5"/>
        <v>#DIV/0!</v>
      </c>
      <c r="O30" s="24" t="e">
        <f t="shared" si="6"/>
        <v>#DIV/0!</v>
      </c>
    </row>
    <row r="31" spans="1:15" x14ac:dyDescent="0.3">
      <c r="A31" s="67">
        <f t="shared" si="3"/>
        <v>29</v>
      </c>
      <c r="B31" s="70" t="e">
        <f>[1]Кг_s1!D30</f>
        <v>#DIV/0!</v>
      </c>
      <c r="C31" s="21" t="e">
        <f>[1]Кг_s1!I30</f>
        <v>#DIV/0!</v>
      </c>
      <c r="D31" s="22">
        <f>[2]Кг_s1!B30</f>
        <v>0</v>
      </c>
      <c r="E31" s="22">
        <f>[2]Кг_s1!$C$2</f>
        <v>1E-3</v>
      </c>
      <c r="F31" s="22" t="e">
        <f t="shared" si="4"/>
        <v>#DIV/0!</v>
      </c>
      <c r="G31" s="22" t="e">
        <f t="shared" si="0"/>
        <v>#DIV/0!</v>
      </c>
      <c r="J31" s="23" t="e">
        <f t="shared" si="1"/>
        <v>#DIV/0!</v>
      </c>
      <c r="K31" s="23" t="e">
        <f t="shared" si="2"/>
        <v>#DIV/0!</v>
      </c>
      <c r="N31" s="24" t="e">
        <f t="shared" si="5"/>
        <v>#DIV/0!</v>
      </c>
      <c r="O31" s="24" t="e">
        <f t="shared" si="6"/>
        <v>#DIV/0!</v>
      </c>
    </row>
    <row r="32" spans="1:15" x14ac:dyDescent="0.3">
      <c r="A32" s="67">
        <f t="shared" si="3"/>
        <v>30</v>
      </c>
      <c r="B32" s="70" t="e">
        <f>[1]Кг_s1!D31</f>
        <v>#DIV/0!</v>
      </c>
      <c r="C32" s="21" t="e">
        <f>[1]Кг_s1!I31</f>
        <v>#DIV/0!</v>
      </c>
      <c r="D32" s="22">
        <f>[2]Кг_s1!B31</f>
        <v>0</v>
      </c>
      <c r="E32" s="22">
        <f>[2]Кг_s1!$C$2</f>
        <v>1E-3</v>
      </c>
      <c r="F32" s="22" t="e">
        <f t="shared" si="4"/>
        <v>#DIV/0!</v>
      </c>
      <c r="G32" s="22" t="e">
        <f t="shared" si="0"/>
        <v>#DIV/0!</v>
      </c>
      <c r="J32" s="23" t="e">
        <f t="shared" si="1"/>
        <v>#DIV/0!</v>
      </c>
      <c r="K32" s="23" t="e">
        <f t="shared" si="2"/>
        <v>#DIV/0!</v>
      </c>
      <c r="N32" s="24" t="e">
        <f t="shared" si="5"/>
        <v>#DIV/0!</v>
      </c>
      <c r="O32" s="24" t="e">
        <f t="shared" si="6"/>
        <v>#DIV/0!</v>
      </c>
    </row>
    <row r="33" spans="1:15" x14ac:dyDescent="0.3">
      <c r="A33" s="100">
        <f t="shared" si="3"/>
        <v>31</v>
      </c>
      <c r="B33" s="70">
        <f>[1]Кг_s1!D32</f>
        <v>0.99233058249835704</v>
      </c>
      <c r="C33" s="21">
        <f>[1]Кг_s1!I32</f>
        <v>3.3408837392875514E-2</v>
      </c>
      <c r="D33" s="22">
        <f>[2]Кг_s1!B32</f>
        <v>0.5</v>
      </c>
      <c r="E33" s="22">
        <f>[2]Кг_s1!$C$2</f>
        <v>1E-3</v>
      </c>
      <c r="F33" s="22" t="str">
        <f t="shared" si="4"/>
        <v>0,493 ± 0,033</v>
      </c>
      <c r="G33" s="22" t="str">
        <f t="shared" si="0"/>
        <v>49,614 ± 3,266</v>
      </c>
      <c r="J33" s="23" t="str">
        <f t="shared" si="1"/>
        <v>0,993 ± 0,034</v>
      </c>
      <c r="K33" s="23" t="str">
        <f t="shared" si="2"/>
        <v>100 ± 3,367</v>
      </c>
      <c r="N33" s="24" t="str">
        <f t="shared" si="5"/>
        <v>0,993 ± 0,034</v>
      </c>
      <c r="O33" s="24" t="str">
        <f t="shared" si="6"/>
        <v>100 ± 3,367</v>
      </c>
    </row>
    <row r="34" spans="1:15" x14ac:dyDescent="0.3">
      <c r="A34" s="67">
        <f t="shared" si="3"/>
        <v>32</v>
      </c>
      <c r="B34" s="70" t="e">
        <f>[1]Кг_s1!D33</f>
        <v>#DIV/0!</v>
      </c>
      <c r="C34" s="21" t="e">
        <f>[1]Кг_s1!I33</f>
        <v>#DIV/0!</v>
      </c>
      <c r="D34" s="22">
        <f>[2]Кг_s1!B33</f>
        <v>0</v>
      </c>
      <c r="E34" s="22">
        <f>[2]Кг_s1!$C$2</f>
        <v>1E-3</v>
      </c>
      <c r="F34" s="22" t="e">
        <f t="shared" si="4"/>
        <v>#DIV/0!</v>
      </c>
      <c r="G34" s="22" t="e">
        <f t="shared" si="0"/>
        <v>#DIV/0!</v>
      </c>
      <c r="J34" s="23" t="e">
        <f t="shared" si="1"/>
        <v>#DIV/0!</v>
      </c>
      <c r="K34" s="23" t="e">
        <f t="shared" si="2"/>
        <v>#DIV/0!</v>
      </c>
      <c r="N34" s="24" t="e">
        <f t="shared" si="5"/>
        <v>#DIV/0!</v>
      </c>
      <c r="O34" s="24" t="e">
        <f t="shared" si="6"/>
        <v>#DIV/0!</v>
      </c>
    </row>
    <row r="35" spans="1:15" x14ac:dyDescent="0.3">
      <c r="A35" s="67">
        <f t="shared" si="3"/>
        <v>33</v>
      </c>
      <c r="B35" s="70" t="e">
        <f>[1]Кг_s1!D34</f>
        <v>#DIV/0!</v>
      </c>
      <c r="C35" s="21" t="e">
        <f>[1]Кг_s1!I34</f>
        <v>#DIV/0!</v>
      </c>
      <c r="D35" s="22">
        <f>[2]Кг_s1!B34</f>
        <v>0</v>
      </c>
      <c r="E35" s="22">
        <f>[2]Кг_s1!$C$2</f>
        <v>1E-3</v>
      </c>
      <c r="F35" s="22" t="e">
        <f t="shared" si="4"/>
        <v>#DIV/0!</v>
      </c>
      <c r="G35" s="22" t="e">
        <f t="shared" si="0"/>
        <v>#DIV/0!</v>
      </c>
      <c r="J35" s="23" t="e">
        <f t="shared" si="1"/>
        <v>#DIV/0!</v>
      </c>
      <c r="K35" s="23" t="e">
        <f t="shared" si="2"/>
        <v>#DIV/0!</v>
      </c>
      <c r="N35" s="24" t="e">
        <f t="shared" si="5"/>
        <v>#DIV/0!</v>
      </c>
      <c r="O35" s="24" t="e">
        <f t="shared" si="6"/>
        <v>#DIV/0!</v>
      </c>
    </row>
    <row r="36" spans="1:15" x14ac:dyDescent="0.3">
      <c r="A36" s="67">
        <f t="shared" si="3"/>
        <v>34</v>
      </c>
      <c r="B36" s="70" t="e">
        <f>[1]Кг_s1!D35</f>
        <v>#DIV/0!</v>
      </c>
      <c r="C36" s="21" t="e">
        <f>[1]Кг_s1!I35</f>
        <v>#DIV/0!</v>
      </c>
      <c r="D36" s="22">
        <f>[2]Кг_s1!B35</f>
        <v>0</v>
      </c>
      <c r="E36" s="22">
        <f>[2]Кг_s1!$C$2</f>
        <v>1E-3</v>
      </c>
      <c r="F36" s="22" t="e">
        <f t="shared" si="4"/>
        <v>#DIV/0!</v>
      </c>
      <c r="G36" s="22" t="e">
        <f t="shared" si="0"/>
        <v>#DIV/0!</v>
      </c>
      <c r="J36" s="23" t="e">
        <f t="shared" si="1"/>
        <v>#DIV/0!</v>
      </c>
      <c r="K36" s="23" t="e">
        <f t="shared" si="2"/>
        <v>#DIV/0!</v>
      </c>
      <c r="N36" s="24" t="e">
        <f t="shared" si="5"/>
        <v>#DIV/0!</v>
      </c>
      <c r="O36" s="24" t="e">
        <f t="shared" si="6"/>
        <v>#DIV/0!</v>
      </c>
    </row>
    <row r="37" spans="1:15" x14ac:dyDescent="0.3">
      <c r="A37" s="67">
        <f t="shared" si="3"/>
        <v>35</v>
      </c>
      <c r="B37" s="70" t="e">
        <f>[1]Кг_s1!D36</f>
        <v>#DIV/0!</v>
      </c>
      <c r="C37" s="21" t="e">
        <f>[1]Кг_s1!I36</f>
        <v>#DIV/0!</v>
      </c>
      <c r="D37" s="22">
        <f>[2]Кг_s1!B36</f>
        <v>0</v>
      </c>
      <c r="E37" s="22">
        <f>[2]Кг_s1!$C$2</f>
        <v>1E-3</v>
      </c>
      <c r="F37" s="22" t="e">
        <f t="shared" si="4"/>
        <v>#DIV/0!</v>
      </c>
      <c r="G37" s="22" t="e">
        <f t="shared" si="0"/>
        <v>#DIV/0!</v>
      </c>
      <c r="J37" s="23" t="e">
        <f t="shared" si="1"/>
        <v>#DIV/0!</v>
      </c>
      <c r="K37" s="23" t="e">
        <f t="shared" si="2"/>
        <v>#DIV/0!</v>
      </c>
      <c r="N37" s="24" t="e">
        <f t="shared" si="5"/>
        <v>#DIV/0!</v>
      </c>
      <c r="O37" s="24" t="e">
        <f t="shared" si="6"/>
        <v>#DIV/0!</v>
      </c>
    </row>
    <row r="38" spans="1:15" x14ac:dyDescent="0.3">
      <c r="A38" s="100">
        <f t="shared" si="3"/>
        <v>36</v>
      </c>
      <c r="B38" s="70">
        <f>[1]Кг_s1!D37</f>
        <v>0.96625504971354281</v>
      </c>
      <c r="C38" s="21">
        <f>[1]Кг_s1!I37</f>
        <v>8.8082117426413389E-3</v>
      </c>
      <c r="D38" s="22">
        <f>[2]Кг_s1!B37</f>
        <v>0.5</v>
      </c>
      <c r="E38" s="22">
        <f>[2]Кг_s1!$C$2</f>
        <v>1E-3</v>
      </c>
      <c r="F38" s="22" t="str">
        <f t="shared" si="4"/>
        <v>0,467 ± 0,008</v>
      </c>
      <c r="G38" s="22" t="str">
        <f t="shared" si="0"/>
        <v>48,254 ± 0,809</v>
      </c>
      <c r="J38" s="23" t="str">
        <f t="shared" si="1"/>
        <v>0,967 ± 0,009</v>
      </c>
      <c r="K38" s="23" t="str">
        <f t="shared" si="2"/>
        <v>100 ± 0,912</v>
      </c>
      <c r="N38" s="24" t="str">
        <f t="shared" si="5"/>
        <v>0,967 ± 0,009</v>
      </c>
      <c r="O38" s="24" t="str">
        <f t="shared" si="6"/>
        <v>100 ± 0,912</v>
      </c>
    </row>
    <row r="39" spans="1:15" x14ac:dyDescent="0.3">
      <c r="A39" s="67">
        <f t="shared" si="3"/>
        <v>37</v>
      </c>
      <c r="B39" s="70" t="e">
        <f>[1]Кг_s1!D38</f>
        <v>#DIV/0!</v>
      </c>
      <c r="C39" s="21" t="e">
        <f>[1]Кг_s1!I38</f>
        <v>#DIV/0!</v>
      </c>
      <c r="D39" s="22">
        <f>[2]Кг_s1!B38</f>
        <v>0</v>
      </c>
      <c r="E39" s="22">
        <f>[2]Кг_s1!$C$2</f>
        <v>1E-3</v>
      </c>
      <c r="F39" s="22" t="e">
        <f t="shared" si="4"/>
        <v>#DIV/0!</v>
      </c>
      <c r="G39" s="22" t="e">
        <f t="shared" si="0"/>
        <v>#DIV/0!</v>
      </c>
      <c r="J39" s="23" t="e">
        <f t="shared" si="1"/>
        <v>#DIV/0!</v>
      </c>
      <c r="K39" s="23" t="e">
        <f t="shared" si="2"/>
        <v>#DIV/0!</v>
      </c>
      <c r="N39" s="24" t="e">
        <f t="shared" si="5"/>
        <v>#DIV/0!</v>
      </c>
      <c r="O39" s="24" t="e">
        <f t="shared" si="6"/>
        <v>#DIV/0!</v>
      </c>
    </row>
    <row r="40" spans="1:15" x14ac:dyDescent="0.3">
      <c r="A40" s="67">
        <f t="shared" si="3"/>
        <v>38</v>
      </c>
      <c r="B40" s="70" t="e">
        <f>[1]Кг_s1!D39</f>
        <v>#DIV/0!</v>
      </c>
      <c r="C40" s="21" t="e">
        <f>[1]Кг_s1!I39</f>
        <v>#DIV/0!</v>
      </c>
      <c r="D40" s="22">
        <f>[2]Кг_s1!B39</f>
        <v>0</v>
      </c>
      <c r="E40" s="22">
        <f>[2]Кг_s1!$C$2</f>
        <v>1E-3</v>
      </c>
      <c r="F40" s="22" t="e">
        <f t="shared" si="4"/>
        <v>#DIV/0!</v>
      </c>
      <c r="G40" s="22" t="e">
        <f t="shared" si="0"/>
        <v>#DIV/0!</v>
      </c>
      <c r="J40" s="23" t="e">
        <f t="shared" si="1"/>
        <v>#DIV/0!</v>
      </c>
      <c r="K40" s="23" t="e">
        <f t="shared" si="2"/>
        <v>#DIV/0!</v>
      </c>
      <c r="N40" s="24" t="e">
        <f t="shared" si="5"/>
        <v>#DIV/0!</v>
      </c>
      <c r="O40" s="24" t="e">
        <f t="shared" si="6"/>
        <v>#DIV/0!</v>
      </c>
    </row>
    <row r="41" spans="1:15" x14ac:dyDescent="0.3">
      <c r="A41" s="67">
        <f t="shared" si="3"/>
        <v>39</v>
      </c>
      <c r="B41" s="70" t="e">
        <f>[1]Кг_s1!D40</f>
        <v>#DIV/0!</v>
      </c>
      <c r="C41" s="21" t="e">
        <f>[1]Кг_s1!I40</f>
        <v>#DIV/0!</v>
      </c>
      <c r="D41" s="22">
        <f>[2]Кг_s1!B40</f>
        <v>0</v>
      </c>
      <c r="E41" s="22">
        <f>[2]Кг_s1!$C$2</f>
        <v>1E-3</v>
      </c>
      <c r="F41" s="22" t="e">
        <f t="shared" si="4"/>
        <v>#DIV/0!</v>
      </c>
      <c r="G41" s="22" t="e">
        <f t="shared" si="0"/>
        <v>#DIV/0!</v>
      </c>
      <c r="J41" s="23" t="e">
        <f t="shared" si="1"/>
        <v>#DIV/0!</v>
      </c>
      <c r="K41" s="23" t="e">
        <f t="shared" si="2"/>
        <v>#DIV/0!</v>
      </c>
      <c r="N41" s="24" t="e">
        <f t="shared" si="5"/>
        <v>#DIV/0!</v>
      </c>
      <c r="O41" s="24" t="e">
        <f t="shared" si="6"/>
        <v>#DIV/0!</v>
      </c>
    </row>
    <row r="42" spans="1:15" x14ac:dyDescent="0.3">
      <c r="A42" s="67">
        <f t="shared" si="3"/>
        <v>40</v>
      </c>
      <c r="B42" s="70" t="e">
        <f>[1]Кг_s1!D41</f>
        <v>#DIV/0!</v>
      </c>
      <c r="C42" s="21" t="e">
        <f>[1]Кг_s1!I41</f>
        <v>#DIV/0!</v>
      </c>
      <c r="D42" s="22">
        <f>[2]Кг_s1!B41</f>
        <v>0</v>
      </c>
      <c r="E42" s="22">
        <f>[2]Кг_s1!$C$2</f>
        <v>1E-3</v>
      </c>
      <c r="F42" s="22" t="e">
        <f t="shared" si="4"/>
        <v>#DIV/0!</v>
      </c>
      <c r="G42" s="22" t="e">
        <f t="shared" si="0"/>
        <v>#DIV/0!</v>
      </c>
      <c r="J42" s="23" t="e">
        <f t="shared" si="1"/>
        <v>#DIV/0!</v>
      </c>
      <c r="K42" s="23" t="e">
        <f t="shared" si="2"/>
        <v>#DIV/0!</v>
      </c>
      <c r="N42" s="24" t="e">
        <f t="shared" si="5"/>
        <v>#DIV/0!</v>
      </c>
      <c r="O42" s="24" t="e">
        <f t="shared" si="6"/>
        <v>#DIV/0!</v>
      </c>
    </row>
    <row r="43" spans="1:15" x14ac:dyDescent="0.3">
      <c r="A43" s="100">
        <f t="shared" si="3"/>
        <v>41</v>
      </c>
      <c r="B43" s="70">
        <f>[1]Кг_s1!D42</f>
        <v>1</v>
      </c>
      <c r="C43" s="21">
        <f>[1]Кг_s1!I42</f>
        <v>0</v>
      </c>
      <c r="D43" s="22">
        <f>[2]Кг_s1!B42</f>
        <v>1</v>
      </c>
      <c r="E43" s="22">
        <f>[2]Кг_s1!$C$2</f>
        <v>1E-3</v>
      </c>
      <c r="F43" s="22" t="str">
        <f t="shared" si="4"/>
        <v>0 ± 0,001</v>
      </c>
      <c r="G43" s="22" t="str">
        <f t="shared" si="0"/>
        <v>0 ± 0,1</v>
      </c>
      <c r="J43" s="23" t="str">
        <f t="shared" si="1"/>
        <v>1 ± 0</v>
      </c>
      <c r="K43" s="23" t="str">
        <f t="shared" si="2"/>
        <v>100 ± 0</v>
      </c>
      <c r="N43" s="24" t="str">
        <f t="shared" si="5"/>
        <v>1 ± 0</v>
      </c>
      <c r="O43" s="24" t="str">
        <f t="shared" si="6"/>
        <v>100 ± 0</v>
      </c>
    </row>
    <row r="44" spans="1:15" x14ac:dyDescent="0.3">
      <c r="A44" s="99">
        <f t="shared" si="3"/>
        <v>42</v>
      </c>
      <c r="B44" s="70" t="e">
        <f>[1]Кг_s1!D43</f>
        <v>#DIV/0!</v>
      </c>
      <c r="C44" s="21" t="e">
        <f>[1]Кг_s1!I43</f>
        <v>#DIV/0!</v>
      </c>
      <c r="D44" s="22">
        <f>[2]Кг_s1!B43</f>
        <v>0</v>
      </c>
      <c r="E44" s="22">
        <f>[2]Кг_s1!$C$2</f>
        <v>1E-3</v>
      </c>
      <c r="F44" s="22" t="e">
        <f t="shared" si="4"/>
        <v>#DIV/0!</v>
      </c>
      <c r="G44" s="22" t="e">
        <f t="shared" si="0"/>
        <v>#DIV/0!</v>
      </c>
      <c r="J44" s="23" t="e">
        <f t="shared" si="1"/>
        <v>#DIV/0!</v>
      </c>
      <c r="K44" s="23" t="e">
        <f t="shared" si="2"/>
        <v>#DIV/0!</v>
      </c>
      <c r="N44" s="24" t="e">
        <f t="shared" si="5"/>
        <v>#DIV/0!</v>
      </c>
      <c r="O44" s="24" t="e">
        <f t="shared" si="6"/>
        <v>#DIV/0!</v>
      </c>
    </row>
    <row r="45" spans="1:15" x14ac:dyDescent="0.3">
      <c r="A45" s="99">
        <f t="shared" si="3"/>
        <v>43</v>
      </c>
      <c r="B45" s="70" t="e">
        <f>[1]Кг_s1!D44</f>
        <v>#DIV/0!</v>
      </c>
      <c r="C45" s="21" t="e">
        <f>[1]Кг_s1!I44</f>
        <v>#DIV/0!</v>
      </c>
      <c r="D45" s="22">
        <f>[2]Кг_s1!B44</f>
        <v>0</v>
      </c>
      <c r="E45" s="22">
        <f>[2]Кг_s1!$C$2</f>
        <v>1E-3</v>
      </c>
      <c r="F45" s="22" t="e">
        <f t="shared" si="4"/>
        <v>#DIV/0!</v>
      </c>
      <c r="G45" s="22" t="e">
        <f t="shared" si="0"/>
        <v>#DIV/0!</v>
      </c>
      <c r="J45" s="23" t="e">
        <f t="shared" si="1"/>
        <v>#DIV/0!</v>
      </c>
      <c r="K45" s="23" t="e">
        <f t="shared" si="2"/>
        <v>#DIV/0!</v>
      </c>
      <c r="N45" s="24" t="e">
        <f t="shared" si="5"/>
        <v>#DIV/0!</v>
      </c>
      <c r="O45" s="24" t="e">
        <f t="shared" si="6"/>
        <v>#DIV/0!</v>
      </c>
    </row>
    <row r="46" spans="1:15" x14ac:dyDescent="0.3">
      <c r="A46" s="99">
        <f t="shared" si="3"/>
        <v>44</v>
      </c>
      <c r="B46" s="70" t="e">
        <f>[1]Кг_s1!D45</f>
        <v>#DIV/0!</v>
      </c>
      <c r="C46" s="21" t="e">
        <f>[1]Кг_s1!I45</f>
        <v>#DIV/0!</v>
      </c>
      <c r="D46" s="22">
        <f>[2]Кг_s1!B45</f>
        <v>0</v>
      </c>
      <c r="E46" s="22">
        <f>[2]Кг_s1!$C$2</f>
        <v>1E-3</v>
      </c>
      <c r="F46" s="22" t="e">
        <f t="shared" si="4"/>
        <v>#DIV/0!</v>
      </c>
      <c r="G46" s="22" t="e">
        <f t="shared" si="0"/>
        <v>#DIV/0!</v>
      </c>
      <c r="J46" s="23" t="e">
        <f t="shared" si="1"/>
        <v>#DIV/0!</v>
      </c>
      <c r="K46" s="23" t="e">
        <f t="shared" si="2"/>
        <v>#DIV/0!</v>
      </c>
      <c r="N46" s="24" t="e">
        <f t="shared" si="5"/>
        <v>#DIV/0!</v>
      </c>
      <c r="O46" s="24" t="e">
        <f t="shared" si="6"/>
        <v>#DIV/0!</v>
      </c>
    </row>
    <row r="47" spans="1:15" x14ac:dyDescent="0.3">
      <c r="A47" s="99">
        <f t="shared" si="3"/>
        <v>45</v>
      </c>
      <c r="B47" s="70" t="e">
        <f>[1]Кг_s1!D46</f>
        <v>#DIV/0!</v>
      </c>
      <c r="C47" s="21" t="e">
        <f>[1]Кг_s1!I46</f>
        <v>#DIV/0!</v>
      </c>
      <c r="D47" s="22">
        <f>[2]Кг_s1!B46</f>
        <v>0</v>
      </c>
      <c r="E47" s="22">
        <f>[2]Кг_s1!$C$2</f>
        <v>1E-3</v>
      </c>
      <c r="F47" s="22" t="e">
        <f t="shared" si="4"/>
        <v>#DIV/0!</v>
      </c>
      <c r="G47" s="22" t="e">
        <f t="shared" si="0"/>
        <v>#DIV/0!</v>
      </c>
      <c r="J47" s="23" t="e">
        <f t="shared" si="1"/>
        <v>#DIV/0!</v>
      </c>
      <c r="K47" s="23" t="e">
        <f t="shared" si="2"/>
        <v>#DIV/0!</v>
      </c>
      <c r="N47" s="24" t="e">
        <f t="shared" si="5"/>
        <v>#DIV/0!</v>
      </c>
      <c r="O47" s="24" t="e">
        <f t="shared" si="6"/>
        <v>#DIV/0!</v>
      </c>
    </row>
    <row r="48" spans="1:15" x14ac:dyDescent="0.3">
      <c r="A48" s="100">
        <f t="shared" si="3"/>
        <v>46</v>
      </c>
      <c r="B48" s="70">
        <f>[1]Кг_s1!D47</f>
        <v>1</v>
      </c>
      <c r="C48" s="21">
        <f>[1]Кг_s1!I47</f>
        <v>0</v>
      </c>
      <c r="D48" s="22">
        <f>[2]Кг_s1!B47</f>
        <v>1</v>
      </c>
      <c r="E48" s="22">
        <f>[2]Кг_s1!$C$2</f>
        <v>1E-3</v>
      </c>
      <c r="F48" s="22" t="str">
        <f t="shared" si="4"/>
        <v>0 ± 0,001</v>
      </c>
      <c r="G48" s="22" t="str">
        <f t="shared" si="0"/>
        <v>0 ± 0,1</v>
      </c>
      <c r="J48" s="23" t="str">
        <f t="shared" si="1"/>
        <v>1 ± 0</v>
      </c>
      <c r="K48" s="23" t="str">
        <f t="shared" si="2"/>
        <v>100 ± 0</v>
      </c>
      <c r="N48" s="24" t="str">
        <f t="shared" si="5"/>
        <v>1 ± 0</v>
      </c>
      <c r="O48" s="24" t="str">
        <f t="shared" si="6"/>
        <v>100 ± 0</v>
      </c>
    </row>
    <row r="49" spans="1:15" x14ac:dyDescent="0.3">
      <c r="A49" s="99">
        <f t="shared" si="3"/>
        <v>47</v>
      </c>
      <c r="B49" s="70" t="e">
        <f>[1]Кг_s1!D48</f>
        <v>#DIV/0!</v>
      </c>
      <c r="C49" s="21" t="e">
        <f>[1]Кг_s1!I48</f>
        <v>#DIV/0!</v>
      </c>
      <c r="D49" s="22">
        <f>[2]Кг_s1!B48</f>
        <v>0</v>
      </c>
      <c r="E49" s="22">
        <f>[2]Кг_s1!$C$2</f>
        <v>1E-3</v>
      </c>
      <c r="F49" s="22" t="e">
        <f t="shared" si="4"/>
        <v>#DIV/0!</v>
      </c>
      <c r="G49" s="22" t="e">
        <f t="shared" si="0"/>
        <v>#DIV/0!</v>
      </c>
      <c r="J49" s="23" t="e">
        <f t="shared" si="1"/>
        <v>#DIV/0!</v>
      </c>
      <c r="K49" s="23" t="e">
        <f t="shared" si="2"/>
        <v>#DIV/0!</v>
      </c>
      <c r="N49" s="24" t="e">
        <f t="shared" si="5"/>
        <v>#DIV/0!</v>
      </c>
      <c r="O49" s="24" t="e">
        <f t="shared" si="6"/>
        <v>#DIV/0!</v>
      </c>
    </row>
    <row r="50" spans="1:15" x14ac:dyDescent="0.3">
      <c r="A50" s="67">
        <f t="shared" si="3"/>
        <v>48</v>
      </c>
      <c r="B50" s="70" t="e">
        <f>[1]Кг_s1!D49</f>
        <v>#DIV/0!</v>
      </c>
      <c r="C50" s="21" t="e">
        <f>[1]Кг_s1!I49</f>
        <v>#DIV/0!</v>
      </c>
      <c r="D50" s="22">
        <f>[2]Кг_s1!B49</f>
        <v>0</v>
      </c>
      <c r="E50" s="22">
        <f>[2]Кг_s1!$C$2</f>
        <v>1E-3</v>
      </c>
      <c r="F50" s="22" t="e">
        <f t="shared" si="4"/>
        <v>#DIV/0!</v>
      </c>
      <c r="G50" s="22" t="e">
        <f t="shared" si="0"/>
        <v>#DIV/0!</v>
      </c>
      <c r="J50" s="23" t="e">
        <f t="shared" si="1"/>
        <v>#DIV/0!</v>
      </c>
      <c r="K50" s="23" t="e">
        <f t="shared" si="2"/>
        <v>#DIV/0!</v>
      </c>
      <c r="N50" s="24" t="e">
        <f t="shared" si="5"/>
        <v>#DIV/0!</v>
      </c>
      <c r="O50" s="24" t="e">
        <f t="shared" si="6"/>
        <v>#DIV/0!</v>
      </c>
    </row>
    <row r="51" spans="1:15" x14ac:dyDescent="0.3">
      <c r="A51" s="67">
        <f t="shared" si="3"/>
        <v>49</v>
      </c>
      <c r="B51" s="70" t="e">
        <f>[1]Кг_s1!D50</f>
        <v>#DIV/0!</v>
      </c>
      <c r="C51" s="21" t="e">
        <f>[1]Кг_s1!I50</f>
        <v>#DIV/0!</v>
      </c>
      <c r="D51" s="22">
        <f>[2]Кг_s1!B50</f>
        <v>0</v>
      </c>
      <c r="E51" s="22">
        <f>[2]Кг_s1!$C$2</f>
        <v>1E-3</v>
      </c>
      <c r="F51" s="22" t="e">
        <f t="shared" si="4"/>
        <v>#DIV/0!</v>
      </c>
      <c r="G51" s="22" t="e">
        <f t="shared" si="0"/>
        <v>#DIV/0!</v>
      </c>
      <c r="J51" s="23" t="e">
        <f t="shared" si="1"/>
        <v>#DIV/0!</v>
      </c>
      <c r="K51" s="23" t="e">
        <f t="shared" si="2"/>
        <v>#DIV/0!</v>
      </c>
      <c r="N51" s="24" t="e">
        <f t="shared" si="5"/>
        <v>#DIV/0!</v>
      </c>
      <c r="O51" s="24" t="e">
        <f t="shared" si="6"/>
        <v>#DIV/0!</v>
      </c>
    </row>
    <row r="52" spans="1:15" x14ac:dyDescent="0.3">
      <c r="A52" s="67">
        <f t="shared" si="3"/>
        <v>50</v>
      </c>
      <c r="B52" s="70" t="e">
        <f>[1]Кг_s1!D51</f>
        <v>#DIV/0!</v>
      </c>
      <c r="C52" s="21" t="e">
        <f>[1]Кг_s1!I51</f>
        <v>#DIV/0!</v>
      </c>
      <c r="D52" s="22">
        <f>[2]Кг_s1!B51</f>
        <v>0</v>
      </c>
      <c r="E52" s="22">
        <f>[2]Кг_s1!$C$2</f>
        <v>1E-3</v>
      </c>
      <c r="F52" s="22" t="e">
        <f t="shared" si="4"/>
        <v>#DIV/0!</v>
      </c>
      <c r="G52" s="22" t="e">
        <f t="shared" si="0"/>
        <v>#DIV/0!</v>
      </c>
      <c r="J52" s="23" t="e">
        <f t="shared" si="1"/>
        <v>#DIV/0!</v>
      </c>
      <c r="K52" s="23" t="e">
        <f t="shared" si="2"/>
        <v>#DIV/0!</v>
      </c>
      <c r="N52" s="24" t="e">
        <f t="shared" si="5"/>
        <v>#DIV/0!</v>
      </c>
      <c r="O52" s="24" t="e">
        <f t="shared" si="6"/>
        <v>#DIV/0!</v>
      </c>
    </row>
    <row r="53" spans="1:15" x14ac:dyDescent="0.3">
      <c r="A53" s="100">
        <f t="shared" si="3"/>
        <v>51</v>
      </c>
      <c r="B53" s="70">
        <f>[1]Кг_s1!D52</f>
        <v>1</v>
      </c>
      <c r="C53" s="21">
        <f>[1]Кг_s1!I52</f>
        <v>0</v>
      </c>
      <c r="D53" s="22">
        <f>[2]Кг_s1!B52</f>
        <v>1</v>
      </c>
      <c r="E53" s="22">
        <f>[2]Кг_s1!$C$2</f>
        <v>1E-3</v>
      </c>
      <c r="F53" s="22" t="str">
        <f t="shared" si="4"/>
        <v>0 ± 0,001</v>
      </c>
      <c r="G53" s="22" t="str">
        <f t="shared" si="0"/>
        <v>0 ± 0,1</v>
      </c>
      <c r="J53" s="23" t="str">
        <f t="shared" si="1"/>
        <v>1 ± 0</v>
      </c>
      <c r="K53" s="23" t="str">
        <f t="shared" si="2"/>
        <v>100 ± 0</v>
      </c>
      <c r="N53" s="24" t="str">
        <f t="shared" si="5"/>
        <v>1 ± 0</v>
      </c>
      <c r="O53" s="24" t="str">
        <f t="shared" si="6"/>
        <v>100 ± 0</v>
      </c>
    </row>
    <row r="54" spans="1:15" x14ac:dyDescent="0.3">
      <c r="A54" s="100">
        <f t="shared" si="3"/>
        <v>52</v>
      </c>
      <c r="B54" s="70">
        <f>[1]Кг_s1!D53</f>
        <v>1</v>
      </c>
      <c r="C54" s="21">
        <f>[1]Кг_s1!I53</f>
        <v>0</v>
      </c>
      <c r="D54" s="22">
        <f>[2]Кг_s1!B53</f>
        <v>1</v>
      </c>
      <c r="E54" s="22">
        <f>[2]Кг_s1!$C$2</f>
        <v>1E-3</v>
      </c>
      <c r="F54" s="22" t="str">
        <f t="shared" si="4"/>
        <v>0 ± 0,001</v>
      </c>
      <c r="G54" s="22" t="str">
        <f t="shared" si="0"/>
        <v>0 ± 0,1</v>
      </c>
      <c r="J54" s="23" t="str">
        <f t="shared" si="1"/>
        <v>1 ± 0</v>
      </c>
      <c r="K54" s="23" t="str">
        <f t="shared" si="2"/>
        <v>100 ± 0</v>
      </c>
      <c r="N54" s="24" t="str">
        <f t="shared" si="5"/>
        <v>1 ± 0</v>
      </c>
      <c r="O54" s="24" t="str">
        <f t="shared" si="6"/>
        <v>100 ± 0</v>
      </c>
    </row>
    <row r="55" spans="1:15" x14ac:dyDescent="0.3">
      <c r="A55" s="67">
        <f t="shared" si="3"/>
        <v>53</v>
      </c>
      <c r="B55" s="70" t="e">
        <f>[1]Кг_s1!D54</f>
        <v>#DIV/0!</v>
      </c>
      <c r="C55" s="21" t="e">
        <f>[1]Кг_s1!I54</f>
        <v>#DIV/0!</v>
      </c>
      <c r="D55" s="22">
        <f>[2]Кг_s1!B54</f>
        <v>0</v>
      </c>
      <c r="E55" s="22">
        <f>[2]Кг_s1!$C$2</f>
        <v>1E-3</v>
      </c>
      <c r="F55" s="22" t="e">
        <f t="shared" si="4"/>
        <v>#DIV/0!</v>
      </c>
      <c r="G55" s="22" t="e">
        <f t="shared" si="0"/>
        <v>#DIV/0!</v>
      </c>
      <c r="J55" s="23" t="e">
        <f t="shared" si="1"/>
        <v>#DIV/0!</v>
      </c>
      <c r="K55" s="23" t="e">
        <f t="shared" si="2"/>
        <v>#DIV/0!</v>
      </c>
      <c r="N55" s="24" t="e">
        <f t="shared" si="5"/>
        <v>#DIV/0!</v>
      </c>
      <c r="O55" s="24" t="e">
        <f t="shared" si="6"/>
        <v>#DIV/0!</v>
      </c>
    </row>
    <row r="56" spans="1:15" x14ac:dyDescent="0.3">
      <c r="A56" s="67">
        <f t="shared" si="3"/>
        <v>54</v>
      </c>
      <c r="B56" s="70" t="e">
        <f>[1]Кг_s1!D55</f>
        <v>#DIV/0!</v>
      </c>
      <c r="C56" s="21" t="e">
        <f>[1]Кг_s1!I55</f>
        <v>#DIV/0!</v>
      </c>
      <c r="D56" s="22">
        <f>[2]Кг_s1!B55</f>
        <v>0</v>
      </c>
      <c r="E56" s="22">
        <f>[2]Кг_s1!$C$2</f>
        <v>1E-3</v>
      </c>
      <c r="F56" s="22" t="e">
        <f t="shared" si="4"/>
        <v>#DIV/0!</v>
      </c>
      <c r="G56" s="22" t="e">
        <f t="shared" si="0"/>
        <v>#DIV/0!</v>
      </c>
      <c r="J56" s="23" t="e">
        <f t="shared" si="1"/>
        <v>#DIV/0!</v>
      </c>
      <c r="K56" s="23" t="e">
        <f t="shared" si="2"/>
        <v>#DIV/0!</v>
      </c>
      <c r="N56" s="24" t="e">
        <f t="shared" si="5"/>
        <v>#DIV/0!</v>
      </c>
      <c r="O56" s="24" t="e">
        <f t="shared" si="6"/>
        <v>#DIV/0!</v>
      </c>
    </row>
    <row r="57" spans="1:15" x14ac:dyDescent="0.3">
      <c r="A57" s="67">
        <f t="shared" si="3"/>
        <v>55</v>
      </c>
      <c r="B57" s="70" t="e">
        <f>[1]Кг_s1!D56</f>
        <v>#DIV/0!</v>
      </c>
      <c r="C57" s="21" t="e">
        <f>[1]Кг_s1!I56</f>
        <v>#DIV/0!</v>
      </c>
      <c r="D57" s="22">
        <f>[2]Кг_s1!B56</f>
        <v>0</v>
      </c>
      <c r="E57" s="22">
        <f>[2]Кг_s1!$C$2</f>
        <v>1E-3</v>
      </c>
      <c r="F57" s="22" t="e">
        <f t="shared" si="4"/>
        <v>#DIV/0!</v>
      </c>
      <c r="G57" s="22" t="e">
        <f t="shared" si="0"/>
        <v>#DIV/0!</v>
      </c>
      <c r="J57" s="23" t="e">
        <f t="shared" si="1"/>
        <v>#DIV/0!</v>
      </c>
      <c r="K57" s="23" t="e">
        <f t="shared" si="2"/>
        <v>#DIV/0!</v>
      </c>
      <c r="N57" s="24" t="e">
        <f t="shared" si="5"/>
        <v>#DIV/0!</v>
      </c>
      <c r="O57" s="24" t="e">
        <f t="shared" si="6"/>
        <v>#DIV/0!</v>
      </c>
    </row>
    <row r="58" spans="1:15" x14ac:dyDescent="0.3">
      <c r="A58" s="100">
        <f t="shared" si="3"/>
        <v>56</v>
      </c>
      <c r="B58" s="70">
        <f>[1]Кг_s1!D57</f>
        <v>1</v>
      </c>
      <c r="C58" s="21">
        <f>[1]Кг_s1!I57</f>
        <v>0</v>
      </c>
      <c r="D58" s="22">
        <f>[2]Кг_s1!B57</f>
        <v>1</v>
      </c>
      <c r="E58" s="22">
        <f>[2]Кг_s1!$C$2</f>
        <v>1E-3</v>
      </c>
      <c r="F58" s="22" t="str">
        <f t="shared" si="4"/>
        <v>0 ± 0,001</v>
      </c>
      <c r="G58" s="22" t="str">
        <f t="shared" si="0"/>
        <v>0 ± 0,1</v>
      </c>
      <c r="J58" s="23" t="str">
        <f t="shared" si="1"/>
        <v>1 ± 0</v>
      </c>
      <c r="K58" s="23" t="str">
        <f t="shared" si="2"/>
        <v>100 ± 0</v>
      </c>
      <c r="N58" s="24" t="str">
        <f t="shared" si="5"/>
        <v>1 ± 0</v>
      </c>
      <c r="O58" s="24" t="str">
        <f t="shared" si="6"/>
        <v>100 ± 0</v>
      </c>
    </row>
    <row r="59" spans="1:15" x14ac:dyDescent="0.3">
      <c r="A59" s="100">
        <f t="shared" si="3"/>
        <v>57</v>
      </c>
      <c r="B59" s="70">
        <f>[1]Кг_s1!D58</f>
        <v>1</v>
      </c>
      <c r="C59" s="21">
        <f>[1]Кг_s1!I58</f>
        <v>0</v>
      </c>
      <c r="D59" s="22">
        <f>[2]Кг_s1!B58</f>
        <v>1</v>
      </c>
      <c r="E59" s="22">
        <f>[2]Кг_s1!$C$2</f>
        <v>1E-3</v>
      </c>
      <c r="F59" s="22" t="str">
        <f t="shared" si="4"/>
        <v>0 ± 0,001</v>
      </c>
      <c r="G59" s="22" t="str">
        <f t="shared" si="0"/>
        <v>0 ± 0,1</v>
      </c>
      <c r="J59" s="23" t="str">
        <f t="shared" si="1"/>
        <v>1 ± 0</v>
      </c>
      <c r="K59" s="23" t="str">
        <f t="shared" si="2"/>
        <v>100 ± 0</v>
      </c>
      <c r="N59" s="24" t="str">
        <f t="shared" si="5"/>
        <v>1 ± 0</v>
      </c>
      <c r="O59" s="24" t="str">
        <f t="shared" si="6"/>
        <v>100 ± 0</v>
      </c>
    </row>
    <row r="60" spans="1:15" x14ac:dyDescent="0.3">
      <c r="A60" s="67">
        <f t="shared" si="3"/>
        <v>58</v>
      </c>
      <c r="B60" s="70" t="e">
        <f>[1]Кг_s1!D59</f>
        <v>#DIV/0!</v>
      </c>
      <c r="C60" s="21" t="e">
        <f>[1]Кг_s1!I59</f>
        <v>#DIV/0!</v>
      </c>
      <c r="D60" s="22">
        <f>[2]Кг_s1!B59</f>
        <v>0</v>
      </c>
      <c r="E60" s="22">
        <f>[2]Кг_s1!$C$2</f>
        <v>1E-3</v>
      </c>
      <c r="F60" s="22" t="e">
        <f t="shared" si="4"/>
        <v>#DIV/0!</v>
      </c>
      <c r="G60" s="22" t="e">
        <f t="shared" si="0"/>
        <v>#DIV/0!</v>
      </c>
      <c r="J60" s="23" t="e">
        <f t="shared" si="1"/>
        <v>#DIV/0!</v>
      </c>
      <c r="K60" s="23" t="e">
        <f t="shared" si="2"/>
        <v>#DIV/0!</v>
      </c>
      <c r="N60" s="24" t="e">
        <f t="shared" si="5"/>
        <v>#DIV/0!</v>
      </c>
      <c r="O60" s="24" t="e">
        <f t="shared" si="6"/>
        <v>#DIV/0!</v>
      </c>
    </row>
    <row r="61" spans="1:15" x14ac:dyDescent="0.3">
      <c r="A61" s="67">
        <f t="shared" si="3"/>
        <v>59</v>
      </c>
      <c r="B61" s="70" t="e">
        <f>[1]Кг_s1!D60</f>
        <v>#DIV/0!</v>
      </c>
      <c r="C61" s="21" t="e">
        <f>[1]Кг_s1!I60</f>
        <v>#DIV/0!</v>
      </c>
      <c r="D61" s="22">
        <f>[2]Кг_s1!B60</f>
        <v>0</v>
      </c>
      <c r="E61" s="22">
        <f>[2]Кг_s1!$C$2</f>
        <v>1E-3</v>
      </c>
      <c r="F61" s="22" t="e">
        <f t="shared" si="4"/>
        <v>#DIV/0!</v>
      </c>
      <c r="G61" s="22" t="e">
        <f t="shared" si="0"/>
        <v>#DIV/0!</v>
      </c>
      <c r="J61" s="23" t="e">
        <f t="shared" si="1"/>
        <v>#DIV/0!</v>
      </c>
      <c r="K61" s="23" t="e">
        <f t="shared" si="2"/>
        <v>#DIV/0!</v>
      </c>
      <c r="N61" s="24" t="e">
        <f t="shared" si="5"/>
        <v>#DIV/0!</v>
      </c>
      <c r="O61" s="24" t="e">
        <f t="shared" si="6"/>
        <v>#DIV/0!</v>
      </c>
    </row>
    <row r="62" spans="1:15" x14ac:dyDescent="0.3">
      <c r="A62" s="67">
        <f t="shared" si="3"/>
        <v>60</v>
      </c>
      <c r="B62" s="70" t="e">
        <f>[1]Кг_s1!D61</f>
        <v>#DIV/0!</v>
      </c>
      <c r="C62" s="21" t="e">
        <f>[1]Кг_s1!I61</f>
        <v>#DIV/0!</v>
      </c>
      <c r="D62" s="22">
        <f>[2]Кг_s1!B61</f>
        <v>0</v>
      </c>
      <c r="E62" s="22">
        <f>[2]Кг_s1!$C$2</f>
        <v>1E-3</v>
      </c>
      <c r="F62" s="22" t="e">
        <f t="shared" si="4"/>
        <v>#DIV/0!</v>
      </c>
      <c r="G62" s="22" t="e">
        <f t="shared" si="0"/>
        <v>#DIV/0!</v>
      </c>
      <c r="J62" s="23" t="e">
        <f t="shared" si="1"/>
        <v>#DIV/0!</v>
      </c>
      <c r="K62" s="23" t="e">
        <f t="shared" si="2"/>
        <v>#DIV/0!</v>
      </c>
      <c r="N62" s="24" t="e">
        <f t="shared" si="5"/>
        <v>#DIV/0!</v>
      </c>
      <c r="O62" s="24" t="e">
        <f t="shared" si="6"/>
        <v>#DIV/0!</v>
      </c>
    </row>
    <row r="63" spans="1:15" x14ac:dyDescent="0.3">
      <c r="A63" s="101">
        <f t="shared" si="3"/>
        <v>61</v>
      </c>
      <c r="B63" s="70">
        <f>[1]Кг_s1!D62</f>
        <v>0.99363158520063111</v>
      </c>
      <c r="C63" s="21">
        <f>[1]Кг_s1!I62</f>
        <v>2.7773566292601932E-2</v>
      </c>
      <c r="D63" s="22">
        <f>[2]Кг_s1!B62</f>
        <v>0.5</v>
      </c>
      <c r="E63" s="22">
        <f>[2]Кг_s1!$C$2</f>
        <v>1E-3</v>
      </c>
      <c r="F63" s="22" t="str">
        <f t="shared" si="4"/>
        <v>0,494 ± 0,027</v>
      </c>
      <c r="G63" s="22" t="str">
        <f t="shared" si="0"/>
        <v>49,68 ± 2,695</v>
      </c>
      <c r="J63" s="23" t="str">
        <f t="shared" si="1"/>
        <v>0,994 ± 0,028</v>
      </c>
      <c r="K63" s="23" t="str">
        <f t="shared" si="2"/>
        <v>100 ± 2,796</v>
      </c>
      <c r="N63" s="24" t="str">
        <f t="shared" si="5"/>
        <v>0,994 ± 0,028</v>
      </c>
      <c r="O63" s="24" t="str">
        <f t="shared" si="6"/>
        <v>100 ± 2,796</v>
      </c>
    </row>
    <row r="64" spans="1:15" x14ac:dyDescent="0.3">
      <c r="A64" s="99">
        <f t="shared" si="3"/>
        <v>62</v>
      </c>
      <c r="B64" s="70" t="e">
        <f>[1]Кг_s1!D63</f>
        <v>#DIV/0!</v>
      </c>
      <c r="C64" s="21" t="e">
        <f>[1]Кг_s1!I63</f>
        <v>#DIV/0!</v>
      </c>
      <c r="D64" s="22">
        <f>[2]Кг_s1!B63</f>
        <v>0</v>
      </c>
      <c r="E64" s="22">
        <f>[2]Кг_s1!$C$2</f>
        <v>1E-3</v>
      </c>
      <c r="F64" s="22" t="e">
        <f t="shared" si="4"/>
        <v>#DIV/0!</v>
      </c>
      <c r="G64" s="22" t="e">
        <f t="shared" si="0"/>
        <v>#DIV/0!</v>
      </c>
      <c r="J64" s="23" t="e">
        <f t="shared" si="1"/>
        <v>#DIV/0!</v>
      </c>
      <c r="K64" s="23" t="e">
        <f t="shared" si="2"/>
        <v>#DIV/0!</v>
      </c>
      <c r="N64" s="24" t="e">
        <f t="shared" si="5"/>
        <v>#DIV/0!</v>
      </c>
      <c r="O64" s="24" t="e">
        <f t="shared" si="6"/>
        <v>#DIV/0!</v>
      </c>
    </row>
    <row r="65" spans="1:15" x14ac:dyDescent="0.3">
      <c r="A65" s="99">
        <f t="shared" si="3"/>
        <v>63</v>
      </c>
      <c r="B65" s="70" t="e">
        <f>[1]Кг_s1!D64</f>
        <v>#DIV/0!</v>
      </c>
      <c r="C65" s="21" t="e">
        <f>[1]Кг_s1!I64</f>
        <v>#DIV/0!</v>
      </c>
      <c r="D65" s="22">
        <f>[2]Кг_s1!B64</f>
        <v>0</v>
      </c>
      <c r="E65" s="22">
        <f>[2]Кг_s1!$C$2</f>
        <v>1E-3</v>
      </c>
      <c r="F65" s="22" t="e">
        <f t="shared" si="4"/>
        <v>#DIV/0!</v>
      </c>
      <c r="G65" s="22" t="e">
        <f t="shared" si="0"/>
        <v>#DIV/0!</v>
      </c>
      <c r="J65" s="23" t="e">
        <f t="shared" si="1"/>
        <v>#DIV/0!</v>
      </c>
      <c r="K65" s="23" t="e">
        <f t="shared" si="2"/>
        <v>#DIV/0!</v>
      </c>
      <c r="N65" s="24" t="e">
        <f t="shared" si="5"/>
        <v>#DIV/0!</v>
      </c>
      <c r="O65" s="24" t="e">
        <f t="shared" si="6"/>
        <v>#DIV/0!</v>
      </c>
    </row>
    <row r="66" spans="1:15" x14ac:dyDescent="0.3">
      <c r="A66" s="99">
        <f t="shared" si="3"/>
        <v>64</v>
      </c>
      <c r="B66" s="70" t="e">
        <f>[1]Кг_s1!D65</f>
        <v>#DIV/0!</v>
      </c>
      <c r="C66" s="21" t="e">
        <f>[1]Кг_s1!I65</f>
        <v>#DIV/0!</v>
      </c>
      <c r="D66" s="22">
        <f>[2]Кг_s1!B65</f>
        <v>0</v>
      </c>
      <c r="E66" s="22">
        <f>[2]Кг_s1!$C$2</f>
        <v>1E-3</v>
      </c>
      <c r="F66" s="22" t="e">
        <f t="shared" si="4"/>
        <v>#DIV/0!</v>
      </c>
      <c r="G66" s="22" t="e">
        <f t="shared" si="0"/>
        <v>#DIV/0!</v>
      </c>
      <c r="J66" s="23" t="e">
        <f t="shared" si="1"/>
        <v>#DIV/0!</v>
      </c>
      <c r="K66" s="23" t="e">
        <f t="shared" si="2"/>
        <v>#DIV/0!</v>
      </c>
      <c r="N66" s="24" t="e">
        <f t="shared" si="5"/>
        <v>#DIV/0!</v>
      </c>
      <c r="O66" s="24" t="e">
        <f t="shared" si="6"/>
        <v>#DIV/0!</v>
      </c>
    </row>
    <row r="67" spans="1:15" x14ac:dyDescent="0.3">
      <c r="A67" s="99">
        <f t="shared" si="3"/>
        <v>65</v>
      </c>
      <c r="B67" s="70" t="e">
        <f>[1]Кг_s1!D66</f>
        <v>#DIV/0!</v>
      </c>
      <c r="C67" s="21" t="e">
        <f>[1]Кг_s1!I66</f>
        <v>#DIV/0!</v>
      </c>
      <c r="D67" s="22">
        <f>[2]Кг_s1!B66</f>
        <v>0</v>
      </c>
      <c r="E67" s="22">
        <f>[2]Кг_s1!$C$2</f>
        <v>1E-3</v>
      </c>
      <c r="F67" s="22" t="e">
        <f t="shared" si="4"/>
        <v>#DIV/0!</v>
      </c>
      <c r="G67" s="22" t="e">
        <f t="shared" si="0"/>
        <v>#DIV/0!</v>
      </c>
      <c r="J67" s="23" t="e">
        <f t="shared" si="1"/>
        <v>#DIV/0!</v>
      </c>
      <c r="K67" s="23" t="e">
        <f t="shared" si="2"/>
        <v>#DIV/0!</v>
      </c>
      <c r="N67" s="24" t="e">
        <f t="shared" si="5"/>
        <v>#DIV/0!</v>
      </c>
      <c r="O67" s="24" t="e">
        <f t="shared" si="6"/>
        <v>#DIV/0!</v>
      </c>
    </row>
    <row r="68" spans="1:15" x14ac:dyDescent="0.3">
      <c r="A68" s="100">
        <f t="shared" si="3"/>
        <v>66</v>
      </c>
      <c r="B68" s="70">
        <f>[1]Кг_s1!D67</f>
        <v>0.95921374911562929</v>
      </c>
      <c r="C68" s="21">
        <f>[1]Кг_s1!I67</f>
        <v>2.5253091213205462E-2</v>
      </c>
      <c r="D68" s="22">
        <f>[2]Кг_s1!B67</f>
        <v>0.5</v>
      </c>
      <c r="E68" s="22">
        <f>[2]Кг_s1!$C$2</f>
        <v>1E-3</v>
      </c>
      <c r="F68" s="22" t="str">
        <f t="shared" ref="F68:F88" si="7">ROUNDUP(ABS(B68-D68),3) &amp; " ± " &amp; ROUNDUP(ABS(C68-E68),3)</f>
        <v>0,46 ± 0,025</v>
      </c>
      <c r="G68" s="22" t="str">
        <f t="shared" ref="G68:G88" si="8">ROUNDUP(ABS(B68-D68)/B68*100,3) &amp; " ± " &amp; ROUNDUP(ABS(C68-E68)/B68*100,3)</f>
        <v>47,874 ± 2,529</v>
      </c>
      <c r="J68" s="23" t="str">
        <f t="shared" ref="J68:J88" si="9">ROUNDUP(ABS(B68-H68),3) &amp; " ± " &amp; ROUNDUP(ABS(C68-I68),3)</f>
        <v>0,96 ± 0,026</v>
      </c>
      <c r="K68" s="23" t="str">
        <f t="shared" ref="K68:K88" si="10">ROUNDUP(ABS(B68-H68)/B68*100,3) &amp; " ± " &amp; ROUNDUP(ABS(C68-I68)/B68*100,3)</f>
        <v>100 ± 2,633</v>
      </c>
      <c r="N68" s="24" t="str">
        <f t="shared" si="5"/>
        <v>0,96 ± 0,026</v>
      </c>
      <c r="O68" s="24" t="str">
        <f t="shared" si="6"/>
        <v>100 ± 2,633</v>
      </c>
    </row>
    <row r="69" spans="1:15" x14ac:dyDescent="0.3">
      <c r="A69" s="99">
        <f t="shared" ref="A69:A132" si="11">A68+1</f>
        <v>67</v>
      </c>
      <c r="B69" s="70" t="e">
        <f>[1]Кг_s1!D68</f>
        <v>#DIV/0!</v>
      </c>
      <c r="C69" s="21" t="e">
        <f>[1]Кг_s1!I68</f>
        <v>#DIV/0!</v>
      </c>
      <c r="D69" s="22">
        <f>[2]Кг_s1!B68</f>
        <v>0</v>
      </c>
      <c r="E69" s="22">
        <f>[2]Кг_s1!$C$2</f>
        <v>1E-3</v>
      </c>
      <c r="F69" s="22" t="e">
        <f t="shared" si="7"/>
        <v>#DIV/0!</v>
      </c>
      <c r="G69" s="22" t="e">
        <f t="shared" si="8"/>
        <v>#DIV/0!</v>
      </c>
      <c r="J69" s="23" t="e">
        <f t="shared" si="9"/>
        <v>#DIV/0!</v>
      </c>
      <c r="K69" s="23" t="e">
        <f t="shared" si="10"/>
        <v>#DIV/0!</v>
      </c>
      <c r="N69" s="24" t="e">
        <f t="shared" ref="N69:N88" si="12">ROUNDUP(ABS(B69-L69),3) &amp; " ± " &amp; ROUNDUP(ABS(C69-M69),3)</f>
        <v>#DIV/0!</v>
      </c>
      <c r="O69" s="24" t="e">
        <f t="shared" ref="O69:O88" si="13">ROUNDUP(ABS(B69-L69)/B69*100,3) &amp; " ± " &amp; ROUNDUP(ABS(C69-M69)/B69*100,3)</f>
        <v>#DIV/0!</v>
      </c>
    </row>
    <row r="70" spans="1:15" x14ac:dyDescent="0.3">
      <c r="A70" s="99">
        <f t="shared" si="11"/>
        <v>68</v>
      </c>
      <c r="B70" s="70" t="e">
        <f>[1]Кг_s1!D69</f>
        <v>#DIV/0!</v>
      </c>
      <c r="C70" s="21" t="e">
        <f>[1]Кг_s1!I69</f>
        <v>#DIV/0!</v>
      </c>
      <c r="D70" s="22">
        <f>[2]Кг_s1!B69</f>
        <v>0</v>
      </c>
      <c r="E70" s="22">
        <f>[2]Кг_s1!$C$2</f>
        <v>1E-3</v>
      </c>
      <c r="F70" s="22" t="e">
        <f t="shared" si="7"/>
        <v>#DIV/0!</v>
      </c>
      <c r="G70" s="22" t="e">
        <f t="shared" si="8"/>
        <v>#DIV/0!</v>
      </c>
      <c r="J70" s="23" t="e">
        <f t="shared" si="9"/>
        <v>#DIV/0!</v>
      </c>
      <c r="K70" s="23" t="e">
        <f t="shared" si="10"/>
        <v>#DIV/0!</v>
      </c>
      <c r="N70" s="24" t="e">
        <f t="shared" si="12"/>
        <v>#DIV/0!</v>
      </c>
      <c r="O70" s="24" t="e">
        <f t="shared" si="13"/>
        <v>#DIV/0!</v>
      </c>
    </row>
    <row r="71" spans="1:15" x14ac:dyDescent="0.3">
      <c r="A71" s="99">
        <f t="shared" si="11"/>
        <v>69</v>
      </c>
      <c r="B71" s="70" t="e">
        <f>[1]Кг_s1!D70</f>
        <v>#DIV/0!</v>
      </c>
      <c r="C71" s="21" t="e">
        <f>[1]Кг_s1!I70</f>
        <v>#DIV/0!</v>
      </c>
      <c r="D71" s="22">
        <f>[2]Кг_s1!B70</f>
        <v>0</v>
      </c>
      <c r="E71" s="22">
        <f>[2]Кг_s1!$C$2</f>
        <v>1E-3</v>
      </c>
      <c r="F71" s="22" t="e">
        <f t="shared" si="7"/>
        <v>#DIV/0!</v>
      </c>
      <c r="G71" s="22" t="e">
        <f t="shared" si="8"/>
        <v>#DIV/0!</v>
      </c>
      <c r="J71" s="23" t="e">
        <f t="shared" si="9"/>
        <v>#DIV/0!</v>
      </c>
      <c r="K71" s="23" t="e">
        <f t="shared" si="10"/>
        <v>#DIV/0!</v>
      </c>
      <c r="N71" s="24" t="e">
        <f t="shared" si="12"/>
        <v>#DIV/0!</v>
      </c>
      <c r="O71" s="24" t="e">
        <f t="shared" si="13"/>
        <v>#DIV/0!</v>
      </c>
    </row>
    <row r="72" spans="1:15" x14ac:dyDescent="0.3">
      <c r="A72" s="99">
        <f t="shared" si="11"/>
        <v>70</v>
      </c>
      <c r="B72" s="70" t="e">
        <f>[1]Кг_s1!D71</f>
        <v>#DIV/0!</v>
      </c>
      <c r="C72" s="21" t="e">
        <f>[1]Кг_s1!I71</f>
        <v>#DIV/0!</v>
      </c>
      <c r="D72" s="22">
        <f>[2]Кг_s1!B71</f>
        <v>0</v>
      </c>
      <c r="E72" s="22">
        <f>[2]Кг_s1!$C$2</f>
        <v>1E-3</v>
      </c>
      <c r="F72" s="22" t="e">
        <f t="shared" si="7"/>
        <v>#DIV/0!</v>
      </c>
      <c r="G72" s="22" t="e">
        <f t="shared" si="8"/>
        <v>#DIV/0!</v>
      </c>
      <c r="J72" s="23" t="e">
        <f t="shared" si="9"/>
        <v>#DIV/0!</v>
      </c>
      <c r="K72" s="23" t="e">
        <f t="shared" si="10"/>
        <v>#DIV/0!</v>
      </c>
      <c r="N72" s="24" t="e">
        <f t="shared" si="12"/>
        <v>#DIV/0!</v>
      </c>
      <c r="O72" s="24" t="e">
        <f t="shared" si="13"/>
        <v>#DIV/0!</v>
      </c>
    </row>
    <row r="73" spans="1:15" x14ac:dyDescent="0.3">
      <c r="A73" s="100">
        <f t="shared" si="11"/>
        <v>71</v>
      </c>
      <c r="B73" s="70">
        <f>[1]Кг_s1!D72</f>
        <v>0.9825794184622092</v>
      </c>
      <c r="C73" s="21">
        <f>[1]Кг_s1!I72</f>
        <v>4.4431283257467882E-2</v>
      </c>
      <c r="D73" s="22">
        <f>[2]Кг_s1!B72</f>
        <v>0.5</v>
      </c>
      <c r="E73" s="22">
        <f>[2]Кг_s1!$C$2</f>
        <v>1E-3</v>
      </c>
      <c r="F73" s="22" t="str">
        <f t="shared" si="7"/>
        <v>0,483 ± 0,044</v>
      </c>
      <c r="G73" s="22" t="str">
        <f t="shared" si="8"/>
        <v>49,114 ± 4,421</v>
      </c>
      <c r="J73" s="23" t="str">
        <f t="shared" si="9"/>
        <v>0,983 ± 0,045</v>
      </c>
      <c r="K73" s="23" t="str">
        <f t="shared" si="10"/>
        <v>100 ± 4,522</v>
      </c>
      <c r="N73" s="24" t="str">
        <f t="shared" si="12"/>
        <v>0,983 ± 0,045</v>
      </c>
      <c r="O73" s="24" t="str">
        <f t="shared" si="13"/>
        <v>100 ± 4,522</v>
      </c>
    </row>
    <row r="74" spans="1:15" x14ac:dyDescent="0.3">
      <c r="A74" s="99">
        <f t="shared" si="11"/>
        <v>72</v>
      </c>
      <c r="B74" s="70" t="e">
        <f>[1]Кг_s1!D73</f>
        <v>#DIV/0!</v>
      </c>
      <c r="C74" s="21" t="e">
        <f>[1]Кг_s1!I73</f>
        <v>#DIV/0!</v>
      </c>
      <c r="D74" s="22">
        <f>[2]Кг_s1!B73</f>
        <v>0</v>
      </c>
      <c r="E74" s="22">
        <f>[2]Кг_s1!$C$2</f>
        <v>1E-3</v>
      </c>
      <c r="F74" s="22" t="e">
        <f t="shared" si="7"/>
        <v>#DIV/0!</v>
      </c>
      <c r="G74" s="22" t="e">
        <f t="shared" si="8"/>
        <v>#DIV/0!</v>
      </c>
      <c r="J74" s="23" t="e">
        <f t="shared" si="9"/>
        <v>#DIV/0!</v>
      </c>
      <c r="K74" s="23" t="e">
        <f t="shared" si="10"/>
        <v>#DIV/0!</v>
      </c>
      <c r="N74" s="24" t="e">
        <f t="shared" si="12"/>
        <v>#DIV/0!</v>
      </c>
      <c r="O74" s="24" t="e">
        <f t="shared" si="13"/>
        <v>#DIV/0!</v>
      </c>
    </row>
    <row r="75" spans="1:15" x14ac:dyDescent="0.3">
      <c r="A75" s="99">
        <f t="shared" si="11"/>
        <v>73</v>
      </c>
      <c r="B75" s="70" t="e">
        <f>[1]Кг_s1!D74</f>
        <v>#DIV/0!</v>
      </c>
      <c r="C75" s="21" t="e">
        <f>[1]Кг_s1!I74</f>
        <v>#DIV/0!</v>
      </c>
      <c r="D75" s="22">
        <f>[2]Кг_s1!B74</f>
        <v>0</v>
      </c>
      <c r="E75" s="22">
        <f>[2]Кг_s1!$C$2</f>
        <v>1E-3</v>
      </c>
      <c r="F75" s="22" t="e">
        <f t="shared" si="7"/>
        <v>#DIV/0!</v>
      </c>
      <c r="G75" s="22" t="e">
        <f t="shared" si="8"/>
        <v>#DIV/0!</v>
      </c>
      <c r="J75" s="23" t="e">
        <f t="shared" si="9"/>
        <v>#DIV/0!</v>
      </c>
      <c r="K75" s="23" t="e">
        <f t="shared" si="10"/>
        <v>#DIV/0!</v>
      </c>
      <c r="N75" s="24" t="e">
        <f t="shared" si="12"/>
        <v>#DIV/0!</v>
      </c>
      <c r="O75" s="24" t="e">
        <f t="shared" si="13"/>
        <v>#DIV/0!</v>
      </c>
    </row>
    <row r="76" spans="1:15" x14ac:dyDescent="0.3">
      <c r="A76" s="99">
        <f t="shared" si="11"/>
        <v>74</v>
      </c>
      <c r="B76" s="70" t="e">
        <f>[1]Кг_s1!D75</f>
        <v>#DIV/0!</v>
      </c>
      <c r="C76" s="21" t="e">
        <f>[1]Кг_s1!I75</f>
        <v>#DIV/0!</v>
      </c>
      <c r="D76" s="22">
        <f>[2]Кг_s1!B75</f>
        <v>0</v>
      </c>
      <c r="E76" s="22">
        <f>[2]Кг_s1!$C$2</f>
        <v>1E-3</v>
      </c>
      <c r="F76" s="22" t="e">
        <f t="shared" si="7"/>
        <v>#DIV/0!</v>
      </c>
      <c r="G76" s="22" t="e">
        <f t="shared" si="8"/>
        <v>#DIV/0!</v>
      </c>
      <c r="J76" s="23" t="e">
        <f t="shared" si="9"/>
        <v>#DIV/0!</v>
      </c>
      <c r="K76" s="23" t="e">
        <f t="shared" si="10"/>
        <v>#DIV/0!</v>
      </c>
      <c r="N76" s="24" t="e">
        <f t="shared" si="12"/>
        <v>#DIV/0!</v>
      </c>
      <c r="O76" s="24" t="e">
        <f t="shared" si="13"/>
        <v>#DIV/0!</v>
      </c>
    </row>
    <row r="77" spans="1:15" x14ac:dyDescent="0.3">
      <c r="A77" s="99">
        <f t="shared" si="11"/>
        <v>75</v>
      </c>
      <c r="B77" s="70" t="e">
        <f>[1]Кг_s1!D76</f>
        <v>#DIV/0!</v>
      </c>
      <c r="C77" s="21" t="e">
        <f>[1]Кг_s1!I76</f>
        <v>#DIV/0!</v>
      </c>
      <c r="D77" s="22">
        <f>[2]Кг_s1!B76</f>
        <v>0</v>
      </c>
      <c r="E77" s="22">
        <f>[2]Кг_s1!$C$2</f>
        <v>1E-3</v>
      </c>
      <c r="F77" s="22" t="e">
        <f t="shared" si="7"/>
        <v>#DIV/0!</v>
      </c>
      <c r="G77" s="22" t="e">
        <f t="shared" si="8"/>
        <v>#DIV/0!</v>
      </c>
      <c r="J77" s="23" t="e">
        <f t="shared" si="9"/>
        <v>#DIV/0!</v>
      </c>
      <c r="K77" s="23" t="e">
        <f t="shared" si="10"/>
        <v>#DIV/0!</v>
      </c>
      <c r="N77" s="24" t="e">
        <f t="shared" si="12"/>
        <v>#DIV/0!</v>
      </c>
      <c r="O77" s="24" t="e">
        <f t="shared" si="13"/>
        <v>#DIV/0!</v>
      </c>
    </row>
    <row r="78" spans="1:15" x14ac:dyDescent="0.3">
      <c r="A78" s="100">
        <f t="shared" si="11"/>
        <v>76</v>
      </c>
      <c r="B78" s="70">
        <f>[1]Кг_s1!D77</f>
        <v>0.99300939114425524</v>
      </c>
      <c r="C78" s="21">
        <f>[1]Кг_s1!I77</f>
        <v>3.132317182053642E-2</v>
      </c>
      <c r="D78" s="22">
        <f>[2]Кг_s1!B77</f>
        <v>2.0000000000000001E-4</v>
      </c>
      <c r="E78" s="22">
        <f>[2]Кг_s1!$C$2</f>
        <v>1E-3</v>
      </c>
      <c r="F78" s="22" t="str">
        <f t="shared" si="7"/>
        <v>0,993 ± 0,031</v>
      </c>
      <c r="G78" s="22" t="str">
        <f t="shared" si="8"/>
        <v>99,98 ± 3,054</v>
      </c>
      <c r="J78" s="23" t="str">
        <f t="shared" si="9"/>
        <v>0,994 ± 0,032</v>
      </c>
      <c r="K78" s="23" t="str">
        <f t="shared" si="10"/>
        <v>100 ± 3,155</v>
      </c>
      <c r="N78" s="24" t="str">
        <f t="shared" si="12"/>
        <v>0,994 ± 0,032</v>
      </c>
      <c r="O78" s="24" t="str">
        <f t="shared" si="13"/>
        <v>100 ± 3,155</v>
      </c>
    </row>
    <row r="79" spans="1:15" x14ac:dyDescent="0.3">
      <c r="B79" s="70" t="e">
        <f>[1]Кг_s1!D78</f>
        <v>#DIV/0!</v>
      </c>
      <c r="C79" s="21" t="e">
        <f>[1]Кг_s1!I78</f>
        <v>#DIV/0!</v>
      </c>
      <c r="D79" s="22">
        <f>[2]Кг_s1!B78</f>
        <v>0</v>
      </c>
      <c r="E79" s="22">
        <f>[2]Кг_s1!$C$2</f>
        <v>1E-3</v>
      </c>
      <c r="F79" s="22" t="e">
        <f t="shared" si="7"/>
        <v>#DIV/0!</v>
      </c>
      <c r="G79" s="22" t="e">
        <f t="shared" si="8"/>
        <v>#DIV/0!</v>
      </c>
      <c r="J79" s="23" t="e">
        <f t="shared" si="9"/>
        <v>#DIV/0!</v>
      </c>
      <c r="K79" s="23" t="e">
        <f t="shared" si="10"/>
        <v>#DIV/0!</v>
      </c>
      <c r="N79" s="24" t="e">
        <f t="shared" si="12"/>
        <v>#DIV/0!</v>
      </c>
      <c r="O79" s="24" t="e">
        <f t="shared" si="13"/>
        <v>#DIV/0!</v>
      </c>
    </row>
    <row r="80" spans="1:15" x14ac:dyDescent="0.3">
      <c r="B80" s="70" t="e">
        <f>[1]Кг_s1!D79</f>
        <v>#DIV/0!</v>
      </c>
      <c r="C80" s="21" t="e">
        <f>[1]Кг_s1!I79</f>
        <v>#DIV/0!</v>
      </c>
      <c r="D80" s="22">
        <f>[2]Кг_s1!B79</f>
        <v>0</v>
      </c>
      <c r="E80" s="22">
        <f>[2]Кг_s1!$C$2</f>
        <v>1E-3</v>
      </c>
      <c r="F80" s="22" t="e">
        <f t="shared" si="7"/>
        <v>#DIV/0!</v>
      </c>
      <c r="G80" s="22" t="e">
        <f t="shared" si="8"/>
        <v>#DIV/0!</v>
      </c>
      <c r="J80" s="23" t="e">
        <f t="shared" si="9"/>
        <v>#DIV/0!</v>
      </c>
      <c r="K80" s="23" t="e">
        <f t="shared" si="10"/>
        <v>#DIV/0!</v>
      </c>
      <c r="N80" s="24" t="e">
        <f t="shared" si="12"/>
        <v>#DIV/0!</v>
      </c>
      <c r="O80" s="24" t="e">
        <f t="shared" si="13"/>
        <v>#DIV/0!</v>
      </c>
    </row>
    <row r="81" spans="1:15" x14ac:dyDescent="0.3">
      <c r="A81" s="100" t="s">
        <v>51</v>
      </c>
      <c r="B81" s="70">
        <f>[1]Кг_s1!D80</f>
        <v>1</v>
      </c>
      <c r="C81" s="21">
        <f>[1]Кг_s1!I80</f>
        <v>0</v>
      </c>
      <c r="D81" s="22">
        <f>[2]Кг_s1!B80</f>
        <v>1</v>
      </c>
      <c r="E81" s="22">
        <f>[2]Кг_s1!$C$2</f>
        <v>1E-3</v>
      </c>
      <c r="F81" s="22" t="str">
        <f t="shared" si="7"/>
        <v>0 ± 0,001</v>
      </c>
      <c r="G81" s="22" t="str">
        <f t="shared" si="8"/>
        <v>0 ± 0,1</v>
      </c>
      <c r="J81" s="23" t="str">
        <f t="shared" si="9"/>
        <v>1 ± 0</v>
      </c>
      <c r="K81" s="23" t="str">
        <f t="shared" si="10"/>
        <v>100 ± 0</v>
      </c>
      <c r="N81" s="24" t="str">
        <f t="shared" si="12"/>
        <v>1 ± 0</v>
      </c>
      <c r="O81" s="24" t="str">
        <f t="shared" si="13"/>
        <v>100 ± 0</v>
      </c>
    </row>
    <row r="82" spans="1:15" x14ac:dyDescent="0.3">
      <c r="A82" s="100" t="s">
        <v>52</v>
      </c>
      <c r="B82" s="70">
        <f>[1]Кг_s1!D81</f>
        <v>1</v>
      </c>
      <c r="C82" s="21">
        <f>[1]Кг_s1!I81</f>
        <v>0</v>
      </c>
      <c r="D82" s="22">
        <f>[2]Кг_s1!B81</f>
        <v>1</v>
      </c>
      <c r="E82" s="22">
        <f>[2]Кг_s1!$C$2</f>
        <v>1E-3</v>
      </c>
      <c r="F82" s="22" t="str">
        <f t="shared" si="7"/>
        <v>0 ± 0,001</v>
      </c>
      <c r="G82" s="22" t="str">
        <f t="shared" si="8"/>
        <v>0 ± 0,1</v>
      </c>
      <c r="J82" s="23" t="str">
        <f t="shared" si="9"/>
        <v>1 ± 0</v>
      </c>
      <c r="K82" s="23" t="str">
        <f t="shared" si="10"/>
        <v>100 ± 0</v>
      </c>
      <c r="N82" s="24" t="str">
        <f t="shared" si="12"/>
        <v>1 ± 0</v>
      </c>
      <c r="O82" s="24" t="str">
        <f t="shared" si="13"/>
        <v>100 ± 0</v>
      </c>
    </row>
    <row r="83" spans="1:15" x14ac:dyDescent="0.3">
      <c r="A83" s="100" t="s">
        <v>53</v>
      </c>
      <c r="B83" s="70">
        <f>[1]Кг_s1!D82</f>
        <v>0.69260006727211565</v>
      </c>
      <c r="C83" s="21">
        <f>[1]Кг_s1!I82</f>
        <v>0.19767306984655311</v>
      </c>
      <c r="D83" s="22">
        <f>[2]Кг_s1!B82</f>
        <v>0.32200000000000001</v>
      </c>
      <c r="E83" s="22">
        <f>[2]Кг_s1!$C$2</f>
        <v>1E-3</v>
      </c>
      <c r="F83" s="22" t="str">
        <f t="shared" si="7"/>
        <v>0,371 ± 0,197</v>
      </c>
      <c r="G83" s="22" t="str">
        <f t="shared" si="8"/>
        <v>53,509 ± 28,397</v>
      </c>
      <c r="J83" s="23" t="str">
        <f t="shared" si="9"/>
        <v>0,693 ± 0,198</v>
      </c>
      <c r="K83" s="23" t="str">
        <f t="shared" si="10"/>
        <v>100 ± 28,541</v>
      </c>
      <c r="N83" s="24" t="str">
        <f t="shared" si="12"/>
        <v>0,693 ± 0,198</v>
      </c>
      <c r="O83" s="24" t="str">
        <f t="shared" si="13"/>
        <v>100 ± 28,541</v>
      </c>
    </row>
    <row r="84" spans="1:15" x14ac:dyDescent="0.3">
      <c r="A84" s="100" t="s">
        <v>54</v>
      </c>
      <c r="B84" s="70">
        <f>[1]Кг_s1!D83</f>
        <v>0.67463626685592626</v>
      </c>
      <c r="C84" s="21">
        <f>[1]Кг_s1!I83</f>
        <v>0.10995865870470983</v>
      </c>
      <c r="D84" s="22">
        <f>[2]Кг_s1!B83</f>
        <v>0.317</v>
      </c>
      <c r="E84" s="22">
        <f>[2]Кг_s1!$C$2</f>
        <v>1E-3</v>
      </c>
      <c r="F84" s="22" t="str">
        <f t="shared" si="7"/>
        <v>0,358 ± 0,109</v>
      </c>
      <c r="G84" s="22" t="str">
        <f t="shared" si="8"/>
        <v>53,012 ± 16,151</v>
      </c>
      <c r="J84" s="23" t="str">
        <f t="shared" si="9"/>
        <v>0,675 ± 0,11</v>
      </c>
      <c r="K84" s="23" t="str">
        <f t="shared" si="10"/>
        <v>100 ± 16,299</v>
      </c>
      <c r="N84" s="24" t="str">
        <f t="shared" si="12"/>
        <v>0,675 ± 0,11</v>
      </c>
      <c r="O84" s="24" t="str">
        <f t="shared" si="13"/>
        <v>100 ± 16,299</v>
      </c>
    </row>
    <row r="85" spans="1:15" x14ac:dyDescent="0.3">
      <c r="A85" s="100" t="s">
        <v>55</v>
      </c>
      <c r="B85" s="70">
        <f>[1]Кг_s1!D84</f>
        <v>0.95249794501780982</v>
      </c>
      <c r="C85" s="21">
        <f>[1]Кг_s1!I84</f>
        <v>2.9169537689868188E-4</v>
      </c>
      <c r="D85" s="22">
        <f>[2]Кг_s1!B84</f>
        <v>0.5</v>
      </c>
      <c r="E85" s="22">
        <f>[2]Кг_s1!$C$2</f>
        <v>1E-3</v>
      </c>
      <c r="F85" s="22" t="str">
        <f t="shared" si="7"/>
        <v>0,453 ± 0,001</v>
      </c>
      <c r="G85" s="22" t="str">
        <f t="shared" si="8"/>
        <v>47,507 ± 0,075</v>
      </c>
      <c r="J85" s="23" t="str">
        <f t="shared" si="9"/>
        <v>0,953 ± 0,001</v>
      </c>
      <c r="K85" s="23" t="str">
        <f t="shared" si="10"/>
        <v>100 ± 0,031</v>
      </c>
      <c r="N85" s="24" t="str">
        <f t="shared" si="12"/>
        <v>0,953 ± 0,001</v>
      </c>
      <c r="O85" s="24" t="str">
        <f t="shared" si="13"/>
        <v>100 ± 0,031</v>
      </c>
    </row>
    <row r="86" spans="1:15" x14ac:dyDescent="0.3">
      <c r="A86" s="100" t="s">
        <v>56</v>
      </c>
      <c r="B86" s="70">
        <f>[1]Кг_s1!D85</f>
        <v>0.96319885604016997</v>
      </c>
      <c r="C86" s="21">
        <f>[1]Кг_s1!I85</f>
        <v>3.8469649108373465E-2</v>
      </c>
      <c r="D86" s="22">
        <f>[2]Кг_s1!B85</f>
        <v>0.33300000000000002</v>
      </c>
      <c r="E86" s="22">
        <f>[2]Кг_s1!$C$2</f>
        <v>1E-3</v>
      </c>
      <c r="F86" s="22" t="str">
        <f t="shared" si="7"/>
        <v>0,631 ± 0,038</v>
      </c>
      <c r="G86" s="22" t="str">
        <f t="shared" si="8"/>
        <v>65,428 ± 3,891</v>
      </c>
      <c r="J86" s="23" t="str">
        <f t="shared" si="9"/>
        <v>0,964 ± 0,039</v>
      </c>
      <c r="K86" s="23" t="str">
        <f t="shared" si="10"/>
        <v>100 ± 3,994</v>
      </c>
      <c r="N86" s="24" t="str">
        <f t="shared" si="12"/>
        <v>0,964 ± 0,039</v>
      </c>
      <c r="O86" s="24" t="str">
        <f t="shared" si="13"/>
        <v>100 ± 3,994</v>
      </c>
    </row>
    <row r="87" spans="1:15" x14ac:dyDescent="0.3">
      <c r="A87" s="100" t="s">
        <v>57</v>
      </c>
      <c r="B87" s="70">
        <f>[1]Кг_s1!D86</f>
        <v>0.81334333210865106</v>
      </c>
      <c r="C87" s="21">
        <f>[1]Кг_s1!I86</f>
        <v>0.11678846481691314</v>
      </c>
      <c r="D87" s="22">
        <f>[2]Кг_s1!B86</f>
        <v>0.36099999999999999</v>
      </c>
      <c r="E87" s="22">
        <f>[2]Кг_s1!$C$2</f>
        <v>1E-3</v>
      </c>
      <c r="F87" s="22" t="str">
        <f t="shared" si="7"/>
        <v>0,453 ± 0,116</v>
      </c>
      <c r="G87" s="22" t="str">
        <f t="shared" si="8"/>
        <v>55,616 ± 14,237</v>
      </c>
      <c r="J87" s="23" t="str">
        <f t="shared" si="9"/>
        <v>0,814 ± 0,117</v>
      </c>
      <c r="K87" s="23" t="str">
        <f t="shared" si="10"/>
        <v>100 ± 14,36</v>
      </c>
      <c r="N87" s="24" t="str">
        <f t="shared" si="12"/>
        <v>0,814 ± 0,117</v>
      </c>
      <c r="O87" s="24" t="str">
        <f t="shared" si="13"/>
        <v>100 ± 14,36</v>
      </c>
    </row>
    <row r="88" spans="1:15" x14ac:dyDescent="0.3">
      <c r="A88" s="100" t="s">
        <v>58</v>
      </c>
      <c r="B88" s="70">
        <f>[1]Кг_s1!D87</f>
        <v>0.61640052431554571</v>
      </c>
      <c r="C88" s="21">
        <f>[1]Кг_s1!I87</f>
        <v>0.19832614144616162</v>
      </c>
      <c r="D88" s="22">
        <f>[2]Кг_s1!B87</f>
        <v>0.375</v>
      </c>
      <c r="E88" s="22">
        <f>[2]Кг_s1!$C$2</f>
        <v>1E-3</v>
      </c>
      <c r="F88" s="22" t="str">
        <f t="shared" si="7"/>
        <v>0,242 ± 0,198</v>
      </c>
      <c r="G88" s="22" t="str">
        <f t="shared" si="8"/>
        <v>39,163 ± 32,013</v>
      </c>
      <c r="J88" s="23" t="str">
        <f t="shared" si="9"/>
        <v>0,617 ± 0,199</v>
      </c>
      <c r="K88" s="23" t="str">
        <f t="shared" si="10"/>
        <v>100 ± 32,175</v>
      </c>
      <c r="N88" s="24" t="str">
        <f t="shared" si="12"/>
        <v>0,617 ± 0,199</v>
      </c>
      <c r="O88" s="24" t="str">
        <f t="shared" si="13"/>
        <v>100 ± 32,175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E013-B658-4F02-B923-EFBBC34533C2}">
  <sheetPr codeName="Лист11"/>
  <dimension ref="A1:X88"/>
  <sheetViews>
    <sheetView workbookViewId="0">
      <selection activeCell="D3" sqref="D3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17.88671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2" t="s">
        <v>47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3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8">
        <v>1</v>
      </c>
      <c r="B3" s="70">
        <f>[1]Кг_s12!D2</f>
        <v>1</v>
      </c>
      <c r="C3" s="21">
        <f>[1]Кг_s12!I2</f>
        <v>0</v>
      </c>
      <c r="D3" s="22">
        <f>[2]Кг_s12!B2</f>
        <v>1</v>
      </c>
      <c r="E3" s="22">
        <f>[2]Кг_s12!$C$2</f>
        <v>1E-3</v>
      </c>
      <c r="F3" s="22" t="str">
        <f>ROUNDUP(ABS(B3-D3),3) &amp; " ± " &amp; ROUNDUP(ABS(C3-E3),3)</f>
        <v>0 ± 0,001</v>
      </c>
      <c r="G3" s="22" t="str">
        <f>ROUNDUP(ABS(B3-D3)/B3*100,3) &amp; " ± " &amp; ROUNDUP(ABS(C3-E3)/B3*100,3)</f>
        <v>0 ± 0,1</v>
      </c>
      <c r="H3" s="23">
        <v>0.5</v>
      </c>
      <c r="I3" s="23">
        <v>0.01</v>
      </c>
      <c r="J3" s="23" t="str">
        <f>ROUNDUP(ABS(B3-H3),3) &amp; " ± " &amp; ROUNDUP(ABS(C3-I3),3)</f>
        <v>0,5 ± 0,01</v>
      </c>
      <c r="K3" s="23" t="str">
        <f>ROUNDUP(ABS(B3-H3)/B3*100,3) &amp; " ± " &amp; ROUNDUP(ABS(C3-I3)/B3*100,3)</f>
        <v>50 ± 1</v>
      </c>
      <c r="L3" s="24">
        <v>0.95</v>
      </c>
      <c r="M3" s="24">
        <v>2E-3</v>
      </c>
      <c r="N3" s="24" t="str">
        <f>ROUNDUP(ABS(B3-L3),3) &amp; " ± " &amp; ROUNDUP(ABS(C3-M3),3)</f>
        <v>0,05 ± 0,002</v>
      </c>
      <c r="O3" s="24" t="str">
        <f>ROUNDUP(ABS(B3-L3)/B3*100,3) &amp; " ± " &amp; ROUNDUP(ABS(C3-M3)/B3*100,3)</f>
        <v>5 ± 0,2</v>
      </c>
      <c r="Q3" s="20" cm="1">
        <f t="array" ref="Q3">PointMin3(ABS(B3-D3)+ABS(C3-E3),ABS(B3-H3)+ABS(C3-I3),ABS(B3-L3)+ABS(C3-M3),ABS(B3-D3)+ABS(C3-E3))</f>
        <v>3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2</v>
      </c>
      <c r="U3" s="20">
        <f>SUM(Q:S)</f>
        <v>31</v>
      </c>
      <c r="V3" s="20">
        <f>SUM(Q:Q)</f>
        <v>10</v>
      </c>
      <c r="W3" s="20">
        <f>SUM(R:R)</f>
        <v>10</v>
      </c>
      <c r="X3" s="20">
        <f>SUM(S:S)</f>
        <v>11</v>
      </c>
    </row>
    <row r="4" spans="1:24" x14ac:dyDescent="0.3">
      <c r="A4" s="99">
        <f>A3+1</f>
        <v>2</v>
      </c>
      <c r="B4" s="70">
        <v>-1</v>
      </c>
      <c r="C4" s="21">
        <v>-1</v>
      </c>
      <c r="D4" s="22">
        <f>[2]Кг_s12!B3</f>
        <v>0</v>
      </c>
      <c r="E4" s="22">
        <f>[2]Кг_s12!$C$2</f>
        <v>1E-3</v>
      </c>
      <c r="F4" s="22" t="str">
        <f t="shared" ref="F4:F67" si="0">ROUNDUP(ABS(B4-D4),3) &amp; " ± " &amp; ROUNDUP(ABS(C4-E4),3)</f>
        <v>1 ± 1,001</v>
      </c>
      <c r="G4" s="22" t="str">
        <f t="shared" ref="G4:G67" si="1">ROUNDUP(ABS(B4-D4)/B4*100,3) &amp; " ± " &amp; ROUNDUP(ABS(C4-E4)/B4*100,3)</f>
        <v>-100 ± -100,1</v>
      </c>
      <c r="H4" s="14">
        <v>-1</v>
      </c>
      <c r="I4" s="14">
        <v>-1</v>
      </c>
      <c r="J4" s="23" t="str">
        <f t="shared" ref="J4:J67" si="2">ROUNDUP(ABS(B4-H4),3) &amp; " ± " &amp; ROUNDUP(ABS(C4-I4),3)</f>
        <v>0 ± 0</v>
      </c>
      <c r="K4" s="23" t="str">
        <f t="shared" ref="K4:K67" si="3">ROUNDUP(ABS(B4-H4)/B4*100,3) &amp; " ± " &amp; ROUNDUP(ABS(C4-I4)/B4*100,3)</f>
        <v>0 ± 0</v>
      </c>
      <c r="L4" s="19">
        <v>-1</v>
      </c>
      <c r="M4" s="19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2</v>
      </c>
      <c r="S4" s="20" cm="1">
        <f t="array" ref="S4">PointMin3(ABS(B4-D4)+ABS(C4-E4),ABS(B4-H4)+ABS(C4-I4),ABS(B4-L4)+ABS(C4-M4),ABS(B4-L4)+ABS(C4-M4))</f>
        <v>2</v>
      </c>
    </row>
    <row r="5" spans="1:24" x14ac:dyDescent="0.3">
      <c r="A5" s="99">
        <f t="shared" ref="A5:A68" si="4">A4+1</f>
        <v>3</v>
      </c>
      <c r="B5" s="70">
        <v>-1</v>
      </c>
      <c r="C5" s="21">
        <v>-1</v>
      </c>
      <c r="D5" s="22">
        <f>[2]Кг_s12!B4</f>
        <v>0</v>
      </c>
      <c r="E5" s="22">
        <f>[2]Кг_s12!$C$2</f>
        <v>1E-3</v>
      </c>
      <c r="F5" s="22" t="str">
        <f t="shared" si="0"/>
        <v>1 ± 1,001</v>
      </c>
      <c r="G5" s="22" t="str">
        <f t="shared" si="1"/>
        <v>-100 ± -100,1</v>
      </c>
      <c r="H5" s="14">
        <v>-1</v>
      </c>
      <c r="I5" s="14">
        <v>-1</v>
      </c>
      <c r="J5" s="23" t="str">
        <f t="shared" si="2"/>
        <v>0 ± 0</v>
      </c>
      <c r="K5" s="23" t="str">
        <f t="shared" si="3"/>
        <v>0 ± 0</v>
      </c>
      <c r="L5" s="19">
        <v>-1</v>
      </c>
      <c r="M5" s="19">
        <v>-1</v>
      </c>
      <c r="N5" s="24" t="str">
        <f t="shared" ref="N5:N68" si="5">ROUNDUP(ABS(B5-L5),3) &amp; " ± " &amp; ROUNDUP(ABS(C5-M5),3)</f>
        <v>0 ± 0</v>
      </c>
      <c r="O5" s="24" t="str">
        <f t="shared" ref="O5:O6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2</v>
      </c>
      <c r="S5" s="20" cm="1">
        <f t="array" ref="S5">PointMin3(ABS(B5-D5)+ABS(C5-E5),ABS(B5-H5)+ABS(C5-I5),ABS(B5-L5)+ABS(C5-M5),ABS(B5-L5)+ABS(C5-M5))</f>
        <v>2</v>
      </c>
    </row>
    <row r="6" spans="1:24" x14ac:dyDescent="0.3">
      <c r="A6" s="99">
        <f t="shared" si="4"/>
        <v>4</v>
      </c>
      <c r="B6" s="70">
        <v>-1</v>
      </c>
      <c r="C6" s="21">
        <v>-1</v>
      </c>
      <c r="D6" s="22">
        <f>[2]Кг_s12!B5</f>
        <v>0</v>
      </c>
      <c r="E6" s="22">
        <f>[2]Кг_s12!$C$2</f>
        <v>1E-3</v>
      </c>
      <c r="F6" s="22" t="str">
        <f t="shared" si="0"/>
        <v>1 ± 1,001</v>
      </c>
      <c r="G6" s="22" t="str">
        <f t="shared" si="1"/>
        <v>-100 ± -100,1</v>
      </c>
      <c r="H6" s="14">
        <v>-1</v>
      </c>
      <c r="I6" s="14">
        <v>-1</v>
      </c>
      <c r="J6" s="23" t="str">
        <f t="shared" si="2"/>
        <v>0 ± 0</v>
      </c>
      <c r="K6" s="23" t="str">
        <f t="shared" si="3"/>
        <v>0 ± 0</v>
      </c>
      <c r="L6" s="19">
        <v>-1</v>
      </c>
      <c r="M6" s="19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2</v>
      </c>
      <c r="S6" s="20" cm="1">
        <f t="array" ref="S6">PointMin3(ABS(B6-D6)+ABS(C6-E6),ABS(B6-H6)+ABS(C6-I6),ABS(B6-L6)+ABS(C6-M6),ABS(B6-L6)+ABS(C6-M6))</f>
        <v>2</v>
      </c>
    </row>
    <row r="7" spans="1:24" x14ac:dyDescent="0.3">
      <c r="A7" s="99">
        <f t="shared" si="4"/>
        <v>5</v>
      </c>
      <c r="B7" s="70">
        <v>-1</v>
      </c>
      <c r="C7" s="21">
        <v>-1</v>
      </c>
      <c r="D7" s="22">
        <f>[2]Кг_s12!B6</f>
        <v>0</v>
      </c>
      <c r="E7" s="22">
        <f>[2]Кг_s12!$C$2</f>
        <v>1E-3</v>
      </c>
      <c r="F7" s="22" t="str">
        <f t="shared" si="0"/>
        <v>1 ± 1,001</v>
      </c>
      <c r="G7" s="22" t="str">
        <f t="shared" si="1"/>
        <v>-100 ± -100,1</v>
      </c>
      <c r="H7" s="14">
        <v>-1</v>
      </c>
      <c r="I7" s="14">
        <v>-1</v>
      </c>
      <c r="J7" s="23" t="str">
        <f t="shared" si="2"/>
        <v>0 ± 0</v>
      </c>
      <c r="K7" s="23" t="str">
        <f t="shared" si="3"/>
        <v>0 ± 0</v>
      </c>
      <c r="L7" s="19">
        <v>-1</v>
      </c>
      <c r="M7" s="19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2</v>
      </c>
      <c r="S7" s="20" cm="1">
        <f t="array" ref="S7">PointMin3(ABS(B7-D7)+ABS(C7-E7),ABS(B7-H7)+ABS(C7-I7),ABS(B7-L7)+ABS(C7-M7),ABS(B7-L7)+ABS(C7-M7))</f>
        <v>2</v>
      </c>
    </row>
    <row r="8" spans="1:24" x14ac:dyDescent="0.3">
      <c r="A8" s="100">
        <f t="shared" si="4"/>
        <v>6</v>
      </c>
      <c r="B8" s="70">
        <f>[1]Кг_s12!D7</f>
        <v>1</v>
      </c>
      <c r="C8" s="21">
        <f>[1]Кг_s12!I7</f>
        <v>0</v>
      </c>
      <c r="D8" s="22">
        <f>[2]Кг_s12!B7</f>
        <v>1</v>
      </c>
      <c r="E8" s="22">
        <f>[2]Кг_s12!$C$2</f>
        <v>1E-3</v>
      </c>
      <c r="F8" s="22" t="str">
        <f t="shared" si="0"/>
        <v>0 ± 0,001</v>
      </c>
      <c r="G8" s="22" t="str">
        <f t="shared" si="1"/>
        <v>0 ± 0,1</v>
      </c>
      <c r="J8" s="23" t="str">
        <f t="shared" si="2"/>
        <v>1 ± 0</v>
      </c>
      <c r="K8" s="23" t="str">
        <f t="shared" si="3"/>
        <v>100 ± 0</v>
      </c>
      <c r="N8" s="24" t="str">
        <f t="shared" si="5"/>
        <v>1 ± 0</v>
      </c>
      <c r="O8" s="24" t="str">
        <f t="shared" si="6"/>
        <v>100 ± 0</v>
      </c>
      <c r="Q8" s="20" cm="1">
        <f t="array" ref="Q8">PointMin3(ABS(B8-D8)+ABS(C8-E8),ABS(B8-H8)+ABS(C8-I8),ABS(B8-L8)+ABS(C8-M8),ABS(B8-D8)+ABS(C8-E8))</f>
        <v>3</v>
      </c>
      <c r="R8" s="20" cm="1">
        <f t="array" ref="R8">PointMin3(ABS(B8-D8)+ABS(C8-E8),ABS(B8-H8)+ABS(C8-I8),ABS(B8-L8)+ABS(C8-M8),ABS(B8-H8)+ABS(C8-I8))</f>
        <v>1</v>
      </c>
      <c r="S8" s="20" cm="1">
        <f t="array" ref="S8">PointMin3(ABS(B8-D8)+ABS(C8-E8),ABS(B8-H8)+ABS(C8-I8),ABS(B8-L8)+ABS(C8-M8),ABS(B8-L8)+ABS(C8-M8))</f>
        <v>1</v>
      </c>
    </row>
    <row r="9" spans="1:24" x14ac:dyDescent="0.3">
      <c r="A9" s="99">
        <f t="shared" si="4"/>
        <v>7</v>
      </c>
      <c r="B9" s="70" t="e">
        <f>[1]Кг_s12!D8</f>
        <v>#DIV/0!</v>
      </c>
      <c r="C9" s="21" t="e">
        <f>[1]Кг_s12!I8</f>
        <v>#DIV/0!</v>
      </c>
      <c r="D9" s="22">
        <f>[2]Кг_s12!B8</f>
        <v>0</v>
      </c>
      <c r="E9" s="22">
        <f>[2]Кг_s12!$C$2</f>
        <v>1E-3</v>
      </c>
      <c r="F9" s="22" t="e">
        <f t="shared" si="0"/>
        <v>#DIV/0!</v>
      </c>
      <c r="G9" s="22" t="e">
        <f t="shared" si="1"/>
        <v>#DIV/0!</v>
      </c>
      <c r="J9" s="23" t="e">
        <f t="shared" si="2"/>
        <v>#DIV/0!</v>
      </c>
      <c r="K9" s="23" t="e">
        <f t="shared" si="3"/>
        <v>#DIV/0!</v>
      </c>
      <c r="N9" s="24" t="e">
        <f t="shared" si="5"/>
        <v>#DIV/0!</v>
      </c>
      <c r="O9" s="24" t="e">
        <f t="shared" si="6"/>
        <v>#DIV/0!</v>
      </c>
    </row>
    <row r="10" spans="1:24" x14ac:dyDescent="0.3">
      <c r="A10" s="99">
        <f t="shared" si="4"/>
        <v>8</v>
      </c>
      <c r="B10" s="70" t="e">
        <f>[1]Кг_s12!D9</f>
        <v>#DIV/0!</v>
      </c>
      <c r="C10" s="21" t="e">
        <f>[1]Кг_s12!I9</f>
        <v>#DIV/0!</v>
      </c>
      <c r="D10" s="22">
        <f>[2]Кг_s12!B9</f>
        <v>0</v>
      </c>
      <c r="E10" s="22">
        <f>[2]Кг_s12!$C$2</f>
        <v>1E-3</v>
      </c>
      <c r="F10" s="22" t="e">
        <f t="shared" si="0"/>
        <v>#DIV/0!</v>
      </c>
      <c r="G10" s="22" t="e">
        <f t="shared" si="1"/>
        <v>#DIV/0!</v>
      </c>
      <c r="J10" s="23" t="e">
        <f t="shared" si="2"/>
        <v>#DIV/0!</v>
      </c>
      <c r="K10" s="23" t="e">
        <f t="shared" si="3"/>
        <v>#DIV/0!</v>
      </c>
      <c r="N10" s="24" t="e">
        <f t="shared" si="5"/>
        <v>#DIV/0!</v>
      </c>
      <c r="O10" s="24" t="e">
        <f t="shared" si="6"/>
        <v>#DIV/0!</v>
      </c>
      <c r="U10" s="36"/>
    </row>
    <row r="11" spans="1:24" x14ac:dyDescent="0.3">
      <c r="A11" s="99">
        <f t="shared" si="4"/>
        <v>9</v>
      </c>
      <c r="B11" s="70" t="e">
        <f>[1]Кг_s12!D10</f>
        <v>#DIV/0!</v>
      </c>
      <c r="C11" s="21" t="e">
        <f>[1]Кг_s12!I10</f>
        <v>#DIV/0!</v>
      </c>
      <c r="D11" s="22">
        <f>[2]Кг_s12!B10</f>
        <v>0</v>
      </c>
      <c r="E11" s="22">
        <f>[2]Кг_s12!$C$2</f>
        <v>1E-3</v>
      </c>
      <c r="F11" s="22" t="e">
        <f t="shared" si="0"/>
        <v>#DIV/0!</v>
      </c>
      <c r="G11" s="22" t="e">
        <f t="shared" si="1"/>
        <v>#DIV/0!</v>
      </c>
      <c r="J11" s="23" t="e">
        <f t="shared" si="2"/>
        <v>#DIV/0!</v>
      </c>
      <c r="K11" s="23" t="e">
        <f t="shared" si="3"/>
        <v>#DIV/0!</v>
      </c>
      <c r="N11" s="24" t="e">
        <f t="shared" si="5"/>
        <v>#DIV/0!</v>
      </c>
      <c r="O11" s="24" t="e">
        <f t="shared" si="6"/>
        <v>#DIV/0!</v>
      </c>
    </row>
    <row r="12" spans="1:24" x14ac:dyDescent="0.3">
      <c r="A12" s="99">
        <f t="shared" si="4"/>
        <v>10</v>
      </c>
      <c r="B12" s="70" t="e">
        <f>[1]Кг_s12!D11</f>
        <v>#DIV/0!</v>
      </c>
      <c r="C12" s="21" t="e">
        <f>[1]Кг_s12!I11</f>
        <v>#DIV/0!</v>
      </c>
      <c r="D12" s="22">
        <f>[2]Кг_s12!B11</f>
        <v>0</v>
      </c>
      <c r="E12" s="22">
        <f>[2]Кг_s12!$C$2</f>
        <v>1E-3</v>
      </c>
      <c r="F12" s="22" t="e">
        <f t="shared" si="0"/>
        <v>#DIV/0!</v>
      </c>
      <c r="G12" s="22" t="e">
        <f t="shared" si="1"/>
        <v>#DIV/0!</v>
      </c>
      <c r="J12" s="23" t="e">
        <f t="shared" si="2"/>
        <v>#DIV/0!</v>
      </c>
      <c r="K12" s="23" t="e">
        <f t="shared" si="3"/>
        <v>#DIV/0!</v>
      </c>
      <c r="N12" s="24" t="e">
        <f t="shared" si="5"/>
        <v>#DIV/0!</v>
      </c>
      <c r="O12" s="24" t="e">
        <f t="shared" si="6"/>
        <v>#DIV/0!</v>
      </c>
    </row>
    <row r="13" spans="1:24" x14ac:dyDescent="0.3">
      <c r="A13" s="100">
        <f t="shared" si="4"/>
        <v>11</v>
      </c>
      <c r="B13" s="70">
        <f>[1]Кг_s12!D12</f>
        <v>1</v>
      </c>
      <c r="C13" s="21">
        <f>[1]Кг_s12!I12</f>
        <v>0</v>
      </c>
      <c r="D13" s="22">
        <f>[2]Кг_s12!B12</f>
        <v>0.5</v>
      </c>
      <c r="E13" s="22">
        <f>[2]Кг_s12!$C$2</f>
        <v>1E-3</v>
      </c>
      <c r="F13" s="22" t="str">
        <f t="shared" si="0"/>
        <v>0,5 ± 0,001</v>
      </c>
      <c r="G13" s="22" t="str">
        <f t="shared" si="1"/>
        <v>50 ± 0,1</v>
      </c>
      <c r="J13" s="23" t="str">
        <f t="shared" si="2"/>
        <v>1 ± 0</v>
      </c>
      <c r="K13" s="23" t="str">
        <f t="shared" si="3"/>
        <v>100 ± 0</v>
      </c>
      <c r="N13" s="24" t="str">
        <f t="shared" si="5"/>
        <v>1 ± 0</v>
      </c>
      <c r="O13" s="24" t="str">
        <f t="shared" si="6"/>
        <v>100 ± 0</v>
      </c>
    </row>
    <row r="14" spans="1:24" x14ac:dyDescent="0.3">
      <c r="A14" s="99">
        <f t="shared" si="4"/>
        <v>12</v>
      </c>
      <c r="B14" s="70" t="e">
        <f>[1]Кг_s12!D13</f>
        <v>#DIV/0!</v>
      </c>
      <c r="C14" s="21" t="e">
        <f>[1]Кг_s12!I13</f>
        <v>#DIV/0!</v>
      </c>
      <c r="D14" s="22">
        <f>[2]Кг_s12!B13</f>
        <v>0</v>
      </c>
      <c r="E14" s="22">
        <f>[2]Кг_s12!$C$2</f>
        <v>1E-3</v>
      </c>
      <c r="F14" s="22" t="e">
        <f t="shared" si="0"/>
        <v>#DIV/0!</v>
      </c>
      <c r="G14" s="22" t="e">
        <f t="shared" si="1"/>
        <v>#DIV/0!</v>
      </c>
      <c r="J14" s="23" t="e">
        <f t="shared" si="2"/>
        <v>#DIV/0!</v>
      </c>
      <c r="K14" s="23" t="e">
        <f t="shared" si="3"/>
        <v>#DIV/0!</v>
      </c>
      <c r="N14" s="24" t="e">
        <f t="shared" si="5"/>
        <v>#DIV/0!</v>
      </c>
      <c r="O14" s="24" t="e">
        <f t="shared" si="6"/>
        <v>#DIV/0!</v>
      </c>
    </row>
    <row r="15" spans="1:24" x14ac:dyDescent="0.3">
      <c r="A15" s="99">
        <f t="shared" si="4"/>
        <v>13</v>
      </c>
      <c r="B15" s="70" t="e">
        <f>[1]Кг_s12!D14</f>
        <v>#DIV/0!</v>
      </c>
      <c r="C15" s="21" t="e">
        <f>[1]Кг_s12!I14</f>
        <v>#DIV/0!</v>
      </c>
      <c r="D15" s="22">
        <f>[2]Кг_s12!B14</f>
        <v>0</v>
      </c>
      <c r="E15" s="22">
        <f>[2]Кг_s12!$C$2</f>
        <v>1E-3</v>
      </c>
      <c r="F15" s="22" t="e">
        <f t="shared" si="0"/>
        <v>#DIV/0!</v>
      </c>
      <c r="G15" s="22" t="e">
        <f t="shared" si="1"/>
        <v>#DIV/0!</v>
      </c>
      <c r="J15" s="23" t="e">
        <f t="shared" si="2"/>
        <v>#DIV/0!</v>
      </c>
      <c r="K15" s="23" t="e">
        <f t="shared" si="3"/>
        <v>#DIV/0!</v>
      </c>
      <c r="N15" s="24" t="e">
        <f t="shared" si="5"/>
        <v>#DIV/0!</v>
      </c>
      <c r="O15" s="24" t="e">
        <f t="shared" si="6"/>
        <v>#DIV/0!</v>
      </c>
    </row>
    <row r="16" spans="1:24" x14ac:dyDescent="0.3">
      <c r="A16" s="99">
        <f t="shared" si="4"/>
        <v>14</v>
      </c>
      <c r="B16" s="70" t="e">
        <f>[1]Кг_s12!D15</f>
        <v>#DIV/0!</v>
      </c>
      <c r="C16" s="21" t="e">
        <f>[1]Кг_s12!I15</f>
        <v>#DIV/0!</v>
      </c>
      <c r="D16" s="22">
        <f>[2]Кг_s12!B15</f>
        <v>0</v>
      </c>
      <c r="E16" s="22">
        <f>[2]Кг_s12!$C$2</f>
        <v>1E-3</v>
      </c>
      <c r="F16" s="22" t="e">
        <f t="shared" si="0"/>
        <v>#DIV/0!</v>
      </c>
      <c r="G16" s="22" t="e">
        <f t="shared" si="1"/>
        <v>#DIV/0!</v>
      </c>
      <c r="J16" s="23" t="e">
        <f t="shared" si="2"/>
        <v>#DIV/0!</v>
      </c>
      <c r="K16" s="23" t="e">
        <f t="shared" si="3"/>
        <v>#DIV/0!</v>
      </c>
      <c r="N16" s="24" t="e">
        <f t="shared" si="5"/>
        <v>#DIV/0!</v>
      </c>
      <c r="O16" s="24" t="e">
        <f t="shared" si="6"/>
        <v>#DIV/0!</v>
      </c>
    </row>
    <row r="17" spans="1:15" x14ac:dyDescent="0.3">
      <c r="A17" s="99">
        <f t="shared" si="4"/>
        <v>15</v>
      </c>
      <c r="B17" s="70" t="e">
        <f>[1]Кг_s12!D16</f>
        <v>#DIV/0!</v>
      </c>
      <c r="C17" s="21" t="e">
        <f>[1]Кг_s12!I16</f>
        <v>#DIV/0!</v>
      </c>
      <c r="D17" s="22">
        <f>[2]Кг_s12!B16</f>
        <v>0</v>
      </c>
      <c r="E17" s="22">
        <f>[2]Кг_s12!$C$2</f>
        <v>1E-3</v>
      </c>
      <c r="F17" s="22" t="e">
        <f t="shared" si="0"/>
        <v>#DIV/0!</v>
      </c>
      <c r="G17" s="22" t="e">
        <f t="shared" si="1"/>
        <v>#DIV/0!</v>
      </c>
      <c r="J17" s="23" t="e">
        <f t="shared" si="2"/>
        <v>#DIV/0!</v>
      </c>
      <c r="K17" s="23" t="e">
        <f t="shared" si="3"/>
        <v>#DIV/0!</v>
      </c>
      <c r="N17" s="24" t="e">
        <f t="shared" si="5"/>
        <v>#DIV/0!</v>
      </c>
      <c r="O17" s="24" t="e">
        <f t="shared" si="6"/>
        <v>#DIV/0!</v>
      </c>
    </row>
    <row r="18" spans="1:15" x14ac:dyDescent="0.3">
      <c r="A18" s="100">
        <f t="shared" si="4"/>
        <v>16</v>
      </c>
      <c r="B18" s="70">
        <f>[1]Кг_s12!D17</f>
        <v>0.93407780964224163</v>
      </c>
      <c r="C18" s="21">
        <f>[1]Кг_s12!I17</f>
        <v>0.27029839581291781</v>
      </c>
      <c r="D18" s="22">
        <f>[2]Кг_s12!B17</f>
        <v>0.5</v>
      </c>
      <c r="E18" s="22">
        <f>[2]Кг_s12!$C$2</f>
        <v>1E-3</v>
      </c>
      <c r="F18" s="22" t="str">
        <f t="shared" si="0"/>
        <v>0,435 ± 0,27</v>
      </c>
      <c r="G18" s="22" t="str">
        <f t="shared" si="1"/>
        <v>46,472 ± 28,831</v>
      </c>
      <c r="J18" s="23" t="str">
        <f t="shared" si="2"/>
        <v>0,935 ± 0,271</v>
      </c>
      <c r="K18" s="23" t="str">
        <f t="shared" si="3"/>
        <v>100 ± 28,938</v>
      </c>
      <c r="N18" s="24" t="str">
        <f t="shared" si="5"/>
        <v>0,935 ± 0,271</v>
      </c>
      <c r="O18" s="24" t="str">
        <f t="shared" si="6"/>
        <v>100 ± 28,938</v>
      </c>
    </row>
    <row r="19" spans="1:15" x14ac:dyDescent="0.3">
      <c r="A19" s="99">
        <f t="shared" si="4"/>
        <v>17</v>
      </c>
      <c r="B19" s="70" t="e">
        <f>[1]Кг_s12!D18</f>
        <v>#DIV/0!</v>
      </c>
      <c r="C19" s="21" t="e">
        <f>[1]Кг_s12!I18</f>
        <v>#DIV/0!</v>
      </c>
      <c r="D19" s="22">
        <f>[2]Кг_s12!B18</f>
        <v>0</v>
      </c>
      <c r="E19" s="22">
        <f>[2]Кг_s12!$C$2</f>
        <v>1E-3</v>
      </c>
      <c r="F19" s="22" t="e">
        <f t="shared" si="0"/>
        <v>#DIV/0!</v>
      </c>
      <c r="G19" s="22" t="e">
        <f t="shared" si="1"/>
        <v>#DIV/0!</v>
      </c>
      <c r="J19" s="23" t="e">
        <f t="shared" si="2"/>
        <v>#DIV/0!</v>
      </c>
      <c r="K19" s="23" t="e">
        <f t="shared" si="3"/>
        <v>#DIV/0!</v>
      </c>
      <c r="N19" s="24" t="e">
        <f t="shared" si="5"/>
        <v>#DIV/0!</v>
      </c>
      <c r="O19" s="24" t="e">
        <f t="shared" si="6"/>
        <v>#DIV/0!</v>
      </c>
    </row>
    <row r="20" spans="1:15" x14ac:dyDescent="0.3">
      <c r="A20" s="99">
        <f t="shared" si="4"/>
        <v>18</v>
      </c>
      <c r="B20" s="70" t="e">
        <f>[1]Кг_s12!D19</f>
        <v>#DIV/0!</v>
      </c>
      <c r="C20" s="21" t="e">
        <f>[1]Кг_s12!I19</f>
        <v>#DIV/0!</v>
      </c>
      <c r="D20" s="22">
        <f>[2]Кг_s12!B19</f>
        <v>0</v>
      </c>
      <c r="E20" s="22">
        <f>[2]Кг_s12!$C$2</f>
        <v>1E-3</v>
      </c>
      <c r="F20" s="22" t="e">
        <f t="shared" si="0"/>
        <v>#DIV/0!</v>
      </c>
      <c r="G20" s="22" t="e">
        <f t="shared" si="1"/>
        <v>#DIV/0!</v>
      </c>
      <c r="J20" s="23" t="e">
        <f t="shared" si="2"/>
        <v>#DIV/0!</v>
      </c>
      <c r="K20" s="23" t="e">
        <f t="shared" si="3"/>
        <v>#DIV/0!</v>
      </c>
      <c r="N20" s="24" t="e">
        <f t="shared" si="5"/>
        <v>#DIV/0!</v>
      </c>
      <c r="O20" s="24" t="e">
        <f t="shared" si="6"/>
        <v>#DIV/0!</v>
      </c>
    </row>
    <row r="21" spans="1:15" x14ac:dyDescent="0.3">
      <c r="A21" s="99">
        <f t="shared" si="4"/>
        <v>19</v>
      </c>
      <c r="B21" s="70" t="e">
        <f>[1]Кг_s12!D20</f>
        <v>#DIV/0!</v>
      </c>
      <c r="C21" s="21" t="e">
        <f>[1]Кг_s12!I20</f>
        <v>#DIV/0!</v>
      </c>
      <c r="D21" s="22">
        <f>[2]Кг_s12!B20</f>
        <v>0</v>
      </c>
      <c r="E21" s="22">
        <f>[2]Кг_s12!$C$2</f>
        <v>1E-3</v>
      </c>
      <c r="F21" s="22" t="e">
        <f t="shared" si="0"/>
        <v>#DIV/0!</v>
      </c>
      <c r="G21" s="22" t="e">
        <f t="shared" si="1"/>
        <v>#DIV/0!</v>
      </c>
      <c r="J21" s="23" t="e">
        <f t="shared" si="2"/>
        <v>#DIV/0!</v>
      </c>
      <c r="K21" s="23" t="e">
        <f t="shared" si="3"/>
        <v>#DIV/0!</v>
      </c>
      <c r="N21" s="24" t="e">
        <f t="shared" si="5"/>
        <v>#DIV/0!</v>
      </c>
      <c r="O21" s="24" t="e">
        <f t="shared" si="6"/>
        <v>#DIV/0!</v>
      </c>
    </row>
    <row r="22" spans="1:15" x14ac:dyDescent="0.3">
      <c r="A22" s="99">
        <f t="shared" si="4"/>
        <v>20</v>
      </c>
      <c r="B22" s="70" t="e">
        <f>[1]Кг_s12!D21</f>
        <v>#DIV/0!</v>
      </c>
      <c r="C22" s="21" t="e">
        <f>[1]Кг_s12!I21</f>
        <v>#DIV/0!</v>
      </c>
      <c r="D22" s="22">
        <f>[2]Кг_s12!B21</f>
        <v>0</v>
      </c>
      <c r="E22" s="22">
        <f>[2]Кг_s12!$C$2</f>
        <v>1E-3</v>
      </c>
      <c r="F22" s="22" t="e">
        <f t="shared" si="0"/>
        <v>#DIV/0!</v>
      </c>
      <c r="G22" s="22" t="e">
        <f t="shared" si="1"/>
        <v>#DIV/0!</v>
      </c>
      <c r="J22" s="23" t="e">
        <f t="shared" si="2"/>
        <v>#DIV/0!</v>
      </c>
      <c r="K22" s="23" t="e">
        <f t="shared" si="3"/>
        <v>#DIV/0!</v>
      </c>
      <c r="N22" s="24" t="e">
        <f t="shared" si="5"/>
        <v>#DIV/0!</v>
      </c>
      <c r="O22" s="24" t="e">
        <f t="shared" si="6"/>
        <v>#DIV/0!</v>
      </c>
    </row>
    <row r="23" spans="1:15" x14ac:dyDescent="0.3">
      <c r="A23" s="100">
        <f t="shared" si="4"/>
        <v>21</v>
      </c>
      <c r="B23" s="70">
        <f>[1]Кг_s12!D22</f>
        <v>1</v>
      </c>
      <c r="C23" s="21">
        <f>[1]Кг_s12!I22</f>
        <v>0</v>
      </c>
      <c r="D23" s="22">
        <f>[2]Кг_s12!B22</f>
        <v>1</v>
      </c>
      <c r="E23" s="22">
        <f>[2]Кг_s12!$C$2</f>
        <v>1E-3</v>
      </c>
      <c r="F23" s="22" t="str">
        <f t="shared" si="0"/>
        <v>0 ± 0,001</v>
      </c>
      <c r="G23" s="22" t="str">
        <f t="shared" si="1"/>
        <v>0 ± 0,1</v>
      </c>
      <c r="J23" s="23" t="str">
        <f t="shared" si="2"/>
        <v>1 ± 0</v>
      </c>
      <c r="K23" s="23" t="str">
        <f t="shared" si="3"/>
        <v>100 ± 0</v>
      </c>
      <c r="N23" s="24" t="str">
        <f t="shared" si="5"/>
        <v>1 ± 0</v>
      </c>
      <c r="O23" s="24" t="str">
        <f t="shared" si="6"/>
        <v>100 ± 0</v>
      </c>
    </row>
    <row r="24" spans="1:15" x14ac:dyDescent="0.3">
      <c r="A24" s="67">
        <f t="shared" si="4"/>
        <v>22</v>
      </c>
      <c r="B24" s="70" t="e">
        <f>[1]Кг_s12!D23</f>
        <v>#DIV/0!</v>
      </c>
      <c r="C24" s="21" t="e">
        <f>[1]Кг_s12!I23</f>
        <v>#DIV/0!</v>
      </c>
      <c r="D24" s="22">
        <f>[2]Кг_s12!B23</f>
        <v>0</v>
      </c>
      <c r="E24" s="22">
        <f>[2]Кг_s12!$C$2</f>
        <v>1E-3</v>
      </c>
      <c r="F24" s="22" t="e">
        <f t="shared" si="0"/>
        <v>#DIV/0!</v>
      </c>
      <c r="G24" s="22" t="e">
        <f t="shared" si="1"/>
        <v>#DIV/0!</v>
      </c>
      <c r="J24" s="23" t="e">
        <f t="shared" si="2"/>
        <v>#DIV/0!</v>
      </c>
      <c r="K24" s="23" t="e">
        <f t="shared" si="3"/>
        <v>#DIV/0!</v>
      </c>
      <c r="N24" s="24" t="e">
        <f t="shared" si="5"/>
        <v>#DIV/0!</v>
      </c>
      <c r="O24" s="24" t="e">
        <f t="shared" si="6"/>
        <v>#DIV/0!</v>
      </c>
    </row>
    <row r="25" spans="1:15" x14ac:dyDescent="0.3">
      <c r="A25" s="67">
        <f t="shared" si="4"/>
        <v>23</v>
      </c>
      <c r="B25" s="70" t="e">
        <f>[1]Кг_s12!D24</f>
        <v>#DIV/0!</v>
      </c>
      <c r="C25" s="21" t="e">
        <f>[1]Кг_s12!I24</f>
        <v>#DIV/0!</v>
      </c>
      <c r="D25" s="22">
        <f>[2]Кг_s12!B24</f>
        <v>0</v>
      </c>
      <c r="E25" s="22">
        <f>[2]Кг_s12!$C$2</f>
        <v>1E-3</v>
      </c>
      <c r="F25" s="22" t="e">
        <f t="shared" si="0"/>
        <v>#DIV/0!</v>
      </c>
      <c r="G25" s="22" t="e">
        <f t="shared" si="1"/>
        <v>#DIV/0!</v>
      </c>
      <c r="J25" s="23" t="e">
        <f t="shared" si="2"/>
        <v>#DIV/0!</v>
      </c>
      <c r="K25" s="23" t="e">
        <f t="shared" si="3"/>
        <v>#DIV/0!</v>
      </c>
      <c r="N25" s="24" t="e">
        <f t="shared" si="5"/>
        <v>#DIV/0!</v>
      </c>
      <c r="O25" s="24" t="e">
        <f t="shared" si="6"/>
        <v>#DIV/0!</v>
      </c>
    </row>
    <row r="26" spans="1:15" x14ac:dyDescent="0.3">
      <c r="A26" s="67">
        <f t="shared" si="4"/>
        <v>24</v>
      </c>
      <c r="B26" s="70" t="e">
        <f>[1]Кг_s12!D25</f>
        <v>#DIV/0!</v>
      </c>
      <c r="C26" s="21" t="e">
        <f>[1]Кг_s12!I25</f>
        <v>#DIV/0!</v>
      </c>
      <c r="D26" s="22">
        <f>[2]Кг_s12!B25</f>
        <v>0</v>
      </c>
      <c r="E26" s="22">
        <f>[2]Кг_s12!$C$2</f>
        <v>1E-3</v>
      </c>
      <c r="F26" s="22" t="e">
        <f t="shared" si="0"/>
        <v>#DIV/0!</v>
      </c>
      <c r="G26" s="22" t="e">
        <f t="shared" si="1"/>
        <v>#DIV/0!</v>
      </c>
      <c r="J26" s="23" t="e">
        <f t="shared" si="2"/>
        <v>#DIV/0!</v>
      </c>
      <c r="K26" s="23" t="e">
        <f t="shared" si="3"/>
        <v>#DIV/0!</v>
      </c>
      <c r="N26" s="24" t="e">
        <f t="shared" si="5"/>
        <v>#DIV/0!</v>
      </c>
      <c r="O26" s="24" t="e">
        <f t="shared" si="6"/>
        <v>#DIV/0!</v>
      </c>
    </row>
    <row r="27" spans="1:15" x14ac:dyDescent="0.3">
      <c r="A27" s="67">
        <f t="shared" si="4"/>
        <v>25</v>
      </c>
      <c r="B27" s="70" t="e">
        <f>[1]Кг_s12!D26</f>
        <v>#DIV/0!</v>
      </c>
      <c r="C27" s="21" t="e">
        <f>[1]Кг_s12!I26</f>
        <v>#DIV/0!</v>
      </c>
      <c r="D27" s="22">
        <f>[2]Кг_s12!B26</f>
        <v>0</v>
      </c>
      <c r="E27" s="22">
        <f>[2]Кг_s12!$C$2</f>
        <v>1E-3</v>
      </c>
      <c r="F27" s="22" t="e">
        <f t="shared" si="0"/>
        <v>#DIV/0!</v>
      </c>
      <c r="G27" s="22" t="e">
        <f t="shared" si="1"/>
        <v>#DIV/0!</v>
      </c>
      <c r="J27" s="23" t="e">
        <f t="shared" si="2"/>
        <v>#DIV/0!</v>
      </c>
      <c r="K27" s="23" t="e">
        <f t="shared" si="3"/>
        <v>#DIV/0!</v>
      </c>
      <c r="N27" s="24" t="e">
        <f t="shared" si="5"/>
        <v>#DIV/0!</v>
      </c>
      <c r="O27" s="24" t="e">
        <f t="shared" si="6"/>
        <v>#DIV/0!</v>
      </c>
    </row>
    <row r="28" spans="1:15" x14ac:dyDescent="0.3">
      <c r="A28" s="100">
        <f t="shared" si="4"/>
        <v>26</v>
      </c>
      <c r="B28" s="70">
        <f>[1]Кг_s12!D27</f>
        <v>1</v>
      </c>
      <c r="C28" s="21">
        <f>[1]Кг_s12!I27</f>
        <v>0</v>
      </c>
      <c r="D28" s="22">
        <f>[2]Кг_s12!B27</f>
        <v>1</v>
      </c>
      <c r="E28" s="22">
        <f>[2]Кг_s12!$C$2</f>
        <v>1E-3</v>
      </c>
      <c r="F28" s="22" t="str">
        <f t="shared" si="0"/>
        <v>0 ± 0,001</v>
      </c>
      <c r="G28" s="22" t="str">
        <f t="shared" si="1"/>
        <v>0 ± 0,1</v>
      </c>
      <c r="J28" s="23" t="str">
        <f t="shared" si="2"/>
        <v>1 ± 0</v>
      </c>
      <c r="K28" s="23" t="str">
        <f t="shared" si="3"/>
        <v>100 ± 0</v>
      </c>
      <c r="N28" s="24" t="str">
        <f t="shared" si="5"/>
        <v>1 ± 0</v>
      </c>
      <c r="O28" s="24" t="str">
        <f t="shared" si="6"/>
        <v>100 ± 0</v>
      </c>
    </row>
    <row r="29" spans="1:15" x14ac:dyDescent="0.3">
      <c r="A29" s="67">
        <f t="shared" si="4"/>
        <v>27</v>
      </c>
      <c r="B29" s="70" t="e">
        <f>[1]Кг_s12!D28</f>
        <v>#DIV/0!</v>
      </c>
      <c r="C29" s="21" t="e">
        <f>[1]Кг_s12!I28</f>
        <v>#DIV/0!</v>
      </c>
      <c r="D29" s="22">
        <f>[2]Кг_s12!B28</f>
        <v>0</v>
      </c>
      <c r="E29" s="22">
        <f>[2]Кг_s12!$C$2</f>
        <v>1E-3</v>
      </c>
      <c r="F29" s="22" t="e">
        <f t="shared" si="0"/>
        <v>#DIV/0!</v>
      </c>
      <c r="G29" s="22" t="e">
        <f t="shared" si="1"/>
        <v>#DIV/0!</v>
      </c>
      <c r="J29" s="23" t="e">
        <f t="shared" si="2"/>
        <v>#DIV/0!</v>
      </c>
      <c r="K29" s="23" t="e">
        <f t="shared" si="3"/>
        <v>#DIV/0!</v>
      </c>
      <c r="N29" s="24" t="e">
        <f t="shared" si="5"/>
        <v>#DIV/0!</v>
      </c>
      <c r="O29" s="24" t="e">
        <f t="shared" si="6"/>
        <v>#DIV/0!</v>
      </c>
    </row>
    <row r="30" spans="1:15" x14ac:dyDescent="0.3">
      <c r="A30" s="67">
        <f t="shared" si="4"/>
        <v>28</v>
      </c>
      <c r="B30" s="70" t="e">
        <f>[1]Кг_s12!D29</f>
        <v>#DIV/0!</v>
      </c>
      <c r="C30" s="21" t="e">
        <f>[1]Кг_s12!I29</f>
        <v>#DIV/0!</v>
      </c>
      <c r="D30" s="22">
        <f>[2]Кг_s12!B29</f>
        <v>0</v>
      </c>
      <c r="E30" s="22">
        <f>[2]Кг_s12!$C$2</f>
        <v>1E-3</v>
      </c>
      <c r="F30" s="22" t="e">
        <f t="shared" si="0"/>
        <v>#DIV/0!</v>
      </c>
      <c r="G30" s="22" t="e">
        <f t="shared" si="1"/>
        <v>#DIV/0!</v>
      </c>
      <c r="J30" s="23" t="e">
        <f t="shared" si="2"/>
        <v>#DIV/0!</v>
      </c>
      <c r="K30" s="23" t="e">
        <f t="shared" si="3"/>
        <v>#DIV/0!</v>
      </c>
      <c r="N30" s="24" t="e">
        <f t="shared" si="5"/>
        <v>#DIV/0!</v>
      </c>
      <c r="O30" s="24" t="e">
        <f t="shared" si="6"/>
        <v>#DIV/0!</v>
      </c>
    </row>
    <row r="31" spans="1:15" x14ac:dyDescent="0.3">
      <c r="A31" s="67">
        <f t="shared" si="4"/>
        <v>29</v>
      </c>
      <c r="B31" s="70" t="e">
        <f>[1]Кг_s12!D30</f>
        <v>#DIV/0!</v>
      </c>
      <c r="C31" s="21" t="e">
        <f>[1]Кг_s12!I30</f>
        <v>#DIV/0!</v>
      </c>
      <c r="D31" s="22">
        <f>[2]Кг_s12!B30</f>
        <v>0</v>
      </c>
      <c r="E31" s="22">
        <f>[2]Кг_s12!$C$2</f>
        <v>1E-3</v>
      </c>
      <c r="F31" s="22" t="e">
        <f t="shared" si="0"/>
        <v>#DIV/0!</v>
      </c>
      <c r="G31" s="22" t="e">
        <f t="shared" si="1"/>
        <v>#DIV/0!</v>
      </c>
      <c r="J31" s="23" t="e">
        <f t="shared" si="2"/>
        <v>#DIV/0!</v>
      </c>
      <c r="K31" s="23" t="e">
        <f t="shared" si="3"/>
        <v>#DIV/0!</v>
      </c>
      <c r="N31" s="24" t="e">
        <f t="shared" si="5"/>
        <v>#DIV/0!</v>
      </c>
      <c r="O31" s="24" t="e">
        <f t="shared" si="6"/>
        <v>#DIV/0!</v>
      </c>
    </row>
    <row r="32" spans="1:15" x14ac:dyDescent="0.3">
      <c r="A32" s="67">
        <f t="shared" si="4"/>
        <v>30</v>
      </c>
      <c r="B32" s="70" t="e">
        <f>[1]Кг_s12!D31</f>
        <v>#DIV/0!</v>
      </c>
      <c r="C32" s="21" t="e">
        <f>[1]Кг_s12!I31</f>
        <v>#DIV/0!</v>
      </c>
      <c r="D32" s="22">
        <f>[2]Кг_s12!B31</f>
        <v>0</v>
      </c>
      <c r="E32" s="22">
        <f>[2]Кг_s12!$C$2</f>
        <v>1E-3</v>
      </c>
      <c r="F32" s="22" t="e">
        <f t="shared" si="0"/>
        <v>#DIV/0!</v>
      </c>
      <c r="G32" s="22" t="e">
        <f t="shared" si="1"/>
        <v>#DIV/0!</v>
      </c>
      <c r="J32" s="23" t="e">
        <f t="shared" si="2"/>
        <v>#DIV/0!</v>
      </c>
      <c r="K32" s="23" t="e">
        <f t="shared" si="3"/>
        <v>#DIV/0!</v>
      </c>
      <c r="N32" s="24" t="e">
        <f t="shared" si="5"/>
        <v>#DIV/0!</v>
      </c>
      <c r="O32" s="24" t="e">
        <f t="shared" si="6"/>
        <v>#DIV/0!</v>
      </c>
    </row>
    <row r="33" spans="1:15" x14ac:dyDescent="0.3">
      <c r="A33" s="100">
        <f t="shared" si="4"/>
        <v>31</v>
      </c>
      <c r="B33" s="70">
        <f>[1]Кг_s12!D32</f>
        <v>1</v>
      </c>
      <c r="C33" s="21">
        <f>[1]Кг_s12!I32</f>
        <v>0</v>
      </c>
      <c r="D33" s="22">
        <f>[2]Кг_s12!B32</f>
        <v>1</v>
      </c>
      <c r="E33" s="22">
        <f>[2]Кг_s12!$C$2</f>
        <v>1E-3</v>
      </c>
      <c r="F33" s="22" t="str">
        <f t="shared" si="0"/>
        <v>0 ± 0,001</v>
      </c>
      <c r="G33" s="22" t="str">
        <f t="shared" si="1"/>
        <v>0 ± 0,1</v>
      </c>
      <c r="J33" s="23" t="str">
        <f t="shared" si="2"/>
        <v>1 ± 0</v>
      </c>
      <c r="K33" s="23" t="str">
        <f t="shared" si="3"/>
        <v>100 ± 0</v>
      </c>
      <c r="N33" s="24" t="str">
        <f t="shared" si="5"/>
        <v>1 ± 0</v>
      </c>
      <c r="O33" s="24" t="str">
        <f t="shared" si="6"/>
        <v>100 ± 0</v>
      </c>
    </row>
    <row r="34" spans="1:15" x14ac:dyDescent="0.3">
      <c r="A34" s="67">
        <f t="shared" si="4"/>
        <v>32</v>
      </c>
      <c r="B34" s="70" t="e">
        <f>[1]Кг_s12!D33</f>
        <v>#DIV/0!</v>
      </c>
      <c r="C34" s="21" t="e">
        <f>[1]Кг_s12!I33</f>
        <v>#DIV/0!</v>
      </c>
      <c r="D34" s="22">
        <f>[2]Кг_s12!B33</f>
        <v>0</v>
      </c>
      <c r="E34" s="22">
        <f>[2]Кг_s12!$C$2</f>
        <v>1E-3</v>
      </c>
      <c r="F34" s="22" t="e">
        <f t="shared" si="0"/>
        <v>#DIV/0!</v>
      </c>
      <c r="G34" s="22" t="e">
        <f t="shared" si="1"/>
        <v>#DIV/0!</v>
      </c>
      <c r="J34" s="23" t="e">
        <f t="shared" si="2"/>
        <v>#DIV/0!</v>
      </c>
      <c r="K34" s="23" t="e">
        <f t="shared" si="3"/>
        <v>#DIV/0!</v>
      </c>
      <c r="N34" s="24" t="e">
        <f t="shared" si="5"/>
        <v>#DIV/0!</v>
      </c>
      <c r="O34" s="24" t="e">
        <f t="shared" si="6"/>
        <v>#DIV/0!</v>
      </c>
    </row>
    <row r="35" spans="1:15" x14ac:dyDescent="0.3">
      <c r="A35" s="67">
        <f t="shared" si="4"/>
        <v>33</v>
      </c>
      <c r="B35" s="70" t="e">
        <f>[1]Кг_s12!D34</f>
        <v>#DIV/0!</v>
      </c>
      <c r="C35" s="21" t="e">
        <f>[1]Кг_s12!I34</f>
        <v>#DIV/0!</v>
      </c>
      <c r="D35" s="22">
        <f>[2]Кг_s12!B34</f>
        <v>0</v>
      </c>
      <c r="E35" s="22">
        <f>[2]Кг_s12!$C$2</f>
        <v>1E-3</v>
      </c>
      <c r="F35" s="22" t="e">
        <f t="shared" si="0"/>
        <v>#DIV/0!</v>
      </c>
      <c r="G35" s="22" t="e">
        <f t="shared" si="1"/>
        <v>#DIV/0!</v>
      </c>
      <c r="J35" s="23" t="e">
        <f t="shared" si="2"/>
        <v>#DIV/0!</v>
      </c>
      <c r="K35" s="23" t="e">
        <f t="shared" si="3"/>
        <v>#DIV/0!</v>
      </c>
      <c r="N35" s="24" t="e">
        <f t="shared" si="5"/>
        <v>#DIV/0!</v>
      </c>
      <c r="O35" s="24" t="e">
        <f t="shared" si="6"/>
        <v>#DIV/0!</v>
      </c>
    </row>
    <row r="36" spans="1:15" x14ac:dyDescent="0.3">
      <c r="A36" s="67">
        <f t="shared" si="4"/>
        <v>34</v>
      </c>
      <c r="B36" s="70" t="e">
        <f>[1]Кг_s12!D35</f>
        <v>#DIV/0!</v>
      </c>
      <c r="C36" s="21" t="e">
        <f>[1]Кг_s12!I35</f>
        <v>#DIV/0!</v>
      </c>
      <c r="D36" s="22">
        <f>[2]Кг_s12!B35</f>
        <v>0</v>
      </c>
      <c r="E36" s="22">
        <f>[2]Кг_s12!$C$2</f>
        <v>1E-3</v>
      </c>
      <c r="F36" s="22" t="e">
        <f t="shared" si="0"/>
        <v>#DIV/0!</v>
      </c>
      <c r="G36" s="22" t="e">
        <f t="shared" si="1"/>
        <v>#DIV/0!</v>
      </c>
      <c r="J36" s="23" t="e">
        <f t="shared" si="2"/>
        <v>#DIV/0!</v>
      </c>
      <c r="K36" s="23" t="e">
        <f t="shared" si="3"/>
        <v>#DIV/0!</v>
      </c>
      <c r="N36" s="24" t="e">
        <f t="shared" si="5"/>
        <v>#DIV/0!</v>
      </c>
      <c r="O36" s="24" t="e">
        <f t="shared" si="6"/>
        <v>#DIV/0!</v>
      </c>
    </row>
    <row r="37" spans="1:15" x14ac:dyDescent="0.3">
      <c r="A37" s="67">
        <f t="shared" si="4"/>
        <v>35</v>
      </c>
      <c r="B37" s="70" t="e">
        <f>[1]Кг_s12!D36</f>
        <v>#DIV/0!</v>
      </c>
      <c r="C37" s="21" t="e">
        <f>[1]Кг_s12!I36</f>
        <v>#DIV/0!</v>
      </c>
      <c r="D37" s="22">
        <f>[2]Кг_s12!B36</f>
        <v>0</v>
      </c>
      <c r="E37" s="22">
        <f>[2]Кг_s12!$C$2</f>
        <v>1E-3</v>
      </c>
      <c r="F37" s="22" t="e">
        <f t="shared" si="0"/>
        <v>#DIV/0!</v>
      </c>
      <c r="G37" s="22" t="e">
        <f t="shared" si="1"/>
        <v>#DIV/0!</v>
      </c>
      <c r="J37" s="23" t="e">
        <f t="shared" si="2"/>
        <v>#DIV/0!</v>
      </c>
      <c r="K37" s="23" t="e">
        <f t="shared" si="3"/>
        <v>#DIV/0!</v>
      </c>
      <c r="N37" s="24" t="e">
        <f t="shared" si="5"/>
        <v>#DIV/0!</v>
      </c>
      <c r="O37" s="24" t="e">
        <f t="shared" si="6"/>
        <v>#DIV/0!</v>
      </c>
    </row>
    <row r="38" spans="1:15" x14ac:dyDescent="0.3">
      <c r="A38" s="100">
        <f t="shared" si="4"/>
        <v>36</v>
      </c>
      <c r="B38" s="70">
        <f>[1]Кг_s12!D37</f>
        <v>1</v>
      </c>
      <c r="C38" s="21">
        <f>[1]Кг_s12!I37</f>
        <v>0</v>
      </c>
      <c r="D38" s="22">
        <f>[2]Кг_s12!B37</f>
        <v>1</v>
      </c>
      <c r="E38" s="22">
        <f>[2]Кг_s12!$C$2</f>
        <v>1E-3</v>
      </c>
      <c r="F38" s="22" t="str">
        <f t="shared" si="0"/>
        <v>0 ± 0,001</v>
      </c>
      <c r="G38" s="22" t="str">
        <f t="shared" si="1"/>
        <v>0 ± 0,1</v>
      </c>
      <c r="J38" s="23" t="str">
        <f t="shared" si="2"/>
        <v>1 ± 0</v>
      </c>
      <c r="K38" s="23" t="str">
        <f t="shared" si="3"/>
        <v>100 ± 0</v>
      </c>
      <c r="N38" s="24" t="str">
        <f t="shared" si="5"/>
        <v>1 ± 0</v>
      </c>
      <c r="O38" s="24" t="str">
        <f t="shared" si="6"/>
        <v>100 ± 0</v>
      </c>
    </row>
    <row r="39" spans="1:15" x14ac:dyDescent="0.3">
      <c r="A39" s="67">
        <f t="shared" si="4"/>
        <v>37</v>
      </c>
      <c r="B39" s="70" t="e">
        <f>[1]Кг_s12!D38</f>
        <v>#DIV/0!</v>
      </c>
      <c r="C39" s="21" t="e">
        <f>[1]Кг_s12!I38</f>
        <v>#DIV/0!</v>
      </c>
      <c r="D39" s="22">
        <f>[2]Кг_s12!B38</f>
        <v>0</v>
      </c>
      <c r="E39" s="22">
        <f>[2]Кг_s12!$C$2</f>
        <v>1E-3</v>
      </c>
      <c r="F39" s="22" t="e">
        <f t="shared" si="0"/>
        <v>#DIV/0!</v>
      </c>
      <c r="G39" s="22" t="e">
        <f t="shared" si="1"/>
        <v>#DIV/0!</v>
      </c>
      <c r="J39" s="23" t="e">
        <f t="shared" si="2"/>
        <v>#DIV/0!</v>
      </c>
      <c r="K39" s="23" t="e">
        <f t="shared" si="3"/>
        <v>#DIV/0!</v>
      </c>
      <c r="N39" s="24" t="e">
        <f t="shared" si="5"/>
        <v>#DIV/0!</v>
      </c>
      <c r="O39" s="24" t="e">
        <f t="shared" si="6"/>
        <v>#DIV/0!</v>
      </c>
    </row>
    <row r="40" spans="1:15" x14ac:dyDescent="0.3">
      <c r="A40" s="67">
        <f t="shared" si="4"/>
        <v>38</v>
      </c>
      <c r="B40" s="70" t="e">
        <f>[1]Кг_s12!D39</f>
        <v>#DIV/0!</v>
      </c>
      <c r="C40" s="21" t="e">
        <f>[1]Кг_s12!I39</f>
        <v>#DIV/0!</v>
      </c>
      <c r="D40" s="22">
        <f>[2]Кг_s12!B39</f>
        <v>0</v>
      </c>
      <c r="E40" s="22">
        <f>[2]Кг_s12!$C$2</f>
        <v>1E-3</v>
      </c>
      <c r="F40" s="22" t="e">
        <f t="shared" si="0"/>
        <v>#DIV/0!</v>
      </c>
      <c r="G40" s="22" t="e">
        <f t="shared" si="1"/>
        <v>#DIV/0!</v>
      </c>
      <c r="J40" s="23" t="e">
        <f t="shared" si="2"/>
        <v>#DIV/0!</v>
      </c>
      <c r="K40" s="23" t="e">
        <f t="shared" si="3"/>
        <v>#DIV/0!</v>
      </c>
      <c r="N40" s="24" t="e">
        <f t="shared" si="5"/>
        <v>#DIV/0!</v>
      </c>
      <c r="O40" s="24" t="e">
        <f t="shared" si="6"/>
        <v>#DIV/0!</v>
      </c>
    </row>
    <row r="41" spans="1:15" x14ac:dyDescent="0.3">
      <c r="A41" s="67">
        <f t="shared" si="4"/>
        <v>39</v>
      </c>
      <c r="B41" s="70" t="e">
        <f>[1]Кг_s12!D40</f>
        <v>#DIV/0!</v>
      </c>
      <c r="C41" s="21" t="e">
        <f>[1]Кг_s12!I40</f>
        <v>#DIV/0!</v>
      </c>
      <c r="D41" s="22">
        <f>[2]Кг_s12!B40</f>
        <v>0</v>
      </c>
      <c r="E41" s="22">
        <f>[2]Кг_s12!$C$2</f>
        <v>1E-3</v>
      </c>
      <c r="F41" s="22" t="e">
        <f t="shared" si="0"/>
        <v>#DIV/0!</v>
      </c>
      <c r="G41" s="22" t="e">
        <f t="shared" si="1"/>
        <v>#DIV/0!</v>
      </c>
      <c r="J41" s="23" t="e">
        <f t="shared" si="2"/>
        <v>#DIV/0!</v>
      </c>
      <c r="K41" s="23" t="e">
        <f t="shared" si="3"/>
        <v>#DIV/0!</v>
      </c>
      <c r="N41" s="24" t="e">
        <f t="shared" si="5"/>
        <v>#DIV/0!</v>
      </c>
      <c r="O41" s="24" t="e">
        <f t="shared" si="6"/>
        <v>#DIV/0!</v>
      </c>
    </row>
    <row r="42" spans="1:15" x14ac:dyDescent="0.3">
      <c r="A42" s="67">
        <f t="shared" si="4"/>
        <v>40</v>
      </c>
      <c r="B42" s="70" t="e">
        <f>[1]Кг_s12!D41</f>
        <v>#DIV/0!</v>
      </c>
      <c r="C42" s="21" t="e">
        <f>[1]Кг_s12!I41</f>
        <v>#DIV/0!</v>
      </c>
      <c r="D42" s="22">
        <f>[2]Кг_s12!B41</f>
        <v>0</v>
      </c>
      <c r="E42" s="22">
        <f>[2]Кг_s12!$C$2</f>
        <v>1E-3</v>
      </c>
      <c r="F42" s="22" t="e">
        <f t="shared" si="0"/>
        <v>#DIV/0!</v>
      </c>
      <c r="G42" s="22" t="e">
        <f t="shared" si="1"/>
        <v>#DIV/0!</v>
      </c>
      <c r="J42" s="23" t="e">
        <f t="shared" si="2"/>
        <v>#DIV/0!</v>
      </c>
      <c r="K42" s="23" t="e">
        <f t="shared" si="3"/>
        <v>#DIV/0!</v>
      </c>
      <c r="N42" s="24" t="e">
        <f t="shared" si="5"/>
        <v>#DIV/0!</v>
      </c>
      <c r="O42" s="24" t="e">
        <f t="shared" si="6"/>
        <v>#DIV/0!</v>
      </c>
    </row>
    <row r="43" spans="1:15" x14ac:dyDescent="0.3">
      <c r="A43" s="100">
        <f t="shared" si="4"/>
        <v>41</v>
      </c>
      <c r="B43" s="70">
        <f>[1]Кг_s12!D42</f>
        <v>1</v>
      </c>
      <c r="C43" s="21">
        <f>[1]Кг_s12!I42</f>
        <v>0</v>
      </c>
      <c r="D43" s="22">
        <f>[2]Кг_s12!B42</f>
        <v>1</v>
      </c>
      <c r="E43" s="22">
        <f>[2]Кг_s12!$C$2</f>
        <v>1E-3</v>
      </c>
      <c r="F43" s="22" t="str">
        <f t="shared" si="0"/>
        <v>0 ± 0,001</v>
      </c>
      <c r="G43" s="22" t="str">
        <f t="shared" si="1"/>
        <v>0 ± 0,1</v>
      </c>
      <c r="J43" s="23" t="str">
        <f t="shared" si="2"/>
        <v>1 ± 0</v>
      </c>
      <c r="K43" s="23" t="str">
        <f t="shared" si="3"/>
        <v>100 ± 0</v>
      </c>
      <c r="N43" s="24" t="str">
        <f t="shared" si="5"/>
        <v>1 ± 0</v>
      </c>
      <c r="O43" s="24" t="str">
        <f t="shared" si="6"/>
        <v>100 ± 0</v>
      </c>
    </row>
    <row r="44" spans="1:15" x14ac:dyDescent="0.3">
      <c r="A44" s="99">
        <f t="shared" si="4"/>
        <v>42</v>
      </c>
      <c r="B44" s="70" t="e">
        <f>[1]Кг_s12!D43</f>
        <v>#DIV/0!</v>
      </c>
      <c r="C44" s="21" t="e">
        <f>[1]Кг_s12!I43</f>
        <v>#DIV/0!</v>
      </c>
      <c r="D44" s="22">
        <f>[2]Кг_s12!B43</f>
        <v>0</v>
      </c>
      <c r="E44" s="22">
        <f>[2]Кг_s12!$C$2</f>
        <v>1E-3</v>
      </c>
      <c r="F44" s="22" t="e">
        <f t="shared" si="0"/>
        <v>#DIV/0!</v>
      </c>
      <c r="G44" s="22" t="e">
        <f t="shared" si="1"/>
        <v>#DIV/0!</v>
      </c>
      <c r="J44" s="23" t="e">
        <f t="shared" si="2"/>
        <v>#DIV/0!</v>
      </c>
      <c r="K44" s="23" t="e">
        <f t="shared" si="3"/>
        <v>#DIV/0!</v>
      </c>
      <c r="N44" s="24" t="e">
        <f t="shared" si="5"/>
        <v>#DIV/0!</v>
      </c>
      <c r="O44" s="24" t="e">
        <f t="shared" si="6"/>
        <v>#DIV/0!</v>
      </c>
    </row>
    <row r="45" spans="1:15" x14ac:dyDescent="0.3">
      <c r="A45" s="99">
        <f t="shared" si="4"/>
        <v>43</v>
      </c>
      <c r="B45" s="70" t="e">
        <f>[1]Кг_s12!D44</f>
        <v>#DIV/0!</v>
      </c>
      <c r="C45" s="21" t="e">
        <f>[1]Кг_s12!I44</f>
        <v>#DIV/0!</v>
      </c>
      <c r="D45" s="22">
        <f>[2]Кг_s12!B44</f>
        <v>0</v>
      </c>
      <c r="E45" s="22">
        <f>[2]Кг_s12!$C$2</f>
        <v>1E-3</v>
      </c>
      <c r="F45" s="22" t="e">
        <f t="shared" si="0"/>
        <v>#DIV/0!</v>
      </c>
      <c r="G45" s="22" t="e">
        <f t="shared" si="1"/>
        <v>#DIV/0!</v>
      </c>
      <c r="J45" s="23" t="e">
        <f t="shared" si="2"/>
        <v>#DIV/0!</v>
      </c>
      <c r="K45" s="23" t="e">
        <f t="shared" si="3"/>
        <v>#DIV/0!</v>
      </c>
      <c r="N45" s="24" t="e">
        <f t="shared" si="5"/>
        <v>#DIV/0!</v>
      </c>
      <c r="O45" s="24" t="e">
        <f t="shared" si="6"/>
        <v>#DIV/0!</v>
      </c>
    </row>
    <row r="46" spans="1:15" x14ac:dyDescent="0.3">
      <c r="A46" s="99">
        <f t="shared" si="4"/>
        <v>44</v>
      </c>
      <c r="B46" s="70" t="e">
        <f>[1]Кг_s12!D45</f>
        <v>#DIV/0!</v>
      </c>
      <c r="C46" s="21" t="e">
        <f>[1]Кг_s12!I45</f>
        <v>#DIV/0!</v>
      </c>
      <c r="D46" s="22">
        <f>[2]Кг_s12!B45</f>
        <v>0</v>
      </c>
      <c r="E46" s="22">
        <f>[2]Кг_s12!$C$2</f>
        <v>1E-3</v>
      </c>
      <c r="F46" s="22" t="e">
        <f t="shared" si="0"/>
        <v>#DIV/0!</v>
      </c>
      <c r="G46" s="22" t="e">
        <f t="shared" si="1"/>
        <v>#DIV/0!</v>
      </c>
      <c r="J46" s="23" t="e">
        <f t="shared" si="2"/>
        <v>#DIV/0!</v>
      </c>
      <c r="K46" s="23" t="e">
        <f t="shared" si="3"/>
        <v>#DIV/0!</v>
      </c>
      <c r="N46" s="24" t="e">
        <f t="shared" si="5"/>
        <v>#DIV/0!</v>
      </c>
      <c r="O46" s="24" t="e">
        <f t="shared" si="6"/>
        <v>#DIV/0!</v>
      </c>
    </row>
    <row r="47" spans="1:15" x14ac:dyDescent="0.3">
      <c r="A47" s="99">
        <f t="shared" si="4"/>
        <v>45</v>
      </c>
      <c r="B47" s="70" t="e">
        <f>[1]Кг_s12!D46</f>
        <v>#DIV/0!</v>
      </c>
      <c r="C47" s="21" t="e">
        <f>[1]Кг_s12!I46</f>
        <v>#DIV/0!</v>
      </c>
      <c r="D47" s="22">
        <f>[2]Кг_s12!B46</f>
        <v>0</v>
      </c>
      <c r="E47" s="22">
        <f>[2]Кг_s12!$C$2</f>
        <v>1E-3</v>
      </c>
      <c r="F47" s="22" t="e">
        <f t="shared" si="0"/>
        <v>#DIV/0!</v>
      </c>
      <c r="G47" s="22" t="e">
        <f t="shared" si="1"/>
        <v>#DIV/0!</v>
      </c>
      <c r="J47" s="23" t="e">
        <f t="shared" si="2"/>
        <v>#DIV/0!</v>
      </c>
      <c r="K47" s="23" t="e">
        <f t="shared" si="3"/>
        <v>#DIV/0!</v>
      </c>
      <c r="N47" s="24" t="e">
        <f t="shared" si="5"/>
        <v>#DIV/0!</v>
      </c>
      <c r="O47" s="24" t="e">
        <f t="shared" si="6"/>
        <v>#DIV/0!</v>
      </c>
    </row>
    <row r="48" spans="1:15" x14ac:dyDescent="0.3">
      <c r="A48" s="100">
        <f t="shared" si="4"/>
        <v>46</v>
      </c>
      <c r="B48" s="70">
        <f>[1]Кг_s12!D47</f>
        <v>1</v>
      </c>
      <c r="C48" s="21">
        <f>[1]Кг_s12!I47</f>
        <v>0</v>
      </c>
      <c r="D48" s="22">
        <f>[2]Кг_s12!B47</f>
        <v>1</v>
      </c>
      <c r="E48" s="22">
        <f>[2]Кг_s12!$C$2</f>
        <v>1E-3</v>
      </c>
      <c r="F48" s="22" t="str">
        <f t="shared" si="0"/>
        <v>0 ± 0,001</v>
      </c>
      <c r="G48" s="22" t="str">
        <f t="shared" si="1"/>
        <v>0 ± 0,1</v>
      </c>
      <c r="J48" s="23" t="str">
        <f t="shared" si="2"/>
        <v>1 ± 0</v>
      </c>
      <c r="K48" s="23" t="str">
        <f t="shared" si="3"/>
        <v>100 ± 0</v>
      </c>
      <c r="N48" s="24" t="str">
        <f t="shared" si="5"/>
        <v>1 ± 0</v>
      </c>
      <c r="O48" s="24" t="str">
        <f t="shared" si="6"/>
        <v>100 ± 0</v>
      </c>
    </row>
    <row r="49" spans="1:15" x14ac:dyDescent="0.3">
      <c r="A49" s="99">
        <f t="shared" si="4"/>
        <v>47</v>
      </c>
      <c r="B49" s="70" t="e">
        <f>[1]Кг_s12!D48</f>
        <v>#DIV/0!</v>
      </c>
      <c r="C49" s="21" t="e">
        <f>[1]Кг_s12!I48</f>
        <v>#DIV/0!</v>
      </c>
      <c r="D49" s="22">
        <f>[2]Кг_s12!B48</f>
        <v>0</v>
      </c>
      <c r="E49" s="22">
        <f>[2]Кг_s12!$C$2</f>
        <v>1E-3</v>
      </c>
      <c r="F49" s="22" t="e">
        <f t="shared" si="0"/>
        <v>#DIV/0!</v>
      </c>
      <c r="G49" s="22" t="e">
        <f t="shared" si="1"/>
        <v>#DIV/0!</v>
      </c>
      <c r="J49" s="23" t="e">
        <f t="shared" si="2"/>
        <v>#DIV/0!</v>
      </c>
      <c r="K49" s="23" t="e">
        <f t="shared" si="3"/>
        <v>#DIV/0!</v>
      </c>
      <c r="N49" s="24" t="e">
        <f t="shared" si="5"/>
        <v>#DIV/0!</v>
      </c>
      <c r="O49" s="24" t="e">
        <f t="shared" si="6"/>
        <v>#DIV/0!</v>
      </c>
    </row>
    <row r="50" spans="1:15" x14ac:dyDescent="0.3">
      <c r="A50" s="67">
        <f t="shared" si="4"/>
        <v>48</v>
      </c>
      <c r="B50" s="70" t="e">
        <f>[1]Кг_s12!D49</f>
        <v>#DIV/0!</v>
      </c>
      <c r="C50" s="21" t="e">
        <f>[1]Кг_s12!I49</f>
        <v>#DIV/0!</v>
      </c>
      <c r="D50" s="22">
        <f>[2]Кг_s12!B49</f>
        <v>0</v>
      </c>
      <c r="E50" s="22">
        <f>[2]Кг_s12!$C$2</f>
        <v>1E-3</v>
      </c>
      <c r="F50" s="22" t="e">
        <f t="shared" si="0"/>
        <v>#DIV/0!</v>
      </c>
      <c r="G50" s="22" t="e">
        <f t="shared" si="1"/>
        <v>#DIV/0!</v>
      </c>
      <c r="J50" s="23" t="e">
        <f t="shared" si="2"/>
        <v>#DIV/0!</v>
      </c>
      <c r="K50" s="23" t="e">
        <f t="shared" si="3"/>
        <v>#DIV/0!</v>
      </c>
      <c r="N50" s="24" t="e">
        <f t="shared" si="5"/>
        <v>#DIV/0!</v>
      </c>
      <c r="O50" s="24" t="e">
        <f t="shared" si="6"/>
        <v>#DIV/0!</v>
      </c>
    </row>
    <row r="51" spans="1:15" x14ac:dyDescent="0.3">
      <c r="A51" s="67">
        <f t="shared" si="4"/>
        <v>49</v>
      </c>
      <c r="B51" s="70" t="e">
        <f>[1]Кг_s12!D50</f>
        <v>#DIV/0!</v>
      </c>
      <c r="C51" s="21" t="e">
        <f>[1]Кг_s12!I50</f>
        <v>#DIV/0!</v>
      </c>
      <c r="D51" s="22">
        <f>[2]Кг_s12!B50</f>
        <v>0</v>
      </c>
      <c r="E51" s="22">
        <f>[2]Кг_s12!$C$2</f>
        <v>1E-3</v>
      </c>
      <c r="F51" s="22" t="e">
        <f t="shared" si="0"/>
        <v>#DIV/0!</v>
      </c>
      <c r="G51" s="22" t="e">
        <f t="shared" si="1"/>
        <v>#DIV/0!</v>
      </c>
      <c r="J51" s="23" t="e">
        <f t="shared" si="2"/>
        <v>#DIV/0!</v>
      </c>
      <c r="K51" s="23" t="e">
        <f t="shared" si="3"/>
        <v>#DIV/0!</v>
      </c>
      <c r="N51" s="24" t="e">
        <f t="shared" si="5"/>
        <v>#DIV/0!</v>
      </c>
      <c r="O51" s="24" t="e">
        <f t="shared" si="6"/>
        <v>#DIV/0!</v>
      </c>
    </row>
    <row r="52" spans="1:15" x14ac:dyDescent="0.3">
      <c r="A52" s="67">
        <f t="shared" si="4"/>
        <v>50</v>
      </c>
      <c r="B52" s="70" t="e">
        <f>[1]Кг_s12!D51</f>
        <v>#DIV/0!</v>
      </c>
      <c r="C52" s="21" t="e">
        <f>[1]Кг_s12!I51</f>
        <v>#DIV/0!</v>
      </c>
      <c r="D52" s="22">
        <f>[2]Кг_s12!B51</f>
        <v>0</v>
      </c>
      <c r="E52" s="22">
        <f>[2]Кг_s12!$C$2</f>
        <v>1E-3</v>
      </c>
      <c r="F52" s="22" t="e">
        <f t="shared" si="0"/>
        <v>#DIV/0!</v>
      </c>
      <c r="G52" s="22" t="e">
        <f t="shared" si="1"/>
        <v>#DIV/0!</v>
      </c>
      <c r="J52" s="23" t="e">
        <f t="shared" si="2"/>
        <v>#DIV/0!</v>
      </c>
      <c r="K52" s="23" t="e">
        <f t="shared" si="3"/>
        <v>#DIV/0!</v>
      </c>
      <c r="N52" s="24" t="e">
        <f t="shared" si="5"/>
        <v>#DIV/0!</v>
      </c>
      <c r="O52" s="24" t="e">
        <f t="shared" si="6"/>
        <v>#DIV/0!</v>
      </c>
    </row>
    <row r="53" spans="1:15" x14ac:dyDescent="0.3">
      <c r="A53" s="100">
        <f t="shared" si="4"/>
        <v>51</v>
      </c>
      <c r="B53" s="70">
        <f>[1]Кг_s12!D52</f>
        <v>1</v>
      </c>
      <c r="C53" s="21">
        <f>[1]Кг_s12!I52</f>
        <v>0</v>
      </c>
      <c r="D53" s="22">
        <f>[2]Кг_s12!B52</f>
        <v>1</v>
      </c>
      <c r="E53" s="22">
        <f>[2]Кг_s12!$C$2</f>
        <v>1E-3</v>
      </c>
      <c r="F53" s="22" t="str">
        <f t="shared" si="0"/>
        <v>0 ± 0,001</v>
      </c>
      <c r="G53" s="22" t="str">
        <f t="shared" si="1"/>
        <v>0 ± 0,1</v>
      </c>
      <c r="J53" s="23" t="str">
        <f t="shared" si="2"/>
        <v>1 ± 0</v>
      </c>
      <c r="K53" s="23" t="str">
        <f t="shared" si="3"/>
        <v>100 ± 0</v>
      </c>
      <c r="N53" s="24" t="str">
        <f t="shared" si="5"/>
        <v>1 ± 0</v>
      </c>
      <c r="O53" s="24" t="str">
        <f t="shared" si="6"/>
        <v>100 ± 0</v>
      </c>
    </row>
    <row r="54" spans="1:15" x14ac:dyDescent="0.3">
      <c r="A54" s="100">
        <f t="shared" si="4"/>
        <v>52</v>
      </c>
      <c r="B54" s="70">
        <f>[1]Кг_s12!D53</f>
        <v>1</v>
      </c>
      <c r="C54" s="21">
        <f>[1]Кг_s12!I53</f>
        <v>0</v>
      </c>
      <c r="D54" s="22">
        <f>[2]Кг_s12!B53</f>
        <v>1</v>
      </c>
      <c r="E54" s="22">
        <f>[2]Кг_s12!$C$2</f>
        <v>1E-3</v>
      </c>
      <c r="F54" s="22" t="str">
        <f t="shared" si="0"/>
        <v>0 ± 0,001</v>
      </c>
      <c r="G54" s="22" t="str">
        <f t="shared" si="1"/>
        <v>0 ± 0,1</v>
      </c>
      <c r="J54" s="23" t="str">
        <f t="shared" si="2"/>
        <v>1 ± 0</v>
      </c>
      <c r="K54" s="23" t="str">
        <f t="shared" si="3"/>
        <v>100 ± 0</v>
      </c>
      <c r="N54" s="24" t="str">
        <f t="shared" si="5"/>
        <v>1 ± 0</v>
      </c>
      <c r="O54" s="24" t="str">
        <f t="shared" si="6"/>
        <v>100 ± 0</v>
      </c>
    </row>
    <row r="55" spans="1:15" x14ac:dyDescent="0.3">
      <c r="A55" s="67">
        <f t="shared" si="4"/>
        <v>53</v>
      </c>
      <c r="B55" s="70" t="e">
        <f>[1]Кг_s12!D54</f>
        <v>#DIV/0!</v>
      </c>
      <c r="C55" s="21" t="e">
        <f>[1]Кг_s12!I54</f>
        <v>#DIV/0!</v>
      </c>
      <c r="D55" s="22">
        <f>[2]Кг_s12!B54</f>
        <v>0</v>
      </c>
      <c r="E55" s="22">
        <f>[2]Кг_s12!$C$2</f>
        <v>1E-3</v>
      </c>
      <c r="F55" s="22" t="e">
        <f t="shared" si="0"/>
        <v>#DIV/0!</v>
      </c>
      <c r="G55" s="22" t="e">
        <f t="shared" si="1"/>
        <v>#DIV/0!</v>
      </c>
      <c r="J55" s="23" t="e">
        <f t="shared" si="2"/>
        <v>#DIV/0!</v>
      </c>
      <c r="K55" s="23" t="e">
        <f t="shared" si="3"/>
        <v>#DIV/0!</v>
      </c>
      <c r="N55" s="24" t="e">
        <f t="shared" si="5"/>
        <v>#DIV/0!</v>
      </c>
      <c r="O55" s="24" t="e">
        <f t="shared" si="6"/>
        <v>#DIV/0!</v>
      </c>
    </row>
    <row r="56" spans="1:15" x14ac:dyDescent="0.3">
      <c r="A56" s="67">
        <f t="shared" si="4"/>
        <v>54</v>
      </c>
      <c r="B56" s="70" t="e">
        <f>[1]Кг_s12!D55</f>
        <v>#DIV/0!</v>
      </c>
      <c r="C56" s="21" t="e">
        <f>[1]Кг_s12!I55</f>
        <v>#DIV/0!</v>
      </c>
      <c r="D56" s="22">
        <f>[2]Кг_s12!B55</f>
        <v>0</v>
      </c>
      <c r="E56" s="22">
        <f>[2]Кг_s12!$C$2</f>
        <v>1E-3</v>
      </c>
      <c r="F56" s="22" t="e">
        <f t="shared" si="0"/>
        <v>#DIV/0!</v>
      </c>
      <c r="G56" s="22" t="e">
        <f t="shared" si="1"/>
        <v>#DIV/0!</v>
      </c>
      <c r="J56" s="23" t="e">
        <f t="shared" si="2"/>
        <v>#DIV/0!</v>
      </c>
      <c r="K56" s="23" t="e">
        <f t="shared" si="3"/>
        <v>#DIV/0!</v>
      </c>
      <c r="N56" s="24" t="e">
        <f t="shared" si="5"/>
        <v>#DIV/0!</v>
      </c>
      <c r="O56" s="24" t="e">
        <f t="shared" si="6"/>
        <v>#DIV/0!</v>
      </c>
    </row>
    <row r="57" spans="1:15" x14ac:dyDescent="0.3">
      <c r="A57" s="67">
        <f t="shared" si="4"/>
        <v>55</v>
      </c>
      <c r="B57" s="70" t="e">
        <f>[1]Кг_s12!D56</f>
        <v>#DIV/0!</v>
      </c>
      <c r="C57" s="21" t="e">
        <f>[1]Кг_s12!I56</f>
        <v>#DIV/0!</v>
      </c>
      <c r="D57" s="22">
        <f>[2]Кг_s12!B56</f>
        <v>0</v>
      </c>
      <c r="E57" s="22">
        <f>[2]Кг_s12!$C$2</f>
        <v>1E-3</v>
      </c>
      <c r="F57" s="22" t="e">
        <f t="shared" si="0"/>
        <v>#DIV/0!</v>
      </c>
      <c r="G57" s="22" t="e">
        <f t="shared" si="1"/>
        <v>#DIV/0!</v>
      </c>
      <c r="J57" s="23" t="e">
        <f t="shared" si="2"/>
        <v>#DIV/0!</v>
      </c>
      <c r="K57" s="23" t="e">
        <f t="shared" si="3"/>
        <v>#DIV/0!</v>
      </c>
      <c r="N57" s="24" t="e">
        <f t="shared" si="5"/>
        <v>#DIV/0!</v>
      </c>
      <c r="O57" s="24" t="e">
        <f t="shared" si="6"/>
        <v>#DIV/0!</v>
      </c>
    </row>
    <row r="58" spans="1:15" x14ac:dyDescent="0.3">
      <c r="A58" s="100">
        <f t="shared" si="4"/>
        <v>56</v>
      </c>
      <c r="B58" s="70">
        <f>[1]Кг_s12!D57</f>
        <v>1</v>
      </c>
      <c r="C58" s="21">
        <f>[1]Кг_s12!I57</f>
        <v>0</v>
      </c>
      <c r="D58" s="22">
        <f>[2]Кг_s12!B57</f>
        <v>1</v>
      </c>
      <c r="E58" s="22">
        <f>[2]Кг_s12!$C$2</f>
        <v>1E-3</v>
      </c>
      <c r="F58" s="22" t="str">
        <f t="shared" si="0"/>
        <v>0 ± 0,001</v>
      </c>
      <c r="G58" s="22" t="str">
        <f t="shared" si="1"/>
        <v>0 ± 0,1</v>
      </c>
      <c r="J58" s="23" t="str">
        <f t="shared" si="2"/>
        <v>1 ± 0</v>
      </c>
      <c r="K58" s="23" t="str">
        <f t="shared" si="3"/>
        <v>100 ± 0</v>
      </c>
      <c r="N58" s="24" t="str">
        <f t="shared" si="5"/>
        <v>1 ± 0</v>
      </c>
      <c r="O58" s="24" t="str">
        <f t="shared" si="6"/>
        <v>100 ± 0</v>
      </c>
    </row>
    <row r="59" spans="1:15" x14ac:dyDescent="0.3">
      <c r="A59" s="100">
        <f t="shared" si="4"/>
        <v>57</v>
      </c>
      <c r="B59" s="70">
        <f>[1]Кг_s12!D58</f>
        <v>1</v>
      </c>
      <c r="C59" s="21">
        <f>[1]Кг_s12!I58</f>
        <v>0</v>
      </c>
      <c r="D59" s="22">
        <f>[2]Кг_s12!B58</f>
        <v>1</v>
      </c>
      <c r="E59" s="22">
        <f>[2]Кг_s12!$C$2</f>
        <v>1E-3</v>
      </c>
      <c r="F59" s="22" t="str">
        <f t="shared" si="0"/>
        <v>0 ± 0,001</v>
      </c>
      <c r="G59" s="22" t="str">
        <f t="shared" si="1"/>
        <v>0 ± 0,1</v>
      </c>
      <c r="J59" s="23" t="str">
        <f t="shared" si="2"/>
        <v>1 ± 0</v>
      </c>
      <c r="K59" s="23" t="str">
        <f t="shared" si="3"/>
        <v>100 ± 0</v>
      </c>
      <c r="N59" s="24" t="str">
        <f t="shared" si="5"/>
        <v>1 ± 0</v>
      </c>
      <c r="O59" s="24" t="str">
        <f t="shared" si="6"/>
        <v>100 ± 0</v>
      </c>
    </row>
    <row r="60" spans="1:15" x14ac:dyDescent="0.3">
      <c r="A60" s="67">
        <f t="shared" si="4"/>
        <v>58</v>
      </c>
      <c r="B60" s="70" t="e">
        <f>[1]Кг_s12!D59</f>
        <v>#DIV/0!</v>
      </c>
      <c r="C60" s="21" t="e">
        <f>[1]Кг_s12!I59</f>
        <v>#DIV/0!</v>
      </c>
      <c r="D60" s="22">
        <f>[2]Кг_s12!B59</f>
        <v>0</v>
      </c>
      <c r="E60" s="22">
        <f>[2]Кг_s12!$C$2</f>
        <v>1E-3</v>
      </c>
      <c r="F60" s="22" t="e">
        <f t="shared" si="0"/>
        <v>#DIV/0!</v>
      </c>
      <c r="G60" s="22" t="e">
        <f t="shared" si="1"/>
        <v>#DIV/0!</v>
      </c>
      <c r="J60" s="23" t="e">
        <f t="shared" si="2"/>
        <v>#DIV/0!</v>
      </c>
      <c r="K60" s="23" t="e">
        <f t="shared" si="3"/>
        <v>#DIV/0!</v>
      </c>
      <c r="N60" s="24" t="e">
        <f t="shared" si="5"/>
        <v>#DIV/0!</v>
      </c>
      <c r="O60" s="24" t="e">
        <f t="shared" si="6"/>
        <v>#DIV/0!</v>
      </c>
    </row>
    <row r="61" spans="1:15" x14ac:dyDescent="0.3">
      <c r="A61" s="67">
        <f t="shared" si="4"/>
        <v>59</v>
      </c>
      <c r="B61" s="70" t="e">
        <f>[1]Кг_s12!D60</f>
        <v>#DIV/0!</v>
      </c>
      <c r="C61" s="21" t="e">
        <f>[1]Кг_s12!I60</f>
        <v>#DIV/0!</v>
      </c>
      <c r="D61" s="22">
        <f>[2]Кг_s12!B60</f>
        <v>0</v>
      </c>
      <c r="E61" s="22">
        <f>[2]Кг_s12!$C$2</f>
        <v>1E-3</v>
      </c>
      <c r="F61" s="22" t="e">
        <f t="shared" si="0"/>
        <v>#DIV/0!</v>
      </c>
      <c r="G61" s="22" t="e">
        <f t="shared" si="1"/>
        <v>#DIV/0!</v>
      </c>
      <c r="J61" s="23" t="e">
        <f t="shared" si="2"/>
        <v>#DIV/0!</v>
      </c>
      <c r="K61" s="23" t="e">
        <f t="shared" si="3"/>
        <v>#DIV/0!</v>
      </c>
      <c r="N61" s="24" t="e">
        <f t="shared" si="5"/>
        <v>#DIV/0!</v>
      </c>
      <c r="O61" s="24" t="e">
        <f t="shared" si="6"/>
        <v>#DIV/0!</v>
      </c>
    </row>
    <row r="62" spans="1:15" x14ac:dyDescent="0.3">
      <c r="A62" s="67">
        <f t="shared" si="4"/>
        <v>60</v>
      </c>
      <c r="B62" s="70" t="e">
        <f>[1]Кг_s12!D61</f>
        <v>#DIV/0!</v>
      </c>
      <c r="C62" s="21" t="e">
        <f>[1]Кг_s12!I61</f>
        <v>#DIV/0!</v>
      </c>
      <c r="D62" s="22">
        <f>[2]Кг_s12!B61</f>
        <v>0</v>
      </c>
      <c r="E62" s="22">
        <f>[2]Кг_s12!$C$2</f>
        <v>1E-3</v>
      </c>
      <c r="F62" s="22" t="e">
        <f t="shared" si="0"/>
        <v>#DIV/0!</v>
      </c>
      <c r="G62" s="22" t="e">
        <f t="shared" si="1"/>
        <v>#DIV/0!</v>
      </c>
      <c r="J62" s="23" t="e">
        <f t="shared" si="2"/>
        <v>#DIV/0!</v>
      </c>
      <c r="K62" s="23" t="e">
        <f t="shared" si="3"/>
        <v>#DIV/0!</v>
      </c>
      <c r="N62" s="24" t="e">
        <f t="shared" si="5"/>
        <v>#DIV/0!</v>
      </c>
      <c r="O62" s="24" t="e">
        <f t="shared" si="6"/>
        <v>#DIV/0!</v>
      </c>
    </row>
    <row r="63" spans="1:15" x14ac:dyDescent="0.3">
      <c r="A63" s="101">
        <f t="shared" si="4"/>
        <v>61</v>
      </c>
      <c r="B63" s="70">
        <f>[1]Кг_s12!D62</f>
        <v>1</v>
      </c>
      <c r="C63" s="21">
        <f>[1]Кг_s12!I62</f>
        <v>0</v>
      </c>
      <c r="D63" s="22">
        <f>[2]Кг_s12!B62</f>
        <v>1</v>
      </c>
      <c r="E63" s="22">
        <f>[2]Кг_s12!$C$2</f>
        <v>1E-3</v>
      </c>
      <c r="F63" s="22" t="str">
        <f t="shared" si="0"/>
        <v>0 ± 0,001</v>
      </c>
      <c r="G63" s="22" t="str">
        <f t="shared" si="1"/>
        <v>0 ± 0,1</v>
      </c>
      <c r="J63" s="23" t="str">
        <f t="shared" si="2"/>
        <v>1 ± 0</v>
      </c>
      <c r="K63" s="23" t="str">
        <f t="shared" si="3"/>
        <v>100 ± 0</v>
      </c>
      <c r="N63" s="24" t="str">
        <f t="shared" si="5"/>
        <v>1 ± 0</v>
      </c>
      <c r="O63" s="24" t="str">
        <f t="shared" si="6"/>
        <v>100 ± 0</v>
      </c>
    </row>
    <row r="64" spans="1:15" x14ac:dyDescent="0.3">
      <c r="A64" s="99">
        <f t="shared" si="4"/>
        <v>62</v>
      </c>
      <c r="B64" s="70" t="e">
        <f>[1]Кг_s12!D63</f>
        <v>#DIV/0!</v>
      </c>
      <c r="C64" s="21" t="e">
        <f>[1]Кг_s12!I63</f>
        <v>#DIV/0!</v>
      </c>
      <c r="D64" s="22">
        <f>[2]Кг_s12!B63</f>
        <v>0</v>
      </c>
      <c r="E64" s="22">
        <f>[2]Кг_s12!$C$2</f>
        <v>1E-3</v>
      </c>
      <c r="F64" s="22" t="e">
        <f t="shared" si="0"/>
        <v>#DIV/0!</v>
      </c>
      <c r="G64" s="22" t="e">
        <f t="shared" si="1"/>
        <v>#DIV/0!</v>
      </c>
      <c r="J64" s="23" t="e">
        <f t="shared" si="2"/>
        <v>#DIV/0!</v>
      </c>
      <c r="K64" s="23" t="e">
        <f t="shared" si="3"/>
        <v>#DIV/0!</v>
      </c>
      <c r="N64" s="24" t="e">
        <f t="shared" si="5"/>
        <v>#DIV/0!</v>
      </c>
      <c r="O64" s="24" t="e">
        <f t="shared" si="6"/>
        <v>#DIV/0!</v>
      </c>
    </row>
    <row r="65" spans="1:15" x14ac:dyDescent="0.3">
      <c r="A65" s="99">
        <f t="shared" si="4"/>
        <v>63</v>
      </c>
      <c r="B65" s="70" t="e">
        <f>[1]Кг_s12!D64</f>
        <v>#DIV/0!</v>
      </c>
      <c r="C65" s="21" t="e">
        <f>[1]Кг_s12!I64</f>
        <v>#DIV/0!</v>
      </c>
      <c r="D65" s="22">
        <f>[2]Кг_s12!B64</f>
        <v>0</v>
      </c>
      <c r="E65" s="22">
        <f>[2]Кг_s12!$C$2</f>
        <v>1E-3</v>
      </c>
      <c r="F65" s="22" t="e">
        <f t="shared" si="0"/>
        <v>#DIV/0!</v>
      </c>
      <c r="G65" s="22" t="e">
        <f t="shared" si="1"/>
        <v>#DIV/0!</v>
      </c>
      <c r="J65" s="23" t="e">
        <f t="shared" si="2"/>
        <v>#DIV/0!</v>
      </c>
      <c r="K65" s="23" t="e">
        <f t="shared" si="3"/>
        <v>#DIV/0!</v>
      </c>
      <c r="N65" s="24" t="e">
        <f t="shared" si="5"/>
        <v>#DIV/0!</v>
      </c>
      <c r="O65" s="24" t="e">
        <f t="shared" si="6"/>
        <v>#DIV/0!</v>
      </c>
    </row>
    <row r="66" spans="1:15" x14ac:dyDescent="0.3">
      <c r="A66" s="99">
        <f t="shared" si="4"/>
        <v>64</v>
      </c>
      <c r="B66" s="70" t="e">
        <f>[1]Кг_s12!D65</f>
        <v>#DIV/0!</v>
      </c>
      <c r="C66" s="21" t="e">
        <f>[1]Кг_s12!I65</f>
        <v>#DIV/0!</v>
      </c>
      <c r="D66" s="22">
        <f>[2]Кг_s12!B65</f>
        <v>0</v>
      </c>
      <c r="E66" s="22">
        <f>[2]Кг_s12!$C$2</f>
        <v>1E-3</v>
      </c>
      <c r="F66" s="22" t="e">
        <f t="shared" si="0"/>
        <v>#DIV/0!</v>
      </c>
      <c r="G66" s="22" t="e">
        <f t="shared" si="1"/>
        <v>#DIV/0!</v>
      </c>
      <c r="J66" s="23" t="e">
        <f t="shared" si="2"/>
        <v>#DIV/0!</v>
      </c>
      <c r="K66" s="23" t="e">
        <f t="shared" si="3"/>
        <v>#DIV/0!</v>
      </c>
      <c r="N66" s="24" t="e">
        <f t="shared" si="5"/>
        <v>#DIV/0!</v>
      </c>
      <c r="O66" s="24" t="e">
        <f t="shared" si="6"/>
        <v>#DIV/0!</v>
      </c>
    </row>
    <row r="67" spans="1:15" x14ac:dyDescent="0.3">
      <c r="A67" s="99">
        <f t="shared" si="4"/>
        <v>65</v>
      </c>
      <c r="B67" s="70" t="e">
        <f>[1]Кг_s12!D66</f>
        <v>#DIV/0!</v>
      </c>
      <c r="C67" s="21" t="e">
        <f>[1]Кг_s12!I66</f>
        <v>#DIV/0!</v>
      </c>
      <c r="D67" s="22">
        <f>[2]Кг_s12!B66</f>
        <v>0</v>
      </c>
      <c r="E67" s="22">
        <f>[2]Кг_s12!$C$2</f>
        <v>1E-3</v>
      </c>
      <c r="F67" s="22" t="e">
        <f t="shared" si="0"/>
        <v>#DIV/0!</v>
      </c>
      <c r="G67" s="22" t="e">
        <f t="shared" si="1"/>
        <v>#DIV/0!</v>
      </c>
      <c r="J67" s="23" t="e">
        <f t="shared" si="2"/>
        <v>#DIV/0!</v>
      </c>
      <c r="K67" s="23" t="e">
        <f t="shared" si="3"/>
        <v>#DIV/0!</v>
      </c>
      <c r="N67" s="24" t="e">
        <f t="shared" si="5"/>
        <v>#DIV/0!</v>
      </c>
      <c r="O67" s="24" t="e">
        <f t="shared" si="6"/>
        <v>#DIV/0!</v>
      </c>
    </row>
    <row r="68" spans="1:15" x14ac:dyDescent="0.3">
      <c r="A68" s="100">
        <f t="shared" si="4"/>
        <v>66</v>
      </c>
      <c r="B68" s="70">
        <f>[1]Кг_s12!D67</f>
        <v>1</v>
      </c>
      <c r="C68" s="21">
        <f>[1]Кг_s12!I67</f>
        <v>0</v>
      </c>
      <c r="D68" s="22">
        <f>[2]Кг_s12!B67</f>
        <v>1</v>
      </c>
      <c r="E68" s="22">
        <f>[2]Кг_s12!$C$2</f>
        <v>1E-3</v>
      </c>
      <c r="F68" s="22" t="str">
        <f t="shared" ref="F68:F88" si="7">ROUNDUP(ABS(B68-D68),3) &amp; " ± " &amp; ROUNDUP(ABS(C68-E68),3)</f>
        <v>0 ± 0,001</v>
      </c>
      <c r="G68" s="22" t="str">
        <f t="shared" ref="G68:G88" si="8">ROUNDUP(ABS(B68-D68)/B68*100,3) &amp; " ± " &amp; ROUNDUP(ABS(C68-E68)/B68*100,3)</f>
        <v>0 ± 0,1</v>
      </c>
      <c r="J68" s="23" t="str">
        <f t="shared" ref="J68:J88" si="9">ROUNDUP(ABS(B68-H68),3) &amp; " ± " &amp; ROUNDUP(ABS(C68-I68),3)</f>
        <v>1 ± 0</v>
      </c>
      <c r="K68" s="23" t="str">
        <f t="shared" ref="K68:K88" si="10">ROUNDUP(ABS(B68-H68)/B68*100,3) &amp; " ± " &amp; ROUNDUP(ABS(C68-I68)/B68*100,3)</f>
        <v>100 ± 0</v>
      </c>
      <c r="N68" s="24" t="str">
        <f t="shared" si="5"/>
        <v>1 ± 0</v>
      </c>
      <c r="O68" s="24" t="str">
        <f t="shared" si="6"/>
        <v>100 ± 0</v>
      </c>
    </row>
    <row r="69" spans="1:15" x14ac:dyDescent="0.3">
      <c r="A69" s="99">
        <f t="shared" ref="A69:A132" si="11">A68+1</f>
        <v>67</v>
      </c>
      <c r="B69" s="70" t="e">
        <f>[1]Кг_s12!D68</f>
        <v>#DIV/0!</v>
      </c>
      <c r="C69" s="21" t="e">
        <f>[1]Кг_s12!I68</f>
        <v>#DIV/0!</v>
      </c>
      <c r="D69" s="22">
        <f>[2]Кг_s12!B68</f>
        <v>0</v>
      </c>
      <c r="E69" s="22">
        <f>[2]Кг_s12!$C$2</f>
        <v>1E-3</v>
      </c>
      <c r="F69" s="22" t="e">
        <f t="shared" si="7"/>
        <v>#DIV/0!</v>
      </c>
      <c r="G69" s="22" t="e">
        <f t="shared" si="8"/>
        <v>#DIV/0!</v>
      </c>
      <c r="J69" s="23" t="e">
        <f t="shared" si="9"/>
        <v>#DIV/0!</v>
      </c>
      <c r="K69" s="23" t="e">
        <f t="shared" si="10"/>
        <v>#DIV/0!</v>
      </c>
      <c r="N69" s="24" t="e">
        <f t="shared" ref="N69:N88" si="12">ROUNDUP(ABS(B69-L69),3) &amp; " ± " &amp; ROUNDUP(ABS(C69-M69),3)</f>
        <v>#DIV/0!</v>
      </c>
      <c r="O69" s="24" t="e">
        <f t="shared" ref="O69:O88" si="13">ROUNDUP(ABS(B69-L69)/B69*100,3) &amp; " ± " &amp; ROUNDUP(ABS(C69-M69)/B69*100,3)</f>
        <v>#DIV/0!</v>
      </c>
    </row>
    <row r="70" spans="1:15" x14ac:dyDescent="0.3">
      <c r="A70" s="99">
        <f t="shared" si="11"/>
        <v>68</v>
      </c>
      <c r="B70" s="70" t="e">
        <f>[1]Кг_s12!D69</f>
        <v>#DIV/0!</v>
      </c>
      <c r="C70" s="21" t="e">
        <f>[1]Кг_s12!I69</f>
        <v>#DIV/0!</v>
      </c>
      <c r="D70" s="22">
        <f>[2]Кг_s12!B69</f>
        <v>0</v>
      </c>
      <c r="E70" s="22">
        <f>[2]Кг_s12!$C$2</f>
        <v>1E-3</v>
      </c>
      <c r="F70" s="22" t="e">
        <f t="shared" si="7"/>
        <v>#DIV/0!</v>
      </c>
      <c r="G70" s="22" t="e">
        <f t="shared" si="8"/>
        <v>#DIV/0!</v>
      </c>
      <c r="J70" s="23" t="e">
        <f t="shared" si="9"/>
        <v>#DIV/0!</v>
      </c>
      <c r="K70" s="23" t="e">
        <f t="shared" si="10"/>
        <v>#DIV/0!</v>
      </c>
      <c r="N70" s="24" t="e">
        <f t="shared" si="12"/>
        <v>#DIV/0!</v>
      </c>
      <c r="O70" s="24" t="e">
        <f t="shared" si="13"/>
        <v>#DIV/0!</v>
      </c>
    </row>
    <row r="71" spans="1:15" x14ac:dyDescent="0.3">
      <c r="A71" s="99">
        <f t="shared" si="11"/>
        <v>69</v>
      </c>
      <c r="B71" s="70" t="e">
        <f>[1]Кг_s12!D70</f>
        <v>#DIV/0!</v>
      </c>
      <c r="C71" s="21" t="e">
        <f>[1]Кг_s12!I70</f>
        <v>#DIV/0!</v>
      </c>
      <c r="D71" s="22">
        <f>[2]Кг_s12!B70</f>
        <v>0</v>
      </c>
      <c r="E71" s="22">
        <f>[2]Кг_s12!$C$2</f>
        <v>1E-3</v>
      </c>
      <c r="F71" s="22" t="e">
        <f t="shared" si="7"/>
        <v>#DIV/0!</v>
      </c>
      <c r="G71" s="22" t="e">
        <f t="shared" si="8"/>
        <v>#DIV/0!</v>
      </c>
      <c r="J71" s="23" t="e">
        <f t="shared" si="9"/>
        <v>#DIV/0!</v>
      </c>
      <c r="K71" s="23" t="e">
        <f t="shared" si="10"/>
        <v>#DIV/0!</v>
      </c>
      <c r="N71" s="24" t="e">
        <f t="shared" si="12"/>
        <v>#DIV/0!</v>
      </c>
      <c r="O71" s="24" t="e">
        <f t="shared" si="13"/>
        <v>#DIV/0!</v>
      </c>
    </row>
    <row r="72" spans="1:15" x14ac:dyDescent="0.3">
      <c r="A72" s="99">
        <f t="shared" si="11"/>
        <v>70</v>
      </c>
      <c r="B72" s="70" t="e">
        <f>[1]Кг_s12!D71</f>
        <v>#DIV/0!</v>
      </c>
      <c r="C72" s="21" t="e">
        <f>[1]Кг_s12!I71</f>
        <v>#DIV/0!</v>
      </c>
      <c r="D72" s="22">
        <f>[2]Кг_s12!B71</f>
        <v>0</v>
      </c>
      <c r="E72" s="22">
        <f>[2]Кг_s12!$C$2</f>
        <v>1E-3</v>
      </c>
      <c r="F72" s="22" t="e">
        <f t="shared" si="7"/>
        <v>#DIV/0!</v>
      </c>
      <c r="G72" s="22" t="e">
        <f t="shared" si="8"/>
        <v>#DIV/0!</v>
      </c>
      <c r="J72" s="23" t="e">
        <f t="shared" si="9"/>
        <v>#DIV/0!</v>
      </c>
      <c r="K72" s="23" t="e">
        <f t="shared" si="10"/>
        <v>#DIV/0!</v>
      </c>
      <c r="N72" s="24" t="e">
        <f t="shared" si="12"/>
        <v>#DIV/0!</v>
      </c>
      <c r="O72" s="24" t="e">
        <f t="shared" si="13"/>
        <v>#DIV/0!</v>
      </c>
    </row>
    <row r="73" spans="1:15" x14ac:dyDescent="0.3">
      <c r="A73" s="100">
        <f t="shared" si="11"/>
        <v>71</v>
      </c>
      <c r="B73" s="70">
        <f>[1]Кг_s12!D72</f>
        <v>1</v>
      </c>
      <c r="C73" s="21">
        <f>[1]Кг_s12!I72</f>
        <v>0</v>
      </c>
      <c r="D73" s="22">
        <f>[2]Кг_s12!B72</f>
        <v>1</v>
      </c>
      <c r="E73" s="22">
        <f>[2]Кг_s12!$C$2</f>
        <v>1E-3</v>
      </c>
      <c r="F73" s="22" t="str">
        <f t="shared" si="7"/>
        <v>0 ± 0,001</v>
      </c>
      <c r="G73" s="22" t="str">
        <f t="shared" si="8"/>
        <v>0 ± 0,1</v>
      </c>
      <c r="J73" s="23" t="str">
        <f t="shared" si="9"/>
        <v>1 ± 0</v>
      </c>
      <c r="K73" s="23" t="str">
        <f t="shared" si="10"/>
        <v>100 ± 0</v>
      </c>
      <c r="N73" s="24" t="str">
        <f t="shared" si="12"/>
        <v>1 ± 0</v>
      </c>
      <c r="O73" s="24" t="str">
        <f t="shared" si="13"/>
        <v>100 ± 0</v>
      </c>
    </row>
    <row r="74" spans="1:15" x14ac:dyDescent="0.3">
      <c r="A74" s="99">
        <f t="shared" si="11"/>
        <v>72</v>
      </c>
      <c r="B74" s="70" t="e">
        <f>[1]Кг_s12!D73</f>
        <v>#DIV/0!</v>
      </c>
      <c r="C74" s="21" t="e">
        <f>[1]Кг_s12!I73</f>
        <v>#DIV/0!</v>
      </c>
      <c r="D74" s="22">
        <f>[2]Кг_s12!B73</f>
        <v>0</v>
      </c>
      <c r="E74" s="22">
        <f>[2]Кг_s12!$C$2</f>
        <v>1E-3</v>
      </c>
      <c r="F74" s="22" t="e">
        <f t="shared" si="7"/>
        <v>#DIV/0!</v>
      </c>
      <c r="G74" s="22" t="e">
        <f t="shared" si="8"/>
        <v>#DIV/0!</v>
      </c>
      <c r="J74" s="23" t="e">
        <f t="shared" si="9"/>
        <v>#DIV/0!</v>
      </c>
      <c r="K74" s="23" t="e">
        <f t="shared" si="10"/>
        <v>#DIV/0!</v>
      </c>
      <c r="N74" s="24" t="e">
        <f t="shared" si="12"/>
        <v>#DIV/0!</v>
      </c>
      <c r="O74" s="24" t="e">
        <f t="shared" si="13"/>
        <v>#DIV/0!</v>
      </c>
    </row>
    <row r="75" spans="1:15" x14ac:dyDescent="0.3">
      <c r="A75" s="99">
        <f t="shared" si="11"/>
        <v>73</v>
      </c>
      <c r="B75" s="70" t="e">
        <f>[1]Кг_s12!D74</f>
        <v>#DIV/0!</v>
      </c>
      <c r="C75" s="21" t="e">
        <f>[1]Кг_s12!I74</f>
        <v>#DIV/0!</v>
      </c>
      <c r="D75" s="22">
        <f>[2]Кг_s12!B74</f>
        <v>0</v>
      </c>
      <c r="E75" s="22">
        <f>[2]Кг_s12!$C$2</f>
        <v>1E-3</v>
      </c>
      <c r="F75" s="22" t="e">
        <f t="shared" si="7"/>
        <v>#DIV/0!</v>
      </c>
      <c r="G75" s="22" t="e">
        <f t="shared" si="8"/>
        <v>#DIV/0!</v>
      </c>
      <c r="J75" s="23" t="e">
        <f t="shared" si="9"/>
        <v>#DIV/0!</v>
      </c>
      <c r="K75" s="23" t="e">
        <f t="shared" si="10"/>
        <v>#DIV/0!</v>
      </c>
      <c r="N75" s="24" t="e">
        <f t="shared" si="12"/>
        <v>#DIV/0!</v>
      </c>
      <c r="O75" s="24" t="e">
        <f t="shared" si="13"/>
        <v>#DIV/0!</v>
      </c>
    </row>
    <row r="76" spans="1:15" x14ac:dyDescent="0.3">
      <c r="A76" s="99">
        <f t="shared" si="11"/>
        <v>74</v>
      </c>
      <c r="B76" s="70" t="e">
        <f>[1]Кг_s12!D75</f>
        <v>#DIV/0!</v>
      </c>
      <c r="C76" s="21" t="e">
        <f>[1]Кг_s12!I75</f>
        <v>#DIV/0!</v>
      </c>
      <c r="D76" s="22">
        <f>[2]Кг_s12!B75</f>
        <v>0</v>
      </c>
      <c r="E76" s="22">
        <f>[2]Кг_s12!$C$2</f>
        <v>1E-3</v>
      </c>
      <c r="F76" s="22" t="e">
        <f t="shared" si="7"/>
        <v>#DIV/0!</v>
      </c>
      <c r="G76" s="22" t="e">
        <f t="shared" si="8"/>
        <v>#DIV/0!</v>
      </c>
      <c r="J76" s="23" t="e">
        <f t="shared" si="9"/>
        <v>#DIV/0!</v>
      </c>
      <c r="K76" s="23" t="e">
        <f t="shared" si="10"/>
        <v>#DIV/0!</v>
      </c>
      <c r="N76" s="24" t="e">
        <f t="shared" si="12"/>
        <v>#DIV/0!</v>
      </c>
      <c r="O76" s="24" t="e">
        <f t="shared" si="13"/>
        <v>#DIV/0!</v>
      </c>
    </row>
    <row r="77" spans="1:15" x14ac:dyDescent="0.3">
      <c r="A77" s="99">
        <f t="shared" si="11"/>
        <v>75</v>
      </c>
      <c r="B77" s="70" t="e">
        <f>[1]Кг_s12!D76</f>
        <v>#DIV/0!</v>
      </c>
      <c r="C77" s="21" t="e">
        <f>[1]Кг_s12!I76</f>
        <v>#DIV/0!</v>
      </c>
      <c r="D77" s="22">
        <f>[2]Кг_s12!B76</f>
        <v>0</v>
      </c>
      <c r="E77" s="22">
        <f>[2]Кг_s12!$C$2</f>
        <v>1E-3</v>
      </c>
      <c r="F77" s="22" t="e">
        <f t="shared" si="7"/>
        <v>#DIV/0!</v>
      </c>
      <c r="G77" s="22" t="e">
        <f t="shared" si="8"/>
        <v>#DIV/0!</v>
      </c>
      <c r="J77" s="23" t="e">
        <f t="shared" si="9"/>
        <v>#DIV/0!</v>
      </c>
      <c r="K77" s="23" t="e">
        <f t="shared" si="10"/>
        <v>#DIV/0!</v>
      </c>
      <c r="N77" s="24" t="e">
        <f t="shared" si="12"/>
        <v>#DIV/0!</v>
      </c>
      <c r="O77" s="24" t="e">
        <f t="shared" si="13"/>
        <v>#DIV/0!</v>
      </c>
    </row>
    <row r="78" spans="1:15" x14ac:dyDescent="0.3">
      <c r="A78" s="100">
        <f t="shared" si="11"/>
        <v>76</v>
      </c>
      <c r="B78" s="70">
        <f>[1]Кг_s12!D77</f>
        <v>1</v>
      </c>
      <c r="C78" s="21">
        <f>[1]Кг_s12!I77</f>
        <v>0</v>
      </c>
      <c r="D78" s="22">
        <f>[2]Кг_s12!B77</f>
        <v>5.0000000000000001E-4</v>
      </c>
      <c r="E78" s="22">
        <f>[2]Кг_s12!$C$2</f>
        <v>1E-3</v>
      </c>
      <c r="F78" s="22" t="str">
        <f t="shared" si="7"/>
        <v>1 ± 0,001</v>
      </c>
      <c r="G78" s="22" t="str">
        <f t="shared" si="8"/>
        <v>99,95 ± 0,1</v>
      </c>
      <c r="J78" s="23" t="str">
        <f t="shared" si="9"/>
        <v>1 ± 0</v>
      </c>
      <c r="K78" s="23" t="str">
        <f t="shared" si="10"/>
        <v>100 ± 0</v>
      </c>
      <c r="N78" s="24" t="str">
        <f t="shared" si="12"/>
        <v>1 ± 0</v>
      </c>
      <c r="O78" s="24" t="str">
        <f t="shared" si="13"/>
        <v>100 ± 0</v>
      </c>
    </row>
    <row r="79" spans="1:15" x14ac:dyDescent="0.3">
      <c r="B79" s="70" t="e">
        <f>[1]Кг_s12!D78</f>
        <v>#DIV/0!</v>
      </c>
      <c r="C79" s="21" t="e">
        <f>[1]Кг_s12!I78</f>
        <v>#DIV/0!</v>
      </c>
      <c r="D79" s="22">
        <f>[2]Кг_s12!B78</f>
        <v>0</v>
      </c>
      <c r="E79" s="22">
        <f>[2]Кг_s12!$C$2</f>
        <v>1E-3</v>
      </c>
      <c r="F79" s="22" t="e">
        <f t="shared" si="7"/>
        <v>#DIV/0!</v>
      </c>
      <c r="G79" s="22" t="e">
        <f t="shared" si="8"/>
        <v>#DIV/0!</v>
      </c>
      <c r="J79" s="23" t="e">
        <f t="shared" si="9"/>
        <v>#DIV/0!</v>
      </c>
      <c r="K79" s="23" t="e">
        <f t="shared" si="10"/>
        <v>#DIV/0!</v>
      </c>
      <c r="N79" s="24" t="e">
        <f t="shared" si="12"/>
        <v>#DIV/0!</v>
      </c>
      <c r="O79" s="24" t="e">
        <f t="shared" si="13"/>
        <v>#DIV/0!</v>
      </c>
    </row>
    <row r="80" spans="1:15" x14ac:dyDescent="0.3">
      <c r="B80" s="70" t="e">
        <f>[1]Кг_s12!D79</f>
        <v>#DIV/0!</v>
      </c>
      <c r="C80" s="21" t="e">
        <f>[1]Кг_s12!I79</f>
        <v>#DIV/0!</v>
      </c>
      <c r="D80" s="22">
        <f>[2]Кг_s12!B79</f>
        <v>0</v>
      </c>
      <c r="E80" s="22">
        <f>[2]Кг_s12!$C$2</f>
        <v>1E-3</v>
      </c>
      <c r="F80" s="22" t="e">
        <f t="shared" si="7"/>
        <v>#DIV/0!</v>
      </c>
      <c r="G80" s="22" t="e">
        <f t="shared" si="8"/>
        <v>#DIV/0!</v>
      </c>
      <c r="J80" s="23" t="e">
        <f t="shared" si="9"/>
        <v>#DIV/0!</v>
      </c>
      <c r="K80" s="23" t="e">
        <f t="shared" si="10"/>
        <v>#DIV/0!</v>
      </c>
      <c r="N80" s="24" t="e">
        <f t="shared" si="12"/>
        <v>#DIV/0!</v>
      </c>
      <c r="O80" s="24" t="e">
        <f t="shared" si="13"/>
        <v>#DIV/0!</v>
      </c>
    </row>
    <row r="81" spans="1:15" x14ac:dyDescent="0.3">
      <c r="A81" s="100" t="s">
        <v>51</v>
      </c>
      <c r="B81" s="70">
        <f>[1]Кг_s12!D80</f>
        <v>1</v>
      </c>
      <c r="C81" s="21">
        <f>[1]Кг_s12!I80</f>
        <v>0</v>
      </c>
      <c r="D81" s="22">
        <f>[2]Кг_s12!B80</f>
        <v>1</v>
      </c>
      <c r="E81" s="22">
        <f>[2]Кг_s12!$C$2</f>
        <v>1E-3</v>
      </c>
      <c r="F81" s="22" t="str">
        <f t="shared" si="7"/>
        <v>0 ± 0,001</v>
      </c>
      <c r="G81" s="22" t="str">
        <f t="shared" si="8"/>
        <v>0 ± 0,1</v>
      </c>
      <c r="J81" s="23" t="str">
        <f t="shared" si="9"/>
        <v>1 ± 0</v>
      </c>
      <c r="K81" s="23" t="str">
        <f t="shared" si="10"/>
        <v>100 ± 0</v>
      </c>
      <c r="N81" s="24" t="str">
        <f t="shared" si="12"/>
        <v>1 ± 0</v>
      </c>
      <c r="O81" s="24" t="str">
        <f t="shared" si="13"/>
        <v>100 ± 0</v>
      </c>
    </row>
    <row r="82" spans="1:15" x14ac:dyDescent="0.3">
      <c r="A82" s="100" t="s">
        <v>52</v>
      </c>
      <c r="B82" s="70">
        <f>[1]Кг_s12!D81</f>
        <v>1</v>
      </c>
      <c r="C82" s="21">
        <f>[1]Кг_s12!I81</f>
        <v>0</v>
      </c>
      <c r="D82" s="22">
        <f>[2]Кг_s12!B81</f>
        <v>1</v>
      </c>
      <c r="E82" s="22">
        <f>[2]Кг_s12!$C$2</f>
        <v>1E-3</v>
      </c>
      <c r="F82" s="22" t="str">
        <f t="shared" si="7"/>
        <v>0 ± 0,001</v>
      </c>
      <c r="G82" s="22" t="str">
        <f t="shared" si="8"/>
        <v>0 ± 0,1</v>
      </c>
      <c r="J82" s="23" t="str">
        <f t="shared" si="9"/>
        <v>1 ± 0</v>
      </c>
      <c r="K82" s="23" t="str">
        <f t="shared" si="10"/>
        <v>100 ± 0</v>
      </c>
      <c r="N82" s="24" t="str">
        <f t="shared" si="12"/>
        <v>1 ± 0</v>
      </c>
      <c r="O82" s="24" t="str">
        <f t="shared" si="13"/>
        <v>100 ± 0</v>
      </c>
    </row>
    <row r="83" spans="1:15" x14ac:dyDescent="0.3">
      <c r="A83" s="100" t="s">
        <v>53</v>
      </c>
      <c r="B83" s="70">
        <f>[1]Кг_s12!D82</f>
        <v>0.8468451536844982</v>
      </c>
      <c r="C83" s="21">
        <f>[1]Кг_s12!I82</f>
        <v>0.13594658225371029</v>
      </c>
      <c r="D83" s="22">
        <f>[2]Кг_s12!B82</f>
        <v>0.64600000000000002</v>
      </c>
      <c r="E83" s="22">
        <f>[2]Кг_s12!$C$2</f>
        <v>1E-3</v>
      </c>
      <c r="F83" s="22" t="str">
        <f t="shared" si="7"/>
        <v>0,201 ± 0,135</v>
      </c>
      <c r="G83" s="22" t="str">
        <f t="shared" si="8"/>
        <v>23,717 ± 15,936</v>
      </c>
      <c r="J83" s="23" t="str">
        <f t="shared" si="9"/>
        <v>0,847 ± 0,136</v>
      </c>
      <c r="K83" s="23" t="str">
        <f t="shared" si="10"/>
        <v>100 ± 16,054</v>
      </c>
      <c r="N83" s="24" t="str">
        <f t="shared" si="12"/>
        <v>0,847 ± 0,136</v>
      </c>
      <c r="O83" s="24" t="str">
        <f t="shared" si="13"/>
        <v>100 ± 16,054</v>
      </c>
    </row>
    <row r="84" spans="1:15" x14ac:dyDescent="0.3">
      <c r="A84" s="100" t="s">
        <v>54</v>
      </c>
      <c r="B84" s="70">
        <f>[1]Кг_s12!D83</f>
        <v>0.87245034292330981</v>
      </c>
      <c r="C84" s="21">
        <f>[1]Кг_s12!I83</f>
        <v>4.2498556665950378E-2</v>
      </c>
      <c r="D84" s="22">
        <f>[2]Кг_s12!B83</f>
        <v>0.624</v>
      </c>
      <c r="E84" s="22">
        <f>[2]Кг_s12!$C$2</f>
        <v>1E-3</v>
      </c>
      <c r="F84" s="22" t="str">
        <f t="shared" si="7"/>
        <v>0,249 ± 0,042</v>
      </c>
      <c r="G84" s="22" t="str">
        <f t="shared" si="8"/>
        <v>28,478 ± 4,757</v>
      </c>
      <c r="J84" s="23" t="str">
        <f t="shared" si="9"/>
        <v>0,873 ± 0,043</v>
      </c>
      <c r="K84" s="23" t="str">
        <f t="shared" si="10"/>
        <v>100 ± 4,872</v>
      </c>
      <c r="N84" s="24" t="str">
        <f t="shared" si="12"/>
        <v>0,873 ± 0,043</v>
      </c>
      <c r="O84" s="24" t="str">
        <f t="shared" si="13"/>
        <v>100 ± 4,872</v>
      </c>
    </row>
    <row r="85" spans="1:15" x14ac:dyDescent="0.3">
      <c r="A85" s="100" t="s">
        <v>55</v>
      </c>
      <c r="B85" s="70">
        <f>[1]Кг_s12!D84</f>
        <v>1</v>
      </c>
      <c r="C85" s="21">
        <f>[1]Кг_s12!I84</f>
        <v>0</v>
      </c>
      <c r="D85" s="22">
        <f>[2]Кг_s12!B84</f>
        <v>1</v>
      </c>
      <c r="E85" s="22">
        <f>[2]Кг_s12!$C$2</f>
        <v>1E-3</v>
      </c>
      <c r="F85" s="22" t="str">
        <f t="shared" si="7"/>
        <v>0 ± 0,001</v>
      </c>
      <c r="G85" s="22" t="str">
        <f t="shared" si="8"/>
        <v>0 ± 0,1</v>
      </c>
      <c r="J85" s="23" t="str">
        <f t="shared" si="9"/>
        <v>1 ± 0</v>
      </c>
      <c r="K85" s="23" t="str">
        <f t="shared" si="10"/>
        <v>100 ± 0</v>
      </c>
      <c r="N85" s="24" t="str">
        <f t="shared" si="12"/>
        <v>1 ± 0</v>
      </c>
      <c r="O85" s="24" t="str">
        <f t="shared" si="13"/>
        <v>100 ± 0</v>
      </c>
    </row>
    <row r="86" spans="1:15" x14ac:dyDescent="0.3">
      <c r="A86" s="100" t="s">
        <v>56</v>
      </c>
      <c r="B86" s="70">
        <f>[1]Кг_s12!D85</f>
        <v>0.99920898270745739</v>
      </c>
      <c r="C86" s="21">
        <f>[1]Кг_s12!I85</f>
        <v>3.4663077875842223E-3</v>
      </c>
      <c r="D86" s="22">
        <f>[2]Кг_s12!B85</f>
        <v>0.66700000000000004</v>
      </c>
      <c r="E86" s="22">
        <f>[2]Кг_s12!$C$2</f>
        <v>1E-3</v>
      </c>
      <c r="F86" s="22" t="str">
        <f t="shared" si="7"/>
        <v>0,333 ± 0,003</v>
      </c>
      <c r="G86" s="22" t="str">
        <f t="shared" si="8"/>
        <v>33,248 ± 0,247</v>
      </c>
      <c r="J86" s="23" t="str">
        <f t="shared" si="9"/>
        <v>1 ± 0,004</v>
      </c>
      <c r="K86" s="23" t="str">
        <f t="shared" si="10"/>
        <v>100 ± 0,347</v>
      </c>
      <c r="N86" s="24" t="str">
        <f t="shared" si="12"/>
        <v>1 ± 0,004</v>
      </c>
      <c r="O86" s="24" t="str">
        <f t="shared" si="13"/>
        <v>100 ± 0,347</v>
      </c>
    </row>
    <row r="87" spans="1:15" x14ac:dyDescent="0.3">
      <c r="A87" s="100" t="s">
        <v>57</v>
      </c>
      <c r="B87" s="70">
        <f>[1]Кг_s12!D86</f>
        <v>0.82177843432841091</v>
      </c>
      <c r="C87" s="21">
        <f>[1]Кг_s12!I86</f>
        <v>0.11094443425691701</v>
      </c>
      <c r="D87" s="22">
        <f>[2]Кг_s12!B86</f>
        <v>0.68</v>
      </c>
      <c r="E87" s="22">
        <f>[2]Кг_s12!$C$2</f>
        <v>1E-3</v>
      </c>
      <c r="F87" s="22" t="str">
        <f t="shared" si="7"/>
        <v>0,142 ± 0,11</v>
      </c>
      <c r="G87" s="22" t="str">
        <f t="shared" si="8"/>
        <v>17,253 ± 13,379</v>
      </c>
      <c r="J87" s="23" t="str">
        <f t="shared" si="9"/>
        <v>0,822 ± 0,111</v>
      </c>
      <c r="K87" s="23" t="str">
        <f t="shared" si="10"/>
        <v>100 ± 13,501</v>
      </c>
      <c r="N87" s="24" t="str">
        <f t="shared" si="12"/>
        <v>0,822 ± 0,111</v>
      </c>
      <c r="O87" s="24" t="str">
        <f t="shared" si="13"/>
        <v>100 ± 13,501</v>
      </c>
    </row>
    <row r="88" spans="1:15" x14ac:dyDescent="0.3">
      <c r="A88" s="100" t="s">
        <v>58</v>
      </c>
      <c r="B88" s="70">
        <f>[1]Кг_s12!D87</f>
        <v>0.62402618280146083</v>
      </c>
      <c r="C88" s="21">
        <f>[1]Кг_s12!I87</f>
        <v>0.20837802940781933</v>
      </c>
      <c r="D88" s="22">
        <f>[2]Кг_s12!B87</f>
        <v>0.68700000000000006</v>
      </c>
      <c r="E88" s="22">
        <f>[2]Кг_s12!$C$2</f>
        <v>1E-3</v>
      </c>
      <c r="F88" s="22" t="str">
        <f t="shared" si="7"/>
        <v>0,063 ± 0,208</v>
      </c>
      <c r="G88" s="22" t="str">
        <f t="shared" si="8"/>
        <v>10,092 ± 33,233</v>
      </c>
      <c r="J88" s="23" t="str">
        <f t="shared" si="9"/>
        <v>0,625 ± 0,209</v>
      </c>
      <c r="K88" s="23" t="str">
        <f t="shared" si="10"/>
        <v>100 ± 33,393</v>
      </c>
      <c r="N88" s="24" t="str">
        <f t="shared" si="12"/>
        <v>0,625 ± 0,209</v>
      </c>
      <c r="O88" s="24" t="str">
        <f t="shared" si="13"/>
        <v>100 ± 33,393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5132A-80C4-410D-A18F-1C32BE43DD94}">
  <sheetPr codeName="Лист12"/>
  <dimension ref="A1:S88"/>
  <sheetViews>
    <sheetView tabSelected="1" workbookViewId="0">
      <pane xSplit="1" topLeftCell="I1" activePane="topRight" state="frozen"/>
      <selection pane="topRight" activeCell="S6" sqref="S6"/>
    </sheetView>
  </sheetViews>
  <sheetFormatPr defaultRowHeight="14.4" x14ac:dyDescent="0.3"/>
  <cols>
    <col min="1" max="1" width="33.21875" style="99" customWidth="1"/>
    <col min="2" max="2" width="10.5546875" style="71" customWidth="1"/>
    <col min="3" max="3" width="9.77734375" style="5" customWidth="1"/>
    <col min="4" max="4" width="10.88671875" style="1" customWidth="1"/>
    <col min="5" max="5" width="10.21875" style="1" customWidth="1"/>
    <col min="6" max="6" width="11.88671875" style="14" customWidth="1"/>
    <col min="7" max="7" width="9.21875" style="14" customWidth="1"/>
    <col min="8" max="8" width="13.5546875" style="19" customWidth="1"/>
    <col min="9" max="9" width="11.44140625" style="19" customWidth="1"/>
    <col min="10" max="10" width="18" style="9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6" width="10.5546875" style="4" customWidth="1"/>
    <col min="17" max="17" width="13.6640625" style="4" customWidth="1"/>
    <col min="18" max="18" width="14.21875" style="4" customWidth="1"/>
    <col min="19" max="19" width="15.109375" style="4" customWidth="1"/>
    <col min="20" max="16384" width="8.88671875" style="4"/>
  </cols>
  <sheetData>
    <row r="1" spans="1:19" s="2" customFormat="1" x14ac:dyDescent="0.3">
      <c r="A1" s="102" t="s">
        <v>47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9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3"/>
      <c r="B2" s="69" t="s">
        <v>8</v>
      </c>
      <c r="C2" s="26" t="s">
        <v>9</v>
      </c>
      <c r="D2" s="27" t="s">
        <v>8</v>
      </c>
      <c r="E2" s="27" t="s">
        <v>9</v>
      </c>
      <c r="F2" s="28" t="s">
        <v>8</v>
      </c>
      <c r="G2" s="28" t="s">
        <v>9</v>
      </c>
      <c r="H2" s="29" t="s">
        <v>8</v>
      </c>
      <c r="I2" s="29" t="s">
        <v>10</v>
      </c>
      <c r="J2" s="94"/>
      <c r="K2" s="32"/>
      <c r="L2" s="32"/>
      <c r="M2" s="32"/>
      <c r="N2" s="32"/>
      <c r="O2" s="33"/>
    </row>
    <row r="3" spans="1:19" s="20" customFormat="1" x14ac:dyDescent="0.3">
      <c r="A3" s="98">
        <v>1</v>
      </c>
      <c r="B3" s="70">
        <f>[1]Время!G3</f>
        <v>155.23766666666668</v>
      </c>
      <c r="C3" s="21">
        <f>[1]Время!S3</f>
        <v>9.3975495196590479</v>
      </c>
      <c r="D3" s="22">
        <f>[2]Время!G3</f>
        <v>1.2</v>
      </c>
      <c r="E3" s="22">
        <f>[2]Время!S3</f>
        <v>0</v>
      </c>
      <c r="F3" s="23">
        <v>20</v>
      </c>
      <c r="G3" s="23">
        <v>0.01</v>
      </c>
      <c r="H3" s="24">
        <v>60</v>
      </c>
      <c r="I3" s="24">
        <v>2E-3</v>
      </c>
      <c r="J3" s="95"/>
      <c r="K3" s="35" cm="1">
        <f t="array" ref="K3">PointMin4(B3+C3,D3+E3,F3+G3,H3+I3,B3+C3)</f>
        <v>1</v>
      </c>
      <c r="L3" s="35" cm="1">
        <f t="array" ref="L3">PointMin4(B3+C3,D3+E3,F3+G3,H3+I3,D3+E3)</f>
        <v>4</v>
      </c>
      <c r="M3" s="35" cm="1">
        <f t="array" ref="M3">PointMin4(B3+C3,D3+E3,F3+G3,H3+I3,F3+G3)</f>
        <v>3</v>
      </c>
      <c r="N3" s="35" cm="1">
        <f t="array" ref="N3">PointMin4(B3+C3,D3+E3,F3+G3,H3+I3,H3+I3)</f>
        <v>2</v>
      </c>
      <c r="O3" s="31"/>
      <c r="P3" s="35">
        <f>SUM(K:K)</f>
        <v>10</v>
      </c>
      <c r="Q3" s="35">
        <f>SUM(L:L)</f>
        <v>10</v>
      </c>
      <c r="R3" s="35">
        <f>SUM(M:M)</f>
        <v>14</v>
      </c>
      <c r="S3" s="35">
        <f>SUM(N:N)</f>
        <v>13</v>
      </c>
    </row>
    <row r="4" spans="1:19" x14ac:dyDescent="0.3">
      <c r="A4" s="99">
        <f>A3+1</f>
        <v>2</v>
      </c>
      <c r="B4" s="70">
        <v>-1</v>
      </c>
      <c r="C4" s="21">
        <v>-1</v>
      </c>
      <c r="D4" s="22">
        <f>[2]Время!G4</f>
        <v>0</v>
      </c>
      <c r="E4" s="22">
        <f>[2]Время!S4</f>
        <v>0</v>
      </c>
      <c r="F4" s="23">
        <v>-1</v>
      </c>
      <c r="G4" s="23">
        <v>-1</v>
      </c>
      <c r="H4" s="19">
        <v>-1</v>
      </c>
      <c r="I4" s="19">
        <v>-1</v>
      </c>
      <c r="J4" s="95"/>
      <c r="K4" s="35" cm="1">
        <f t="array" ref="K4">PointMin4(B4+C4,D4+E4,F4+G4,H4+I4,B4+C4)</f>
        <v>2</v>
      </c>
      <c r="L4" s="35" cm="1">
        <f t="array" ref="L4">PointMin4(B4+C4,D4+E4,F4+G4,H4+I4,D4+E4)</f>
        <v>1</v>
      </c>
      <c r="M4" s="35" cm="1">
        <f t="array" ref="M4">PointMin4(B4+C4,D4+E4,F4+G4,H4+I4,F4+G4)</f>
        <v>2</v>
      </c>
      <c r="N4" s="35" cm="1">
        <f t="array" ref="N4">PointMin4(B4+C4,D4+E4,F4+G4,H4+I4,H4+I4)</f>
        <v>2</v>
      </c>
      <c r="O4" s="31"/>
    </row>
    <row r="5" spans="1:19" x14ac:dyDescent="0.3">
      <c r="A5" s="99">
        <f t="shared" ref="A5:A68" si="0">A4+1</f>
        <v>3</v>
      </c>
      <c r="B5" s="70">
        <v>-1</v>
      </c>
      <c r="C5" s="21">
        <v>-1</v>
      </c>
      <c r="D5" s="22">
        <f>[2]Время!G5</f>
        <v>0</v>
      </c>
      <c r="E5" s="22">
        <f>[2]Время!S5</f>
        <v>0</v>
      </c>
      <c r="F5" s="23">
        <v>-1</v>
      </c>
      <c r="G5" s="23">
        <v>-1</v>
      </c>
      <c r="H5" s="19">
        <v>-1</v>
      </c>
      <c r="I5" s="19">
        <v>-1</v>
      </c>
      <c r="J5" s="95"/>
      <c r="K5" s="35" cm="1">
        <f t="array" ref="K5">PointMin4(B5+C5,D5+E5,F5+G5,H5+I5,B5+C5)</f>
        <v>2</v>
      </c>
      <c r="L5" s="35" cm="1">
        <f t="array" ref="L5">PointMin4(B5+C5,D5+E5,F5+G5,H5+I5,D5+E5)</f>
        <v>1</v>
      </c>
      <c r="M5" s="35" cm="1">
        <f t="array" ref="M5">PointMin4(B5+C5,D5+E5,F5+G5,H5+I5,F5+G5)</f>
        <v>2</v>
      </c>
      <c r="N5" s="35" cm="1">
        <f t="array" ref="N5">PointMin4(B5+C5,D5+E5,F5+G5,H5+I5,H5+I5)</f>
        <v>2</v>
      </c>
      <c r="O5" s="31"/>
    </row>
    <row r="6" spans="1:19" x14ac:dyDescent="0.3">
      <c r="A6" s="99">
        <f t="shared" si="0"/>
        <v>4</v>
      </c>
      <c r="B6" s="70">
        <v>-1</v>
      </c>
      <c r="C6" s="21">
        <v>-1</v>
      </c>
      <c r="D6" s="22">
        <f>[2]Время!G6</f>
        <v>0</v>
      </c>
      <c r="E6" s="22">
        <f>[2]Время!S6</f>
        <v>0</v>
      </c>
      <c r="F6" s="23">
        <v>-1</v>
      </c>
      <c r="G6" s="23">
        <v>-1</v>
      </c>
      <c r="H6" s="19">
        <v>-1</v>
      </c>
      <c r="I6" s="19">
        <v>-1</v>
      </c>
      <c r="J6" s="95"/>
      <c r="K6" s="35" cm="1">
        <f t="array" ref="K6">PointMin4(B6+C6,D6+E6,F6+G6,H6+I6,B6+C6)</f>
        <v>2</v>
      </c>
      <c r="L6" s="35" cm="1">
        <f t="array" ref="L6">PointMin4(B6+C6,D6+E6,F6+G6,H6+I6,D6+E6)</f>
        <v>1</v>
      </c>
      <c r="M6" s="35" cm="1">
        <f t="array" ref="M6">PointMin4(B6+C6,D6+E6,F6+G6,H6+I6,F6+G6)</f>
        <v>2</v>
      </c>
      <c r="N6" s="35" cm="1">
        <f t="array" ref="N6">PointMin4(B6+C6,D6+E6,F6+G6,H6+I6,H6+I6)</f>
        <v>2</v>
      </c>
      <c r="O6" s="31"/>
    </row>
    <row r="7" spans="1:19" x14ac:dyDescent="0.3">
      <c r="A7" s="99">
        <f t="shared" si="0"/>
        <v>5</v>
      </c>
      <c r="B7" s="70">
        <v>-1</v>
      </c>
      <c r="C7" s="21">
        <v>-1</v>
      </c>
      <c r="D7" s="22">
        <f>[2]Время!G7</f>
        <v>0</v>
      </c>
      <c r="E7" s="22">
        <f>[2]Время!S7</f>
        <v>0</v>
      </c>
      <c r="F7" s="23">
        <v>-1</v>
      </c>
      <c r="G7" s="23">
        <v>-1</v>
      </c>
      <c r="H7" s="19">
        <v>-1</v>
      </c>
      <c r="I7" s="19">
        <v>-1</v>
      </c>
      <c r="J7" s="95"/>
      <c r="K7" s="35" cm="1">
        <f t="array" ref="K7">PointMin4(B7+C7,D7+E7,F7+G7,H7+I7,B7+C7)</f>
        <v>2</v>
      </c>
      <c r="L7" s="35" cm="1">
        <f t="array" ref="L7">PointMin4(B7+C7,D7+E7,F7+G7,H7+I7,D7+E7)</f>
        <v>1</v>
      </c>
      <c r="M7" s="35" cm="1">
        <f t="array" ref="M7">PointMin4(B7+C7,D7+E7,F7+G7,H7+I7,F7+G7)</f>
        <v>2</v>
      </c>
      <c r="N7" s="35" cm="1">
        <f t="array" ref="N7">PointMin4(B7+C7,D7+E7,F7+G7,H7+I7,H7+I7)</f>
        <v>2</v>
      </c>
      <c r="O7" s="31"/>
    </row>
    <row r="8" spans="1:19" x14ac:dyDescent="0.3">
      <c r="A8" s="100">
        <f t="shared" si="0"/>
        <v>6</v>
      </c>
      <c r="B8" s="70">
        <f>[1]Время!G8</f>
        <v>146.49466666666669</v>
      </c>
      <c r="C8" s="21">
        <f>[1]Время!S8</f>
        <v>7.0440424038883762</v>
      </c>
      <c r="D8" s="22">
        <f>[2]Время!G8</f>
        <v>1.2</v>
      </c>
      <c r="E8" s="22">
        <f>[2]Время!S8</f>
        <v>0</v>
      </c>
      <c r="F8" s="23"/>
      <c r="G8" s="23"/>
      <c r="J8" s="95"/>
      <c r="K8" s="35" cm="1">
        <f t="array" ref="K8">PointMin4(B8+C8,D8+E8,F8+G8,H8+I8,B8+C8)</f>
        <v>1</v>
      </c>
      <c r="L8" s="35" cm="1">
        <f t="array" ref="L8">PointMin4(B8+C8,D8+E8,F8+G8,H8+I8,D8+E8)</f>
        <v>2</v>
      </c>
      <c r="M8" s="35" cm="1">
        <f t="array" ref="M8">PointMin4(B8+C8,D8+E8,F8+G8,H8+I8,F8+G8)</f>
        <v>3</v>
      </c>
      <c r="N8" s="35" cm="1">
        <f t="array" ref="N8">PointMin4(B8+C8,D8+E8,F8+G8,H8+I8,H8+I8)</f>
        <v>3</v>
      </c>
      <c r="O8" s="31"/>
    </row>
    <row r="9" spans="1:19" x14ac:dyDescent="0.3">
      <c r="A9" s="99">
        <f t="shared" si="0"/>
        <v>7</v>
      </c>
      <c r="B9" s="70">
        <f>[1]Время!G9</f>
        <v>0</v>
      </c>
      <c r="C9" s="21">
        <f>[1]Время!S9</f>
        <v>0</v>
      </c>
      <c r="D9" s="22">
        <f>[2]Время!G9</f>
        <v>0</v>
      </c>
      <c r="E9" s="22">
        <f>[2]Время!S9</f>
        <v>0</v>
      </c>
    </row>
    <row r="10" spans="1:19" x14ac:dyDescent="0.3">
      <c r="A10" s="99">
        <f t="shared" si="0"/>
        <v>8</v>
      </c>
      <c r="B10" s="70">
        <f>[1]Время!G10</f>
        <v>0</v>
      </c>
      <c r="C10" s="21">
        <f>[1]Время!S10</f>
        <v>0</v>
      </c>
      <c r="D10" s="22">
        <f>[2]Время!G10</f>
        <v>0</v>
      </c>
      <c r="E10" s="22">
        <f>[2]Время!S10</f>
        <v>0</v>
      </c>
    </row>
    <row r="11" spans="1:19" x14ac:dyDescent="0.3">
      <c r="A11" s="99">
        <f t="shared" si="0"/>
        <v>9</v>
      </c>
      <c r="B11" s="70">
        <f>[1]Время!G11</f>
        <v>0</v>
      </c>
      <c r="C11" s="21">
        <f>[1]Время!S11</f>
        <v>0</v>
      </c>
      <c r="D11" s="22">
        <f>[2]Время!G11</f>
        <v>0</v>
      </c>
      <c r="E11" s="22">
        <f>[2]Время!S11</f>
        <v>0</v>
      </c>
    </row>
    <row r="12" spans="1:19" x14ac:dyDescent="0.3">
      <c r="A12" s="99">
        <f t="shared" si="0"/>
        <v>10</v>
      </c>
      <c r="B12" s="70">
        <f>[1]Время!G12</f>
        <v>0</v>
      </c>
      <c r="C12" s="21">
        <f>[1]Время!S12</f>
        <v>0</v>
      </c>
      <c r="D12" s="22">
        <f>[2]Время!G12</f>
        <v>0</v>
      </c>
      <c r="E12" s="22">
        <f>[2]Время!S12</f>
        <v>0</v>
      </c>
    </row>
    <row r="13" spans="1:19" x14ac:dyDescent="0.3">
      <c r="A13" s="100">
        <f t="shared" si="0"/>
        <v>11</v>
      </c>
      <c r="B13" s="70">
        <f>[1]Время!G13</f>
        <v>146.71599999999998</v>
      </c>
      <c r="C13" s="21">
        <f>[1]Время!S13</f>
        <v>3.8526568239766168</v>
      </c>
      <c r="D13" s="22">
        <f>[2]Время!G13</f>
        <v>11.333333333333334</v>
      </c>
      <c r="E13" s="22">
        <f>[2]Время!S13</f>
        <v>0.62477551524082975</v>
      </c>
    </row>
    <row r="14" spans="1:19" x14ac:dyDescent="0.3">
      <c r="A14" s="99">
        <f t="shared" si="0"/>
        <v>12</v>
      </c>
      <c r="B14" s="70">
        <f>[1]Время!G14</f>
        <v>0</v>
      </c>
      <c r="C14" s="21">
        <f>[1]Время!S14</f>
        <v>0</v>
      </c>
      <c r="D14" s="22">
        <f>[2]Время!G14</f>
        <v>0</v>
      </c>
      <c r="E14" s="22">
        <f>[2]Время!S14</f>
        <v>0</v>
      </c>
    </row>
    <row r="15" spans="1:19" x14ac:dyDescent="0.3">
      <c r="A15" s="99">
        <f t="shared" si="0"/>
        <v>13</v>
      </c>
      <c r="B15" s="70">
        <f>[1]Время!G15</f>
        <v>0</v>
      </c>
      <c r="C15" s="21">
        <f>[1]Время!S15</f>
        <v>0</v>
      </c>
      <c r="D15" s="22">
        <f>[2]Время!G15</f>
        <v>0</v>
      </c>
      <c r="E15" s="22">
        <f>[2]Время!S15</f>
        <v>0</v>
      </c>
    </row>
    <row r="16" spans="1:19" x14ac:dyDescent="0.3">
      <c r="A16" s="99">
        <f t="shared" si="0"/>
        <v>14</v>
      </c>
      <c r="B16" s="70">
        <f>[1]Время!G16</f>
        <v>0</v>
      </c>
      <c r="C16" s="21">
        <f>[1]Время!S16</f>
        <v>0</v>
      </c>
      <c r="D16" s="22">
        <f>[2]Время!G16</f>
        <v>0</v>
      </c>
      <c r="E16" s="22">
        <f>[2]Время!S16</f>
        <v>0</v>
      </c>
    </row>
    <row r="17" spans="1:5" x14ac:dyDescent="0.3">
      <c r="A17" s="99">
        <f t="shared" si="0"/>
        <v>15</v>
      </c>
      <c r="B17" s="70">
        <f>[1]Время!G17</f>
        <v>0</v>
      </c>
      <c r="C17" s="21">
        <f>[1]Время!S17</f>
        <v>0</v>
      </c>
      <c r="D17" s="22">
        <f>[2]Время!G17</f>
        <v>0</v>
      </c>
      <c r="E17" s="22">
        <f>[2]Время!S17</f>
        <v>0</v>
      </c>
    </row>
    <row r="18" spans="1:5" x14ac:dyDescent="0.3">
      <c r="A18" s="100">
        <f t="shared" si="0"/>
        <v>16</v>
      </c>
      <c r="B18" s="70">
        <f>[1]Время!G18</f>
        <v>161.822</v>
      </c>
      <c r="C18" s="21">
        <f>[1]Время!S18</f>
        <v>5.3511514661176696</v>
      </c>
      <c r="D18" s="22">
        <f>[2]Время!G18</f>
        <v>2.9</v>
      </c>
      <c r="E18" s="22">
        <f>[2]Время!S18</f>
        <v>0.43000000000000038</v>
      </c>
    </row>
    <row r="19" spans="1:5" x14ac:dyDescent="0.3">
      <c r="A19" s="99">
        <f t="shared" si="0"/>
        <v>17</v>
      </c>
      <c r="B19" s="70">
        <f>[1]Время!G19</f>
        <v>0</v>
      </c>
      <c r="C19" s="21">
        <f>[1]Время!S19</f>
        <v>0</v>
      </c>
      <c r="D19" s="22">
        <f>[2]Время!G19</f>
        <v>0</v>
      </c>
      <c r="E19" s="22">
        <f>[2]Время!S19</f>
        <v>0</v>
      </c>
    </row>
    <row r="20" spans="1:5" x14ac:dyDescent="0.3">
      <c r="A20" s="99">
        <f t="shared" si="0"/>
        <v>18</v>
      </c>
      <c r="B20" s="70">
        <f>[1]Время!G20</f>
        <v>0</v>
      </c>
      <c r="C20" s="21">
        <f>[1]Время!S20</f>
        <v>0</v>
      </c>
      <c r="D20" s="22">
        <f>[2]Время!G20</f>
        <v>0</v>
      </c>
      <c r="E20" s="22">
        <f>[2]Время!S20</f>
        <v>0</v>
      </c>
    </row>
    <row r="21" spans="1:5" x14ac:dyDescent="0.3">
      <c r="A21" s="99">
        <f t="shared" si="0"/>
        <v>19</v>
      </c>
      <c r="B21" s="70">
        <f>[1]Время!G21</f>
        <v>0</v>
      </c>
      <c r="C21" s="21">
        <f>[1]Время!S21</f>
        <v>0</v>
      </c>
      <c r="D21" s="22">
        <f>[2]Время!G21</f>
        <v>0</v>
      </c>
      <c r="E21" s="22">
        <f>[2]Время!S21</f>
        <v>0</v>
      </c>
    </row>
    <row r="22" spans="1:5" x14ac:dyDescent="0.3">
      <c r="A22" s="99">
        <f t="shared" si="0"/>
        <v>20</v>
      </c>
      <c r="B22" s="70">
        <f>[1]Время!G22</f>
        <v>0</v>
      </c>
      <c r="C22" s="21">
        <f>[1]Время!S22</f>
        <v>0</v>
      </c>
      <c r="D22" s="22">
        <f>[2]Время!G22</f>
        <v>0</v>
      </c>
      <c r="E22" s="22">
        <f>[2]Время!S22</f>
        <v>0</v>
      </c>
    </row>
    <row r="23" spans="1:5" x14ac:dyDescent="0.3">
      <c r="A23" s="100">
        <f t="shared" si="0"/>
        <v>21</v>
      </c>
      <c r="B23" s="70">
        <f>[1]Время!G23</f>
        <v>158.21199999999999</v>
      </c>
      <c r="C23" s="21">
        <f>[1]Время!S23</f>
        <v>5.164280904766243</v>
      </c>
      <c r="D23" s="22">
        <f>[2]Время!G23</f>
        <v>2.8333333333333335</v>
      </c>
      <c r="E23" s="22">
        <f>[2]Время!S23</f>
        <v>0.28666666666666629</v>
      </c>
    </row>
    <row r="24" spans="1:5" x14ac:dyDescent="0.3">
      <c r="A24" s="67">
        <f t="shared" si="0"/>
        <v>22</v>
      </c>
      <c r="B24" s="70">
        <f>[1]Время!G24</f>
        <v>0</v>
      </c>
      <c r="C24" s="21">
        <f>[1]Время!S24</f>
        <v>0</v>
      </c>
      <c r="D24" s="22">
        <f>[2]Время!G24</f>
        <v>0</v>
      </c>
      <c r="E24" s="22">
        <f>[2]Время!S24</f>
        <v>0</v>
      </c>
    </row>
    <row r="25" spans="1:5" x14ac:dyDescent="0.3">
      <c r="A25" s="67">
        <f t="shared" si="0"/>
        <v>23</v>
      </c>
      <c r="B25" s="70">
        <f>[1]Время!G25</f>
        <v>0</v>
      </c>
      <c r="C25" s="21">
        <f>[1]Время!S25</f>
        <v>0</v>
      </c>
      <c r="D25" s="22">
        <f>[2]Время!G25</f>
        <v>0</v>
      </c>
      <c r="E25" s="22">
        <f>[2]Время!S25</f>
        <v>0</v>
      </c>
    </row>
    <row r="26" spans="1:5" x14ac:dyDescent="0.3">
      <c r="A26" s="67">
        <f t="shared" si="0"/>
        <v>24</v>
      </c>
      <c r="B26" s="70">
        <f>[1]Время!G26</f>
        <v>0</v>
      </c>
      <c r="C26" s="21">
        <f>[1]Время!S26</f>
        <v>0</v>
      </c>
      <c r="D26" s="22">
        <f>[2]Время!G26</f>
        <v>0</v>
      </c>
      <c r="E26" s="22">
        <f>[2]Время!S26</f>
        <v>0</v>
      </c>
    </row>
    <row r="27" spans="1:5" x14ac:dyDescent="0.3">
      <c r="A27" s="67">
        <f t="shared" si="0"/>
        <v>25</v>
      </c>
      <c r="B27" s="70">
        <f>[1]Время!G27</f>
        <v>0</v>
      </c>
      <c r="C27" s="21">
        <f>[1]Время!S27</f>
        <v>0</v>
      </c>
      <c r="D27" s="22">
        <f>[2]Время!G27</f>
        <v>0</v>
      </c>
      <c r="E27" s="22">
        <f>[2]Время!S27</f>
        <v>0</v>
      </c>
    </row>
    <row r="28" spans="1:5" x14ac:dyDescent="0.3">
      <c r="A28" s="100">
        <f t="shared" si="0"/>
        <v>26</v>
      </c>
      <c r="B28" s="70">
        <f>[1]Время!G28</f>
        <v>146.71599999999998</v>
      </c>
      <c r="C28" s="21">
        <f>[1]Время!S28</f>
        <v>3.8526568239766168</v>
      </c>
      <c r="D28" s="22">
        <f>[2]Время!G28</f>
        <v>2.8333333333333335</v>
      </c>
      <c r="E28" s="22">
        <f>[2]Время!S28</f>
        <v>0.14333333333333348</v>
      </c>
    </row>
    <row r="29" spans="1:5" x14ac:dyDescent="0.3">
      <c r="A29" s="67">
        <f t="shared" si="0"/>
        <v>27</v>
      </c>
      <c r="B29" s="70">
        <f>[1]Время!G29</f>
        <v>0</v>
      </c>
      <c r="C29" s="21">
        <f>[1]Время!S29</f>
        <v>0</v>
      </c>
      <c r="D29" s="22">
        <f>[2]Время!G29</f>
        <v>0</v>
      </c>
      <c r="E29" s="22">
        <f>[2]Время!S29</f>
        <v>0</v>
      </c>
    </row>
    <row r="30" spans="1:5" x14ac:dyDescent="0.3">
      <c r="A30" s="67">
        <f t="shared" si="0"/>
        <v>28</v>
      </c>
      <c r="B30" s="70">
        <f>[1]Время!G30</f>
        <v>0</v>
      </c>
      <c r="C30" s="21">
        <f>[1]Время!S30</f>
        <v>0</v>
      </c>
      <c r="D30" s="22">
        <f>[2]Время!G30</f>
        <v>0</v>
      </c>
      <c r="E30" s="22">
        <f>[2]Время!S30</f>
        <v>0</v>
      </c>
    </row>
    <row r="31" spans="1:5" x14ac:dyDescent="0.3">
      <c r="A31" s="67">
        <f t="shared" si="0"/>
        <v>29</v>
      </c>
      <c r="B31" s="70">
        <f>[1]Время!G31</f>
        <v>0</v>
      </c>
      <c r="C31" s="21">
        <f>[1]Время!S31</f>
        <v>0</v>
      </c>
      <c r="D31" s="22">
        <f>[2]Время!G31</f>
        <v>0</v>
      </c>
      <c r="E31" s="22">
        <f>[2]Время!S31</f>
        <v>0</v>
      </c>
    </row>
    <row r="32" spans="1:5" x14ac:dyDescent="0.3">
      <c r="A32" s="67">
        <f t="shared" si="0"/>
        <v>30</v>
      </c>
      <c r="B32" s="70">
        <f>[1]Время!G32</f>
        <v>0</v>
      </c>
      <c r="C32" s="21">
        <f>[1]Время!S32</f>
        <v>0</v>
      </c>
      <c r="D32" s="22">
        <f>[2]Время!G32</f>
        <v>0</v>
      </c>
      <c r="E32" s="22">
        <f>[2]Время!S32</f>
        <v>0</v>
      </c>
    </row>
    <row r="33" spans="1:5" x14ac:dyDescent="0.3">
      <c r="A33" s="100">
        <f t="shared" si="0"/>
        <v>31</v>
      </c>
      <c r="B33" s="70">
        <f>[1]Время!G33</f>
        <v>161.822</v>
      </c>
      <c r="C33" s="21">
        <f>[1]Время!S33</f>
        <v>5.3511514661176696</v>
      </c>
      <c r="D33" s="22">
        <f>[2]Время!G33</f>
        <v>2.8333333333333335</v>
      </c>
      <c r="E33" s="22">
        <f>[2]Время!S33</f>
        <v>0.14333333333333348</v>
      </c>
    </row>
    <row r="34" spans="1:5" x14ac:dyDescent="0.3">
      <c r="A34" s="67">
        <f t="shared" si="0"/>
        <v>32</v>
      </c>
      <c r="B34" s="70">
        <f>[1]Время!G34</f>
        <v>0</v>
      </c>
      <c r="C34" s="21">
        <f>[1]Время!S34</f>
        <v>0</v>
      </c>
      <c r="D34" s="22">
        <f>[2]Время!G34</f>
        <v>0</v>
      </c>
      <c r="E34" s="22">
        <f>[2]Время!S34</f>
        <v>0</v>
      </c>
    </row>
    <row r="35" spans="1:5" x14ac:dyDescent="0.3">
      <c r="A35" s="67">
        <f t="shared" si="0"/>
        <v>33</v>
      </c>
      <c r="B35" s="70">
        <f>[1]Время!G35</f>
        <v>0</v>
      </c>
      <c r="C35" s="21">
        <f>[1]Время!S35</f>
        <v>0</v>
      </c>
      <c r="D35" s="22">
        <f>[2]Время!G35</f>
        <v>0</v>
      </c>
      <c r="E35" s="22">
        <f>[2]Время!S35</f>
        <v>0</v>
      </c>
    </row>
    <row r="36" spans="1:5" x14ac:dyDescent="0.3">
      <c r="A36" s="67">
        <f t="shared" si="0"/>
        <v>34</v>
      </c>
      <c r="B36" s="70">
        <f>[1]Время!G36</f>
        <v>0</v>
      </c>
      <c r="C36" s="21">
        <f>[1]Время!S36</f>
        <v>0</v>
      </c>
      <c r="D36" s="22">
        <f>[2]Время!G36</f>
        <v>0</v>
      </c>
      <c r="E36" s="22">
        <f>[2]Время!S36</f>
        <v>0</v>
      </c>
    </row>
    <row r="37" spans="1:5" x14ac:dyDescent="0.3">
      <c r="A37" s="67">
        <f t="shared" si="0"/>
        <v>35</v>
      </c>
      <c r="B37" s="70">
        <f>[1]Время!G37</f>
        <v>0</v>
      </c>
      <c r="C37" s="21">
        <f>[1]Время!S37</f>
        <v>0</v>
      </c>
      <c r="D37" s="22">
        <f>[2]Время!G37</f>
        <v>0</v>
      </c>
      <c r="E37" s="22">
        <f>[2]Время!S37</f>
        <v>0</v>
      </c>
    </row>
    <row r="38" spans="1:5" x14ac:dyDescent="0.3">
      <c r="A38" s="100">
        <f t="shared" si="0"/>
        <v>36</v>
      </c>
      <c r="B38" s="70">
        <f>[1]Время!G38</f>
        <v>146.49466666666669</v>
      </c>
      <c r="C38" s="21">
        <f>[1]Время!S38</f>
        <v>7.0440424038883762</v>
      </c>
      <c r="D38" s="22">
        <f>[2]Время!G38</f>
        <v>4</v>
      </c>
      <c r="E38" s="22">
        <f>[2]Время!S38</f>
        <v>0.24826061575153877</v>
      </c>
    </row>
    <row r="39" spans="1:5" x14ac:dyDescent="0.3">
      <c r="A39" s="67">
        <f t="shared" si="0"/>
        <v>37</v>
      </c>
      <c r="B39" s="70">
        <f>[1]Время!G39</f>
        <v>0</v>
      </c>
      <c r="C39" s="21">
        <f>[1]Время!S39</f>
        <v>0</v>
      </c>
      <c r="D39" s="22">
        <f>[2]Время!G39</f>
        <v>0</v>
      </c>
      <c r="E39" s="22">
        <f>[2]Время!S39</f>
        <v>0</v>
      </c>
    </row>
    <row r="40" spans="1:5" x14ac:dyDescent="0.3">
      <c r="A40" s="67">
        <f t="shared" si="0"/>
        <v>38</v>
      </c>
      <c r="B40" s="70">
        <f>[1]Время!G40</f>
        <v>0</v>
      </c>
      <c r="C40" s="21">
        <f>[1]Время!S40</f>
        <v>0</v>
      </c>
      <c r="D40" s="22">
        <f>[2]Время!G40</f>
        <v>0</v>
      </c>
      <c r="E40" s="22">
        <f>[2]Время!S40</f>
        <v>0</v>
      </c>
    </row>
    <row r="41" spans="1:5" x14ac:dyDescent="0.3">
      <c r="A41" s="67">
        <f t="shared" si="0"/>
        <v>39</v>
      </c>
      <c r="B41" s="70">
        <f>[1]Время!G41</f>
        <v>0</v>
      </c>
      <c r="C41" s="21">
        <f>[1]Время!S41</f>
        <v>0</v>
      </c>
      <c r="D41" s="22">
        <f>[2]Время!G41</f>
        <v>0</v>
      </c>
      <c r="E41" s="22">
        <f>[2]Время!S41</f>
        <v>0</v>
      </c>
    </row>
    <row r="42" spans="1:5" x14ac:dyDescent="0.3">
      <c r="A42" s="67">
        <f t="shared" si="0"/>
        <v>40</v>
      </c>
      <c r="B42" s="70">
        <f>[1]Время!G42</f>
        <v>0</v>
      </c>
      <c r="C42" s="21">
        <f>[1]Время!S42</f>
        <v>0</v>
      </c>
      <c r="D42" s="22">
        <f>[2]Время!G42</f>
        <v>0</v>
      </c>
      <c r="E42" s="22">
        <f>[2]Время!S42</f>
        <v>0</v>
      </c>
    </row>
    <row r="43" spans="1:5" x14ac:dyDescent="0.3">
      <c r="A43" s="100">
        <f t="shared" si="0"/>
        <v>41</v>
      </c>
      <c r="B43" s="70">
        <f>[1]Время!G43</f>
        <v>172.7353333333333</v>
      </c>
      <c r="C43" s="21">
        <f>[1]Время!S43</f>
        <v>13.526013075100064</v>
      </c>
      <c r="D43" s="22">
        <f>[2]Время!G43</f>
        <v>1.2</v>
      </c>
      <c r="E43" s="22">
        <f>[2]Время!S43</f>
        <v>0</v>
      </c>
    </row>
    <row r="44" spans="1:5" x14ac:dyDescent="0.3">
      <c r="A44" s="99">
        <f t="shared" si="0"/>
        <v>42</v>
      </c>
      <c r="B44" s="70">
        <f>[1]Время!G44</f>
        <v>0</v>
      </c>
      <c r="C44" s="21">
        <f>[1]Время!S44</f>
        <v>0</v>
      </c>
      <c r="D44" s="22">
        <f>[2]Время!G44</f>
        <v>0</v>
      </c>
      <c r="E44" s="22">
        <f>[2]Время!S44</f>
        <v>0</v>
      </c>
    </row>
    <row r="45" spans="1:5" x14ac:dyDescent="0.3">
      <c r="A45" s="99">
        <f t="shared" si="0"/>
        <v>43</v>
      </c>
      <c r="B45" s="70">
        <f>[1]Время!G45</f>
        <v>0</v>
      </c>
      <c r="C45" s="21">
        <f>[1]Время!S45</f>
        <v>0</v>
      </c>
      <c r="D45" s="22">
        <f>[2]Время!G45</f>
        <v>0</v>
      </c>
      <c r="E45" s="22">
        <f>[2]Время!S45</f>
        <v>0</v>
      </c>
    </row>
    <row r="46" spans="1:5" x14ac:dyDescent="0.3">
      <c r="A46" s="99">
        <f t="shared" si="0"/>
        <v>44</v>
      </c>
      <c r="B46" s="70">
        <f>[1]Время!G46</f>
        <v>0</v>
      </c>
      <c r="C46" s="21">
        <f>[1]Время!S46</f>
        <v>0</v>
      </c>
      <c r="D46" s="22">
        <f>[2]Время!G46</f>
        <v>0</v>
      </c>
      <c r="E46" s="22">
        <f>[2]Время!S46</f>
        <v>0</v>
      </c>
    </row>
    <row r="47" spans="1:5" x14ac:dyDescent="0.3">
      <c r="A47" s="99">
        <f t="shared" si="0"/>
        <v>45</v>
      </c>
      <c r="B47" s="70">
        <f>[1]Время!G47</f>
        <v>0</v>
      </c>
      <c r="C47" s="21">
        <f>[1]Время!S47</f>
        <v>0</v>
      </c>
      <c r="D47" s="22">
        <f>[2]Время!G47</f>
        <v>0</v>
      </c>
      <c r="E47" s="22">
        <f>[2]Время!S47</f>
        <v>0</v>
      </c>
    </row>
    <row r="48" spans="1:5" x14ac:dyDescent="0.3">
      <c r="A48" s="100">
        <f t="shared" si="0"/>
        <v>46</v>
      </c>
      <c r="B48" s="70">
        <f>[1]Время!G48</f>
        <v>174.37733333333335</v>
      </c>
      <c r="C48" s="21">
        <f>[1]Время!S48</f>
        <v>4.7270733572099823</v>
      </c>
      <c r="D48" s="22">
        <f>[2]Время!G48</f>
        <v>1.2</v>
      </c>
      <c r="E48" s="22">
        <f>[2]Время!S48</f>
        <v>0</v>
      </c>
    </row>
    <row r="49" spans="1:5" x14ac:dyDescent="0.3">
      <c r="A49" s="99">
        <f t="shared" si="0"/>
        <v>47</v>
      </c>
      <c r="B49" s="70">
        <f>[1]Время!G49</f>
        <v>0</v>
      </c>
      <c r="C49" s="21">
        <f>[1]Время!S49</f>
        <v>0</v>
      </c>
      <c r="D49" s="22">
        <f>[2]Время!G49</f>
        <v>0</v>
      </c>
      <c r="E49" s="22">
        <f>[2]Время!S49</f>
        <v>0</v>
      </c>
    </row>
    <row r="50" spans="1:5" x14ac:dyDescent="0.3">
      <c r="A50" s="67">
        <f t="shared" si="0"/>
        <v>48</v>
      </c>
      <c r="B50" s="70">
        <f>[1]Время!G50</f>
        <v>0</v>
      </c>
      <c r="C50" s="21">
        <f>[1]Время!S50</f>
        <v>0</v>
      </c>
      <c r="D50" s="22">
        <f>[2]Время!G50</f>
        <v>0</v>
      </c>
      <c r="E50" s="22">
        <f>[2]Время!S50</f>
        <v>0</v>
      </c>
    </row>
    <row r="51" spans="1:5" x14ac:dyDescent="0.3">
      <c r="A51" s="67">
        <f t="shared" si="0"/>
        <v>49</v>
      </c>
      <c r="B51" s="70">
        <f>[1]Время!G51</f>
        <v>0</v>
      </c>
      <c r="C51" s="21">
        <f>[1]Время!S51</f>
        <v>0</v>
      </c>
      <c r="D51" s="22">
        <f>[2]Время!G51</f>
        <v>0</v>
      </c>
      <c r="E51" s="22">
        <f>[2]Время!S51</f>
        <v>0</v>
      </c>
    </row>
    <row r="52" spans="1:5" x14ac:dyDescent="0.3">
      <c r="A52" s="67">
        <f t="shared" si="0"/>
        <v>50</v>
      </c>
      <c r="B52" s="70">
        <f>[1]Время!G52</f>
        <v>0</v>
      </c>
      <c r="C52" s="21">
        <f>[1]Время!S52</f>
        <v>0</v>
      </c>
      <c r="D52" s="22">
        <f>[2]Время!G52</f>
        <v>0</v>
      </c>
      <c r="E52" s="22">
        <f>[2]Время!S52</f>
        <v>0</v>
      </c>
    </row>
    <row r="53" spans="1:5" x14ac:dyDescent="0.3">
      <c r="A53" s="100">
        <f t="shared" si="0"/>
        <v>51</v>
      </c>
      <c r="B53" s="70">
        <f>[1]Время!G53</f>
        <v>172.47366666666667</v>
      </c>
      <c r="C53" s="21">
        <f>[1]Время!S53</f>
        <v>6.8177004369345529</v>
      </c>
      <c r="D53" s="22">
        <f>[2]Время!G53</f>
        <v>1.2</v>
      </c>
      <c r="E53" s="22">
        <f>[2]Время!S53</f>
        <v>0</v>
      </c>
    </row>
    <row r="54" spans="1:5" x14ac:dyDescent="0.3">
      <c r="A54" s="100">
        <f t="shared" si="0"/>
        <v>52</v>
      </c>
      <c r="B54" s="70">
        <f>[1]Время!G54</f>
        <v>1401.6890000000001</v>
      </c>
      <c r="C54" s="21">
        <f>[1]Время!S54</f>
        <v>24.902444709773736</v>
      </c>
      <c r="D54" s="22">
        <f>[2]Время!G54</f>
        <v>1.2</v>
      </c>
      <c r="E54" s="22">
        <f>[2]Время!S54</f>
        <v>0</v>
      </c>
    </row>
    <row r="55" spans="1:5" x14ac:dyDescent="0.3">
      <c r="A55" s="67">
        <f t="shared" si="0"/>
        <v>53</v>
      </c>
      <c r="B55" s="70">
        <f>[1]Время!G55</f>
        <v>0</v>
      </c>
      <c r="C55" s="21">
        <f>[1]Время!S55</f>
        <v>0</v>
      </c>
      <c r="D55" s="22">
        <f>[2]Время!G55</f>
        <v>0</v>
      </c>
      <c r="E55" s="22">
        <f>[2]Время!S55</f>
        <v>0</v>
      </c>
    </row>
    <row r="56" spans="1:5" x14ac:dyDescent="0.3">
      <c r="A56" s="67">
        <f t="shared" si="0"/>
        <v>54</v>
      </c>
      <c r="B56" s="70">
        <f>[1]Время!G56</f>
        <v>0</v>
      </c>
      <c r="C56" s="21">
        <f>[1]Время!S56</f>
        <v>0</v>
      </c>
      <c r="D56" s="22">
        <f>[2]Время!G56</f>
        <v>0</v>
      </c>
      <c r="E56" s="22">
        <f>[2]Время!S56</f>
        <v>0</v>
      </c>
    </row>
    <row r="57" spans="1:5" x14ac:dyDescent="0.3">
      <c r="A57" s="67">
        <f t="shared" si="0"/>
        <v>55</v>
      </c>
      <c r="B57" s="70">
        <f>[1]Время!G57</f>
        <v>0</v>
      </c>
      <c r="C57" s="21">
        <f>[1]Время!S57</f>
        <v>0</v>
      </c>
      <c r="D57" s="22">
        <f>[2]Время!G57</f>
        <v>0</v>
      </c>
      <c r="E57" s="22">
        <f>[2]Время!S57</f>
        <v>0</v>
      </c>
    </row>
    <row r="58" spans="1:5" x14ac:dyDescent="0.3">
      <c r="A58" s="100">
        <f t="shared" si="0"/>
        <v>56</v>
      </c>
      <c r="B58" s="70">
        <f>[1]Время!G58</f>
        <v>179.76966666666667</v>
      </c>
      <c r="C58" s="21">
        <f>[1]Время!S58</f>
        <v>7.971469126272245</v>
      </c>
      <c r="D58" s="22">
        <f>[2]Время!G58</f>
        <v>1.2</v>
      </c>
      <c r="E58" s="22">
        <f>[2]Время!S58</f>
        <v>0</v>
      </c>
    </row>
    <row r="59" spans="1:5" x14ac:dyDescent="0.3">
      <c r="A59" s="100">
        <f t="shared" si="0"/>
        <v>57</v>
      </c>
      <c r="B59" s="70">
        <f>[1]Время!G59</f>
        <v>1404.7733333333333</v>
      </c>
      <c r="C59" s="21">
        <f>[1]Время!S59</f>
        <v>25.648288586462044</v>
      </c>
      <c r="D59" s="22">
        <f>[2]Время!G59</f>
        <v>1.2</v>
      </c>
      <c r="E59" s="22">
        <f>[2]Время!S59</f>
        <v>0</v>
      </c>
    </row>
    <row r="60" spans="1:5" x14ac:dyDescent="0.3">
      <c r="A60" s="67">
        <f t="shared" si="0"/>
        <v>58</v>
      </c>
      <c r="B60" s="70">
        <f>[1]Время!G60</f>
        <v>0</v>
      </c>
      <c r="C60" s="21">
        <f>[1]Время!S60</f>
        <v>0</v>
      </c>
      <c r="D60" s="22">
        <f>[2]Время!G60</f>
        <v>0</v>
      </c>
      <c r="E60" s="22">
        <f>[2]Время!S60</f>
        <v>0</v>
      </c>
    </row>
    <row r="61" spans="1:5" x14ac:dyDescent="0.3">
      <c r="A61" s="67">
        <f t="shared" si="0"/>
        <v>59</v>
      </c>
      <c r="B61" s="70">
        <f>[1]Время!G61</f>
        <v>0</v>
      </c>
      <c r="C61" s="21">
        <f>[1]Время!S61</f>
        <v>0</v>
      </c>
      <c r="D61" s="22">
        <f>[2]Время!G61</f>
        <v>0</v>
      </c>
      <c r="E61" s="22">
        <f>[2]Время!S61</f>
        <v>0</v>
      </c>
    </row>
    <row r="62" spans="1:5" x14ac:dyDescent="0.3">
      <c r="A62" s="67">
        <f t="shared" si="0"/>
        <v>60</v>
      </c>
      <c r="B62" s="70">
        <f>[1]Время!G62</f>
        <v>0</v>
      </c>
      <c r="C62" s="21">
        <f>[1]Время!S62</f>
        <v>0</v>
      </c>
      <c r="D62" s="22">
        <f>[2]Время!G62</f>
        <v>0</v>
      </c>
      <c r="E62" s="22">
        <f>[2]Время!S62</f>
        <v>0</v>
      </c>
    </row>
    <row r="63" spans="1:5" x14ac:dyDescent="0.3">
      <c r="A63" s="101">
        <f t="shared" si="0"/>
        <v>61</v>
      </c>
      <c r="B63" s="70">
        <f>[1]Время!G63</f>
        <v>172.07966666666667</v>
      </c>
      <c r="C63" s="21">
        <f>[1]Время!S63</f>
        <v>5.8863410449767075</v>
      </c>
      <c r="D63" s="22">
        <f>[2]Время!G63</f>
        <v>2.8333333333333335</v>
      </c>
      <c r="E63" s="22">
        <f>[2]Время!S63</f>
        <v>0.14333333333333348</v>
      </c>
    </row>
    <row r="64" spans="1:5" x14ac:dyDescent="0.3">
      <c r="A64" s="99">
        <f t="shared" si="0"/>
        <v>62</v>
      </c>
      <c r="B64" s="70">
        <f>[1]Время!G64</f>
        <v>0</v>
      </c>
      <c r="C64" s="21">
        <f>[1]Время!S64</f>
        <v>0</v>
      </c>
      <c r="D64" s="22">
        <f>[2]Время!G64</f>
        <v>0</v>
      </c>
      <c r="E64" s="22">
        <f>[2]Время!S64</f>
        <v>0</v>
      </c>
    </row>
    <row r="65" spans="1:5" x14ac:dyDescent="0.3">
      <c r="A65" s="99">
        <f t="shared" si="0"/>
        <v>63</v>
      </c>
      <c r="B65" s="70">
        <f>[1]Время!G65</f>
        <v>0</v>
      </c>
      <c r="C65" s="21">
        <f>[1]Время!S65</f>
        <v>0</v>
      </c>
      <c r="D65" s="22">
        <f>[2]Время!G65</f>
        <v>0</v>
      </c>
      <c r="E65" s="22">
        <f>[2]Время!S65</f>
        <v>0</v>
      </c>
    </row>
    <row r="66" spans="1:5" x14ac:dyDescent="0.3">
      <c r="A66" s="99">
        <f t="shared" si="0"/>
        <v>64</v>
      </c>
      <c r="B66" s="70">
        <f>[1]Время!G66</f>
        <v>0</v>
      </c>
      <c r="C66" s="21">
        <f>[1]Время!S66</f>
        <v>0</v>
      </c>
      <c r="D66" s="22">
        <f>[2]Время!G66</f>
        <v>0</v>
      </c>
      <c r="E66" s="22">
        <f>[2]Время!S66</f>
        <v>0</v>
      </c>
    </row>
    <row r="67" spans="1:5" x14ac:dyDescent="0.3">
      <c r="A67" s="99">
        <f t="shared" si="0"/>
        <v>65</v>
      </c>
      <c r="B67" s="70">
        <f>[1]Время!G67</f>
        <v>0</v>
      </c>
      <c r="C67" s="21">
        <f>[1]Время!S67</f>
        <v>0</v>
      </c>
      <c r="D67" s="22">
        <f>[2]Время!G67</f>
        <v>0</v>
      </c>
      <c r="E67" s="22">
        <f>[2]Время!S67</f>
        <v>0</v>
      </c>
    </row>
    <row r="68" spans="1:5" x14ac:dyDescent="0.3">
      <c r="A68" s="100">
        <f t="shared" si="0"/>
        <v>66</v>
      </c>
      <c r="B68" s="70">
        <f>[1]Время!G68</f>
        <v>177.13766666666666</v>
      </c>
      <c r="C68" s="21">
        <f>[1]Время!S68</f>
        <v>6.9879768794535737</v>
      </c>
      <c r="D68" s="22">
        <f>[2]Время!G68</f>
        <v>1.6000000000000003</v>
      </c>
      <c r="E68" s="22">
        <f>[2]Время!S68</f>
        <v>0.24826061575153904</v>
      </c>
    </row>
    <row r="69" spans="1:5" x14ac:dyDescent="0.3">
      <c r="A69" s="99">
        <f t="shared" ref="A69:A132" si="1">A68+1</f>
        <v>67</v>
      </c>
      <c r="B69" s="70">
        <f>[1]Время!G69</f>
        <v>0</v>
      </c>
      <c r="C69" s="21">
        <f>[1]Время!S69</f>
        <v>0</v>
      </c>
      <c r="D69" s="22">
        <f>[2]Время!G69</f>
        <v>0</v>
      </c>
      <c r="E69" s="22">
        <f>[2]Время!S69</f>
        <v>0</v>
      </c>
    </row>
    <row r="70" spans="1:5" x14ac:dyDescent="0.3">
      <c r="A70" s="99">
        <f t="shared" si="1"/>
        <v>68</v>
      </c>
      <c r="B70" s="70">
        <f>[1]Время!G70</f>
        <v>0</v>
      </c>
      <c r="C70" s="21">
        <f>[1]Время!S70</f>
        <v>0</v>
      </c>
      <c r="D70" s="22">
        <f>[2]Время!G70</f>
        <v>0</v>
      </c>
      <c r="E70" s="22">
        <f>[2]Время!S70</f>
        <v>0</v>
      </c>
    </row>
    <row r="71" spans="1:5" x14ac:dyDescent="0.3">
      <c r="A71" s="99">
        <f t="shared" si="1"/>
        <v>69</v>
      </c>
      <c r="B71" s="70">
        <f>[1]Время!G71</f>
        <v>0</v>
      </c>
      <c r="C71" s="21">
        <f>[1]Время!S71</f>
        <v>0</v>
      </c>
      <c r="D71" s="22">
        <f>[2]Время!G71</f>
        <v>0</v>
      </c>
      <c r="E71" s="22">
        <f>[2]Время!S71</f>
        <v>0</v>
      </c>
    </row>
    <row r="72" spans="1:5" x14ac:dyDescent="0.3">
      <c r="A72" s="99">
        <f t="shared" si="1"/>
        <v>70</v>
      </c>
      <c r="B72" s="70">
        <f>[1]Время!G72</f>
        <v>0</v>
      </c>
      <c r="C72" s="21">
        <f>[1]Время!S72</f>
        <v>0</v>
      </c>
      <c r="D72" s="22">
        <f>[2]Время!G72</f>
        <v>0</v>
      </c>
      <c r="E72" s="22">
        <f>[2]Время!S72</f>
        <v>0</v>
      </c>
    </row>
    <row r="73" spans="1:5" x14ac:dyDescent="0.3">
      <c r="A73" s="100">
        <f t="shared" si="1"/>
        <v>71</v>
      </c>
      <c r="B73" s="70">
        <f>[1]Время!G73</f>
        <v>147.50200000000001</v>
      </c>
      <c r="C73" s="21">
        <f>[1]Время!S73</f>
        <v>7.1147919198900782</v>
      </c>
      <c r="D73" s="22">
        <f>[2]Время!G73</f>
        <v>1.6000000000000003</v>
      </c>
      <c r="E73" s="22">
        <f>[2]Время!S73</f>
        <v>6.7513975723402323E-16</v>
      </c>
    </row>
    <row r="74" spans="1:5" x14ac:dyDescent="0.3">
      <c r="A74" s="99">
        <f t="shared" si="1"/>
        <v>72</v>
      </c>
      <c r="B74" s="70">
        <f>[1]Время!G74</f>
        <v>0</v>
      </c>
      <c r="C74" s="21">
        <f>[1]Время!S74</f>
        <v>0</v>
      </c>
      <c r="D74" s="22">
        <f>[2]Время!G74</f>
        <v>0</v>
      </c>
      <c r="E74" s="22">
        <f>[2]Время!S74</f>
        <v>0</v>
      </c>
    </row>
    <row r="75" spans="1:5" x14ac:dyDescent="0.3">
      <c r="A75" s="99">
        <f t="shared" si="1"/>
        <v>73</v>
      </c>
      <c r="B75" s="70">
        <f>[1]Время!G75</f>
        <v>0</v>
      </c>
      <c r="C75" s="21">
        <f>[1]Время!S75</f>
        <v>0</v>
      </c>
      <c r="D75" s="22">
        <f>[2]Время!G75</f>
        <v>0</v>
      </c>
      <c r="E75" s="22">
        <f>[2]Время!S75</f>
        <v>0</v>
      </c>
    </row>
    <row r="76" spans="1:5" x14ac:dyDescent="0.3">
      <c r="A76" s="99">
        <f t="shared" si="1"/>
        <v>74</v>
      </c>
      <c r="B76" s="70">
        <f>[1]Время!G76</f>
        <v>0</v>
      </c>
      <c r="C76" s="21">
        <f>[1]Время!S76</f>
        <v>0</v>
      </c>
      <c r="D76" s="22">
        <f>[2]Время!G76</f>
        <v>0</v>
      </c>
      <c r="E76" s="22">
        <f>[2]Время!S76</f>
        <v>0</v>
      </c>
    </row>
    <row r="77" spans="1:5" x14ac:dyDescent="0.3">
      <c r="A77" s="99">
        <f t="shared" si="1"/>
        <v>75</v>
      </c>
      <c r="B77" s="70">
        <f>[1]Время!G77</f>
        <v>0</v>
      </c>
      <c r="C77" s="21">
        <f>[1]Время!S77</f>
        <v>0</v>
      </c>
      <c r="D77" s="22">
        <f>[2]Время!G77</f>
        <v>0</v>
      </c>
      <c r="E77" s="22">
        <f>[2]Время!S77</f>
        <v>0</v>
      </c>
    </row>
    <row r="78" spans="1:5" x14ac:dyDescent="0.3">
      <c r="A78" s="100">
        <f t="shared" si="1"/>
        <v>76</v>
      </c>
      <c r="B78" s="70">
        <f>[1]Время!G78</f>
        <v>161.822</v>
      </c>
      <c r="C78" s="21">
        <f>[1]Время!S78</f>
        <v>5.3511514661176696</v>
      </c>
      <c r="D78" s="22">
        <f>[2]Время!G78</f>
        <v>7.2</v>
      </c>
      <c r="E78" s="22">
        <f>[2]Время!S78</f>
        <v>0</v>
      </c>
    </row>
    <row r="79" spans="1:5" x14ac:dyDescent="0.3">
      <c r="B79" s="70">
        <f>[1]Время!G79</f>
        <v>0</v>
      </c>
      <c r="C79" s="21">
        <f>[1]Время!S79</f>
        <v>0</v>
      </c>
      <c r="D79" s="22">
        <f>[2]Время!G79</f>
        <v>0</v>
      </c>
      <c r="E79" s="22">
        <f>[2]Время!S79</f>
        <v>0</v>
      </c>
    </row>
    <row r="80" spans="1:5" x14ac:dyDescent="0.3">
      <c r="B80" s="70">
        <f>[1]Время!G80</f>
        <v>0</v>
      </c>
      <c r="C80" s="21">
        <f>[1]Время!S80</f>
        <v>0</v>
      </c>
      <c r="D80" s="22">
        <f>[2]Время!G80</f>
        <v>0</v>
      </c>
      <c r="E80" s="22">
        <f>[2]Время!S80</f>
        <v>0</v>
      </c>
    </row>
    <row r="81" spans="1:5" x14ac:dyDescent="0.3">
      <c r="A81" s="100" t="s">
        <v>51</v>
      </c>
      <c r="B81" s="70">
        <f>[1]Время!G81</f>
        <v>154.274</v>
      </c>
      <c r="C81" s="21">
        <f>[1]Время!S81</f>
        <v>18.293777306231743</v>
      </c>
      <c r="D81" s="22">
        <f>[2]Время!G81</f>
        <v>1.2</v>
      </c>
      <c r="E81" s="22">
        <f>[2]Время!S81</f>
        <v>0</v>
      </c>
    </row>
    <row r="82" spans="1:5" x14ac:dyDescent="0.3">
      <c r="A82" s="100" t="s">
        <v>52</v>
      </c>
      <c r="B82" s="70">
        <f>[1]Время!G82</f>
        <v>154.524</v>
      </c>
      <c r="C82" s="21">
        <f>[1]Время!S82</f>
        <v>1.9658055626129478</v>
      </c>
      <c r="D82" s="22">
        <f>[2]Время!G82</f>
        <v>1.2</v>
      </c>
      <c r="E82" s="22">
        <f>[2]Время!S82</f>
        <v>0</v>
      </c>
    </row>
    <row r="83" spans="1:5" x14ac:dyDescent="0.3">
      <c r="A83" s="100" t="s">
        <v>53</v>
      </c>
      <c r="B83" s="70">
        <f>[1]Время!G83</f>
        <v>128.62899999999999</v>
      </c>
      <c r="C83" s="21">
        <f>[1]Время!S83</f>
        <v>22.698930238890107</v>
      </c>
      <c r="D83" s="22">
        <f>[2]Время!G83</f>
        <v>2.7999999999999994</v>
      </c>
      <c r="E83" s="22">
        <f>[2]Время!S83</f>
        <v>1.3502795144680465E-15</v>
      </c>
    </row>
    <row r="84" spans="1:5" x14ac:dyDescent="0.3">
      <c r="A84" s="100" t="s">
        <v>54</v>
      </c>
      <c r="B84" s="70">
        <f>[1]Время!G84</f>
        <v>125.17333333333333</v>
      </c>
      <c r="C84" s="21">
        <f>[1]Время!S84</f>
        <v>5.9078225295883042</v>
      </c>
      <c r="D84" s="22">
        <f>[2]Время!G84</f>
        <v>2.7999999999999994</v>
      </c>
      <c r="E84" s="22">
        <f>[2]Время!S84</f>
        <v>1.3502795144680465E-15</v>
      </c>
    </row>
    <row r="85" spans="1:5" x14ac:dyDescent="0.3">
      <c r="A85" s="100" t="s">
        <v>55</v>
      </c>
      <c r="B85" s="70">
        <f>[1]Время!G85</f>
        <v>142.01533333333333</v>
      </c>
      <c r="C85" s="21">
        <f>[1]Время!S85</f>
        <v>4.5706905460529281</v>
      </c>
      <c r="D85" s="22">
        <f>[2]Время!G85</f>
        <v>3.9</v>
      </c>
      <c r="E85" s="22">
        <f>[2]Время!S85</f>
        <v>0</v>
      </c>
    </row>
    <row r="86" spans="1:5" x14ac:dyDescent="0.3">
      <c r="A86" s="100" t="s">
        <v>56</v>
      </c>
      <c r="B86" s="70">
        <f>[1]Время!G86</f>
        <v>163.53299999999999</v>
      </c>
      <c r="C86" s="21">
        <f>[1]Время!S86</f>
        <v>8.3408986987813893</v>
      </c>
      <c r="D86" s="22">
        <f>[2]Время!G86</f>
        <v>3.9</v>
      </c>
      <c r="E86" s="22">
        <f>[2]Время!S86</f>
        <v>0</v>
      </c>
    </row>
    <row r="87" spans="1:5" x14ac:dyDescent="0.3">
      <c r="A87" s="100" t="s">
        <v>57</v>
      </c>
      <c r="B87" s="70">
        <f>[1]Время!G87</f>
        <v>125.05399999999999</v>
      </c>
      <c r="C87" s="21">
        <f>[1]Время!S87</f>
        <v>5.8390754328061236</v>
      </c>
      <c r="D87" s="22">
        <f>[2]Время!G87</f>
        <v>2.7999999999999994</v>
      </c>
      <c r="E87" s="22">
        <f>[2]Время!S87</f>
        <v>1.3502795144680465E-15</v>
      </c>
    </row>
    <row r="88" spans="1:5" x14ac:dyDescent="0.3">
      <c r="A88" s="100" t="s">
        <v>58</v>
      </c>
      <c r="B88" s="70">
        <f>[1]Время!G88</f>
        <v>99.165000000000006</v>
      </c>
      <c r="C88" s="21">
        <f>[1]Время!S88</f>
        <v>22.358295370920676</v>
      </c>
      <c r="D88" s="22">
        <f>[2]Время!G88</f>
        <v>3.7999999999999994</v>
      </c>
      <c r="E88" s="22">
        <f>[2]Время!S88</f>
        <v>1.3502795144680465E-15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4F2D-F915-440E-AA25-6DFC666AE1CE}">
  <sheetPr codeName="Лист13"/>
  <dimension ref="A1:S89"/>
  <sheetViews>
    <sheetView topLeftCell="F1" workbookViewId="0">
      <selection activeCell="M3" sqref="M3"/>
    </sheetView>
  </sheetViews>
  <sheetFormatPr defaultRowHeight="14.4" x14ac:dyDescent="0.3"/>
  <cols>
    <col min="1" max="1" width="33.21875" style="99" customWidth="1"/>
    <col min="2" max="2" width="10.6640625" style="71" customWidth="1"/>
    <col min="3" max="3" width="10.109375" style="5" customWidth="1"/>
    <col min="4" max="4" width="10.44140625" style="1" customWidth="1"/>
    <col min="5" max="5" width="10.33203125" style="1" customWidth="1"/>
    <col min="6" max="6" width="12.5546875" style="14" customWidth="1"/>
    <col min="7" max="7" width="11.33203125" style="14" customWidth="1"/>
    <col min="8" max="8" width="13.5546875" style="19" customWidth="1"/>
    <col min="9" max="9" width="11.44140625" style="19" customWidth="1"/>
    <col min="10" max="10" width="18" style="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6" width="10" style="4" customWidth="1"/>
    <col min="17" max="17" width="13.33203125" style="4" customWidth="1"/>
    <col min="18" max="18" width="15.44140625" style="4" customWidth="1"/>
    <col min="19" max="19" width="16.33203125" style="4" customWidth="1"/>
    <col min="20" max="16384" width="8.88671875" style="4"/>
  </cols>
  <sheetData>
    <row r="1" spans="1:19" s="2" customFormat="1" x14ac:dyDescent="0.3">
      <c r="A1" s="102" t="s">
        <v>47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3"/>
      <c r="B2" s="69" t="s">
        <v>45</v>
      </c>
      <c r="C2" s="26" t="s">
        <v>46</v>
      </c>
      <c r="D2" s="27" t="s">
        <v>45</v>
      </c>
      <c r="E2" s="27" t="s">
        <v>46</v>
      </c>
      <c r="F2" s="28" t="s">
        <v>45</v>
      </c>
      <c r="G2" s="28" t="s">
        <v>46</v>
      </c>
      <c r="H2" s="29" t="s">
        <v>45</v>
      </c>
      <c r="I2" s="29" t="s">
        <v>46</v>
      </c>
      <c r="J2" s="33"/>
      <c r="K2" s="32"/>
      <c r="L2" s="32"/>
      <c r="M2" s="32"/>
      <c r="N2" s="32"/>
      <c r="O2" s="33"/>
    </row>
    <row r="3" spans="1:19" s="20" customFormat="1" x14ac:dyDescent="0.3">
      <c r="A3" s="98">
        <v>1</v>
      </c>
      <c r="B3" s="70">
        <f>[1]Память!G3</f>
        <v>1244</v>
      </c>
      <c r="C3" s="21">
        <f>[1]Память!S3</f>
        <v>24.826061575153908</v>
      </c>
      <c r="D3" s="22">
        <f>[2]Память!G3</f>
        <v>50</v>
      </c>
      <c r="E3" s="22">
        <f>[2]Память!S3</f>
        <v>12.900000000000002</v>
      </c>
      <c r="F3" s="23">
        <v>8</v>
      </c>
      <c r="G3" s="23">
        <v>0.01</v>
      </c>
      <c r="H3" s="24">
        <v>60</v>
      </c>
      <c r="I3" s="24">
        <v>2E-3</v>
      </c>
      <c r="J3" s="31"/>
      <c r="K3" s="35" cm="1">
        <f t="array" ref="K3">PointMin4(B3+C3,D3+E3,F3+G3,H3+I3,B3+C3)</f>
        <v>1</v>
      </c>
      <c r="L3" s="35" cm="1">
        <f t="array" ref="L3">PointMin4(B3+C3,D3+E3,F3+G3,H3+I3,D3+E3)</f>
        <v>2</v>
      </c>
      <c r="M3" s="35" cm="1">
        <f t="array" ref="M3">PointMin4(B3+C3,D3+E3,F3+G3,H3+I3,F3+G3)</f>
        <v>4</v>
      </c>
      <c r="N3" s="35" cm="1">
        <f t="array" ref="N3">PointMin4(B3+C3,D3+E3,F3+G3,H3+I3,H3+I3)</f>
        <v>3</v>
      </c>
      <c r="O3" s="31"/>
      <c r="P3" s="35">
        <f>SUM(K:K)</f>
        <v>6</v>
      </c>
      <c r="Q3" s="35">
        <f>SUM(L:L)</f>
        <v>8</v>
      </c>
      <c r="R3" s="35">
        <f>SUM(M:M)</f>
        <v>19</v>
      </c>
      <c r="S3" s="35">
        <f>SUM(N:N)</f>
        <v>18</v>
      </c>
    </row>
    <row r="4" spans="1:19" x14ac:dyDescent="0.3">
      <c r="A4" s="99">
        <f>A3+1</f>
        <v>2</v>
      </c>
      <c r="B4" s="70">
        <f>[1]Память!G4</f>
        <v>0</v>
      </c>
      <c r="C4" s="21">
        <f>[1]Память!S4</f>
        <v>0</v>
      </c>
      <c r="D4" s="22">
        <f>[2]Память!G4</f>
        <v>0</v>
      </c>
      <c r="E4" s="22">
        <f>[2]Память!S4</f>
        <v>0</v>
      </c>
      <c r="F4" s="23">
        <v>-1</v>
      </c>
      <c r="G4" s="23">
        <v>-1</v>
      </c>
      <c r="H4" s="19">
        <v>-1</v>
      </c>
      <c r="I4" s="19">
        <v>-1</v>
      </c>
      <c r="J4" s="31"/>
      <c r="K4" s="35" cm="1">
        <f t="array" ref="K4">PointMin4(B4+C4,D4+E4,F4+G4,H4+I4,B4+C4)</f>
        <v>1</v>
      </c>
      <c r="L4" s="35" cm="1">
        <f t="array" ref="L4">PointMin4(B4+C4,D4+E4,F4+G4,H4+I4,D4+E4)</f>
        <v>1</v>
      </c>
      <c r="M4" s="35" cm="1">
        <f t="array" ref="M4">PointMin4(B4+C4,D4+E4,F4+G4,H4+I4,F4+G4)</f>
        <v>3</v>
      </c>
      <c r="N4" s="35" cm="1">
        <f t="array" ref="N4">PointMin4(B4+C4,D4+E4,F4+G4,H4+I4,H4+I4)</f>
        <v>3</v>
      </c>
      <c r="O4" s="31"/>
    </row>
    <row r="5" spans="1:19" x14ac:dyDescent="0.3">
      <c r="A5" s="99">
        <f t="shared" ref="A5:A68" si="0">A4+1</f>
        <v>3</v>
      </c>
      <c r="B5" s="70">
        <f>[1]Память!G5</f>
        <v>0</v>
      </c>
      <c r="C5" s="21">
        <f>[1]Память!S5</f>
        <v>0</v>
      </c>
      <c r="D5" s="22">
        <f>[2]Память!G5</f>
        <v>0</v>
      </c>
      <c r="E5" s="22">
        <f>[2]Память!S5</f>
        <v>0</v>
      </c>
      <c r="F5" s="23">
        <v>-1</v>
      </c>
      <c r="G5" s="23">
        <v>-1</v>
      </c>
      <c r="H5" s="19">
        <v>-1</v>
      </c>
      <c r="I5" s="19">
        <v>-1</v>
      </c>
      <c r="J5" s="31"/>
      <c r="K5" s="35" cm="1">
        <f t="array" ref="K5">PointMin4(B5+C5,D5+E5,F5+G5,H5+I5,B5+C5)</f>
        <v>1</v>
      </c>
      <c r="L5" s="35" cm="1">
        <f t="array" ref="L5">PointMin4(B5+C5,D5+E5,F5+G5,H5+I5,D5+E5)</f>
        <v>1</v>
      </c>
      <c r="M5" s="35" cm="1">
        <f t="array" ref="M5">PointMin4(B5+C5,D5+E5,F5+G5,H5+I5,F5+G5)</f>
        <v>3</v>
      </c>
      <c r="N5" s="35" cm="1">
        <f t="array" ref="N5">PointMin4(B5+C5,D5+E5,F5+G5,H5+I5,H5+I5)</f>
        <v>3</v>
      </c>
      <c r="O5" s="31"/>
    </row>
    <row r="6" spans="1:19" x14ac:dyDescent="0.3">
      <c r="A6" s="99">
        <f t="shared" si="0"/>
        <v>4</v>
      </c>
      <c r="B6" s="70">
        <f>[1]Память!G6</f>
        <v>0</v>
      </c>
      <c r="C6" s="21">
        <f>[1]Память!S6</f>
        <v>0</v>
      </c>
      <c r="D6" s="22">
        <f>[2]Память!G6</f>
        <v>0</v>
      </c>
      <c r="E6" s="22">
        <f>[2]Память!S6</f>
        <v>0</v>
      </c>
      <c r="F6" s="23">
        <v>-1</v>
      </c>
      <c r="G6" s="23">
        <v>-1</v>
      </c>
      <c r="H6" s="19">
        <v>-1</v>
      </c>
      <c r="I6" s="19">
        <v>-1</v>
      </c>
      <c r="J6" s="31"/>
      <c r="K6" s="35" cm="1">
        <f t="array" ref="K6">PointMin4(B6+C6,D6+E6,F6+G6,H6+I6,B6+C6)</f>
        <v>1</v>
      </c>
      <c r="L6" s="35" cm="1">
        <f t="array" ref="L6">PointMin4(B6+C6,D6+E6,F6+G6,H6+I6,D6+E6)</f>
        <v>1</v>
      </c>
      <c r="M6" s="35" cm="1">
        <f t="array" ref="M6">PointMin4(B6+C6,D6+E6,F6+G6,H6+I6,F6+G6)</f>
        <v>3</v>
      </c>
      <c r="N6" s="35" cm="1">
        <f t="array" ref="N6">PointMin4(B6+C6,D6+E6,F6+G6,H6+I6,H6+I6)</f>
        <v>3</v>
      </c>
      <c r="O6" s="31"/>
    </row>
    <row r="7" spans="1:19" x14ac:dyDescent="0.3">
      <c r="A7" s="99">
        <f t="shared" si="0"/>
        <v>5</v>
      </c>
      <c r="B7" s="70">
        <f>[1]Память!G7</f>
        <v>0</v>
      </c>
      <c r="C7" s="21">
        <f>[1]Память!S7</f>
        <v>0</v>
      </c>
      <c r="D7" s="22">
        <f>[2]Память!G7</f>
        <v>0</v>
      </c>
      <c r="E7" s="22">
        <f>[2]Память!S7</f>
        <v>0</v>
      </c>
      <c r="F7" s="23">
        <v>-1</v>
      </c>
      <c r="G7" s="23">
        <v>-1</v>
      </c>
      <c r="H7" s="19">
        <v>-1</v>
      </c>
      <c r="I7" s="19">
        <v>-1</v>
      </c>
      <c r="J7" s="31"/>
      <c r="K7" s="35" cm="1">
        <f t="array" ref="K7">PointMin4(B7+C7,D7+E7,F7+G7,H7+I7,B7+C7)</f>
        <v>1</v>
      </c>
      <c r="L7" s="35" cm="1">
        <f t="array" ref="L7">PointMin4(B7+C7,D7+E7,F7+G7,H7+I7,D7+E7)</f>
        <v>1</v>
      </c>
      <c r="M7" s="35" cm="1">
        <f t="array" ref="M7">PointMin4(B7+C7,D7+E7,F7+G7,H7+I7,F7+G7)</f>
        <v>3</v>
      </c>
      <c r="N7" s="35" cm="1">
        <f t="array" ref="N7">PointMin4(B7+C7,D7+E7,F7+G7,H7+I7,H7+I7)</f>
        <v>3</v>
      </c>
      <c r="O7" s="31"/>
    </row>
    <row r="8" spans="1:19" x14ac:dyDescent="0.3">
      <c r="A8" s="100">
        <f t="shared" si="0"/>
        <v>6</v>
      </c>
      <c r="B8" s="70">
        <f>[1]Память!G8</f>
        <v>1246</v>
      </c>
      <c r="C8" s="21">
        <f>[1]Память!S8</f>
        <v>31.106965993702012</v>
      </c>
      <c r="D8" s="22">
        <f>[2]Память!G8</f>
        <v>50</v>
      </c>
      <c r="E8" s="22">
        <f>[2]Память!S8</f>
        <v>12.900000000000002</v>
      </c>
      <c r="F8" s="23"/>
      <c r="G8" s="23"/>
      <c r="J8" s="31"/>
      <c r="K8" s="35" cm="1">
        <f t="array" ref="K8">PointMin4(B8+C8,D8+E8,F8+G8,H8+I8,B8+C8)</f>
        <v>1</v>
      </c>
      <c r="L8" s="35" cm="1">
        <f t="array" ref="L8">PointMin4(B8+C8,D8+E8,F8+G8,H8+I8,D8+E8)</f>
        <v>2</v>
      </c>
      <c r="M8" s="35" cm="1">
        <f t="array" ref="M8">PointMin4(B8+C8,D8+E8,F8+G8,H8+I8,F8+G8)</f>
        <v>3</v>
      </c>
      <c r="N8" s="35" cm="1">
        <f t="array" ref="N8">PointMin4(B8+C8,D8+E8,F8+G8,H8+I8,H8+I8)</f>
        <v>3</v>
      </c>
      <c r="O8" s="31"/>
    </row>
    <row r="9" spans="1:19" x14ac:dyDescent="0.3">
      <c r="A9" s="99">
        <f t="shared" si="0"/>
        <v>7</v>
      </c>
      <c r="B9" s="70">
        <f>[1]Память!G9</f>
        <v>0</v>
      </c>
      <c r="C9" s="21">
        <f>[1]Память!S9</f>
        <v>0</v>
      </c>
      <c r="D9" s="22">
        <f>[2]Память!G9</f>
        <v>0</v>
      </c>
      <c r="E9" s="22">
        <f>[2]Память!S9</f>
        <v>0</v>
      </c>
    </row>
    <row r="10" spans="1:19" x14ac:dyDescent="0.3">
      <c r="A10" s="99">
        <f t="shared" si="0"/>
        <v>8</v>
      </c>
      <c r="B10" s="70">
        <f>[1]Память!G10</f>
        <v>0</v>
      </c>
      <c r="C10" s="21">
        <f>[1]Память!S10</f>
        <v>0</v>
      </c>
      <c r="D10" s="22">
        <f>[2]Память!G10</f>
        <v>0</v>
      </c>
      <c r="E10" s="22">
        <f>[2]Память!S10</f>
        <v>0</v>
      </c>
    </row>
    <row r="11" spans="1:19" x14ac:dyDescent="0.3">
      <c r="A11" s="99">
        <f t="shared" si="0"/>
        <v>9</v>
      </c>
      <c r="B11" s="70">
        <f>[1]Память!G11</f>
        <v>0</v>
      </c>
      <c r="C11" s="21">
        <f>[1]Память!S11</f>
        <v>0</v>
      </c>
      <c r="D11" s="22">
        <f>[2]Память!G11</f>
        <v>0</v>
      </c>
      <c r="E11" s="22">
        <f>[2]Память!S11</f>
        <v>0</v>
      </c>
    </row>
    <row r="12" spans="1:19" x14ac:dyDescent="0.3">
      <c r="A12" s="99">
        <f t="shared" si="0"/>
        <v>10</v>
      </c>
      <c r="B12" s="70">
        <f>[1]Память!G12</f>
        <v>0</v>
      </c>
      <c r="C12" s="21">
        <f>[1]Память!S12</f>
        <v>0</v>
      </c>
      <c r="D12" s="22">
        <f>[2]Память!G12</f>
        <v>0</v>
      </c>
      <c r="E12" s="22">
        <f>[2]Память!S12</f>
        <v>0</v>
      </c>
    </row>
    <row r="13" spans="1:19" x14ac:dyDescent="0.3">
      <c r="A13" s="100">
        <f t="shared" si="0"/>
        <v>11</v>
      </c>
      <c r="B13" s="70">
        <f>[1]Память!G13</f>
        <v>1244.3333333333333</v>
      </c>
      <c r="C13" s="21">
        <f>[1]Память!S13</f>
        <v>27.346257107285776</v>
      </c>
      <c r="D13" s="22">
        <f>[2]Память!G13</f>
        <v>53</v>
      </c>
      <c r="E13" s="22">
        <f>[2]Память!S13</f>
        <v>17.378243102607737</v>
      </c>
    </row>
    <row r="14" spans="1:19" x14ac:dyDescent="0.3">
      <c r="A14" s="99">
        <f t="shared" si="0"/>
        <v>12</v>
      </c>
      <c r="B14" s="70">
        <f>[1]Память!G14</f>
        <v>0</v>
      </c>
      <c r="C14" s="21">
        <f>[1]Память!S14</f>
        <v>0</v>
      </c>
      <c r="D14" s="22">
        <f>[2]Память!G14</f>
        <v>0</v>
      </c>
      <c r="E14" s="22">
        <f>[2]Память!S14</f>
        <v>0</v>
      </c>
      <c r="K14" s="6"/>
    </row>
    <row r="15" spans="1:19" x14ac:dyDescent="0.3">
      <c r="A15" s="99">
        <f t="shared" si="0"/>
        <v>13</v>
      </c>
      <c r="B15" s="70">
        <f>[1]Память!G15</f>
        <v>0</v>
      </c>
      <c r="C15" s="21">
        <f>[1]Память!S15</f>
        <v>0</v>
      </c>
      <c r="D15" s="22">
        <f>[2]Память!G15</f>
        <v>0</v>
      </c>
      <c r="E15" s="22">
        <f>[2]Память!S15</f>
        <v>0</v>
      </c>
    </row>
    <row r="16" spans="1:19" x14ac:dyDescent="0.3">
      <c r="A16" s="99">
        <f t="shared" si="0"/>
        <v>14</v>
      </c>
      <c r="B16" s="70">
        <f>[1]Память!G16</f>
        <v>0</v>
      </c>
      <c r="C16" s="21">
        <f>[1]Память!S16</f>
        <v>0</v>
      </c>
      <c r="D16" s="22">
        <f>[2]Память!G16</f>
        <v>0</v>
      </c>
      <c r="E16" s="22">
        <f>[2]Память!S16</f>
        <v>0</v>
      </c>
    </row>
    <row r="17" spans="1:5" x14ac:dyDescent="0.3">
      <c r="A17" s="99">
        <f t="shared" si="0"/>
        <v>15</v>
      </c>
      <c r="B17" s="70">
        <f>[1]Память!G17</f>
        <v>0</v>
      </c>
      <c r="C17" s="21">
        <f>[1]Память!S17</f>
        <v>0</v>
      </c>
      <c r="D17" s="22">
        <f>[2]Память!G17</f>
        <v>0</v>
      </c>
      <c r="E17" s="22">
        <f>[2]Память!S17</f>
        <v>0</v>
      </c>
    </row>
    <row r="18" spans="1:5" x14ac:dyDescent="0.3">
      <c r="A18" s="100">
        <f t="shared" si="0"/>
        <v>16</v>
      </c>
      <c r="B18" s="70">
        <f>[1]Память!G18</f>
        <v>1250</v>
      </c>
      <c r="C18" s="21">
        <f>[1]Память!S18</f>
        <v>29.791273890184691</v>
      </c>
      <c r="D18" s="22">
        <f>[2]Память!G18</f>
        <v>48.333333333333336</v>
      </c>
      <c r="E18" s="22">
        <f>[2]Память!S18</f>
        <v>21.114318469807273</v>
      </c>
    </row>
    <row r="19" spans="1:5" x14ac:dyDescent="0.3">
      <c r="A19" s="99">
        <f t="shared" si="0"/>
        <v>17</v>
      </c>
      <c r="B19" s="70">
        <f>[1]Память!G19</f>
        <v>0</v>
      </c>
      <c r="C19" s="21">
        <f>[1]Память!S19</f>
        <v>0</v>
      </c>
      <c r="D19" s="22">
        <f>[2]Память!G19</f>
        <v>0</v>
      </c>
      <c r="E19" s="22">
        <f>[2]Память!S19</f>
        <v>0</v>
      </c>
    </row>
    <row r="20" spans="1:5" x14ac:dyDescent="0.3">
      <c r="A20" s="99">
        <f t="shared" si="0"/>
        <v>18</v>
      </c>
      <c r="B20" s="70">
        <f>[1]Память!G20</f>
        <v>0</v>
      </c>
      <c r="C20" s="21">
        <f>[1]Память!S20</f>
        <v>0</v>
      </c>
      <c r="D20" s="22">
        <f>[2]Память!G20</f>
        <v>0</v>
      </c>
      <c r="E20" s="22">
        <f>[2]Память!S20</f>
        <v>0</v>
      </c>
    </row>
    <row r="21" spans="1:5" x14ac:dyDescent="0.3">
      <c r="A21" s="99">
        <f t="shared" si="0"/>
        <v>19</v>
      </c>
      <c r="B21" s="70">
        <f>[1]Память!G21</f>
        <v>0</v>
      </c>
      <c r="C21" s="21">
        <f>[1]Память!S21</f>
        <v>0</v>
      </c>
      <c r="D21" s="22">
        <f>[2]Память!G21</f>
        <v>0</v>
      </c>
      <c r="E21" s="22">
        <f>[2]Память!S21</f>
        <v>0</v>
      </c>
    </row>
    <row r="22" spans="1:5" x14ac:dyDescent="0.3">
      <c r="A22" s="99">
        <f t="shared" si="0"/>
        <v>20</v>
      </c>
      <c r="B22" s="70">
        <f>[1]Память!G22</f>
        <v>0</v>
      </c>
      <c r="C22" s="21">
        <f>[1]Память!S22</f>
        <v>0</v>
      </c>
      <c r="D22" s="22">
        <f>[2]Память!G22</f>
        <v>0</v>
      </c>
      <c r="E22" s="22">
        <f>[2]Память!S22</f>
        <v>0</v>
      </c>
    </row>
    <row r="23" spans="1:5" x14ac:dyDescent="0.3">
      <c r="A23" s="100">
        <f t="shared" si="0"/>
        <v>21</v>
      </c>
      <c r="B23" s="70">
        <f>[1]Память!G23</f>
        <v>1247</v>
      </c>
      <c r="C23" s="21">
        <f>[1]Память!S23</f>
        <v>28.630810909461392</v>
      </c>
      <c r="D23" s="22">
        <f>[2]Память!G23</f>
        <v>56</v>
      </c>
      <c r="E23" s="22">
        <f>[2]Память!S23</f>
        <v>17.902327595408739</v>
      </c>
    </row>
    <row r="24" spans="1:5" x14ac:dyDescent="0.3">
      <c r="A24" s="67">
        <f t="shared" si="0"/>
        <v>22</v>
      </c>
      <c r="B24" s="70">
        <f>[1]Память!G24</f>
        <v>0</v>
      </c>
      <c r="C24" s="21">
        <f>[1]Память!S24</f>
        <v>0</v>
      </c>
      <c r="D24" s="22">
        <f>[2]Память!G24</f>
        <v>0</v>
      </c>
      <c r="E24" s="22">
        <f>[2]Память!S24</f>
        <v>0</v>
      </c>
    </row>
    <row r="25" spans="1:5" x14ac:dyDescent="0.3">
      <c r="A25" s="67">
        <f t="shared" si="0"/>
        <v>23</v>
      </c>
      <c r="B25" s="70">
        <f>[1]Память!G25</f>
        <v>0</v>
      </c>
      <c r="C25" s="21">
        <f>[1]Память!S25</f>
        <v>0</v>
      </c>
      <c r="D25" s="22">
        <f>[2]Память!G25</f>
        <v>0</v>
      </c>
      <c r="E25" s="22">
        <f>[2]Память!S25</f>
        <v>0</v>
      </c>
    </row>
    <row r="26" spans="1:5" x14ac:dyDescent="0.3">
      <c r="A26" s="67">
        <f t="shared" si="0"/>
        <v>24</v>
      </c>
      <c r="B26" s="70">
        <f>[1]Память!G26</f>
        <v>0</v>
      </c>
      <c r="C26" s="21">
        <f>[1]Память!S26</f>
        <v>0</v>
      </c>
      <c r="D26" s="22">
        <f>[2]Память!G26</f>
        <v>0</v>
      </c>
      <c r="E26" s="22">
        <f>[2]Память!S26</f>
        <v>0</v>
      </c>
    </row>
    <row r="27" spans="1:5" x14ac:dyDescent="0.3">
      <c r="A27" s="67">
        <f t="shared" si="0"/>
        <v>25</v>
      </c>
      <c r="B27" s="70">
        <f>[1]Память!G27</f>
        <v>0</v>
      </c>
      <c r="C27" s="21">
        <f>[1]Память!S27</f>
        <v>0</v>
      </c>
      <c r="D27" s="22">
        <f>[2]Память!G27</f>
        <v>0</v>
      </c>
      <c r="E27" s="22">
        <f>[2]Память!S27</f>
        <v>0</v>
      </c>
    </row>
    <row r="28" spans="1:5" x14ac:dyDescent="0.3">
      <c r="A28" s="100">
        <f t="shared" si="0"/>
        <v>26</v>
      </c>
      <c r="B28" s="70">
        <f>[1]Память!G28</f>
        <v>1246</v>
      </c>
      <c r="C28" s="21">
        <f>[1]Память!S28</f>
        <v>31.106965993702012</v>
      </c>
      <c r="D28" s="22">
        <f>[2]Память!G28</f>
        <v>56.666666666666664</v>
      </c>
      <c r="E28" s="22">
        <f>[2]Память!S28</f>
        <v>15.960924506779397</v>
      </c>
    </row>
    <row r="29" spans="1:5" x14ac:dyDescent="0.3">
      <c r="A29" s="67">
        <f t="shared" si="0"/>
        <v>27</v>
      </c>
      <c r="B29" s="70">
        <f>[1]Память!G29</f>
        <v>0</v>
      </c>
      <c r="C29" s="21">
        <f>[1]Память!S29</f>
        <v>0</v>
      </c>
      <c r="D29" s="22">
        <f>[2]Память!G29</f>
        <v>0</v>
      </c>
      <c r="E29" s="22">
        <f>[2]Память!S29</f>
        <v>0</v>
      </c>
    </row>
    <row r="30" spans="1:5" x14ac:dyDescent="0.3">
      <c r="A30" s="67">
        <f t="shared" si="0"/>
        <v>28</v>
      </c>
      <c r="B30" s="70">
        <f>[1]Память!G30</f>
        <v>0</v>
      </c>
      <c r="C30" s="21">
        <f>[1]Память!S30</f>
        <v>0</v>
      </c>
      <c r="D30" s="22">
        <f>[2]Память!G30</f>
        <v>0</v>
      </c>
      <c r="E30" s="22">
        <f>[2]Память!S30</f>
        <v>0</v>
      </c>
    </row>
    <row r="31" spans="1:5" x14ac:dyDescent="0.3">
      <c r="A31" s="67">
        <f t="shared" si="0"/>
        <v>29</v>
      </c>
      <c r="B31" s="70">
        <f>[1]Память!G31</f>
        <v>0</v>
      </c>
      <c r="C31" s="21">
        <f>[1]Память!S31</f>
        <v>0</v>
      </c>
      <c r="D31" s="22">
        <f>[2]Память!G31</f>
        <v>0</v>
      </c>
      <c r="E31" s="22">
        <f>[2]Память!S31</f>
        <v>0</v>
      </c>
    </row>
    <row r="32" spans="1:5" x14ac:dyDescent="0.3">
      <c r="A32" s="67">
        <f t="shared" si="0"/>
        <v>30</v>
      </c>
      <c r="B32" s="70">
        <f>[1]Память!G32</f>
        <v>0</v>
      </c>
      <c r="C32" s="21">
        <f>[1]Память!S32</f>
        <v>0</v>
      </c>
      <c r="D32" s="22">
        <f>[2]Память!G32</f>
        <v>0</v>
      </c>
      <c r="E32" s="22">
        <f>[2]Память!S32</f>
        <v>0</v>
      </c>
    </row>
    <row r="33" spans="1:5" x14ac:dyDescent="0.3">
      <c r="A33" s="100">
        <f t="shared" si="0"/>
        <v>31</v>
      </c>
      <c r="B33" s="70">
        <f>[1]Память!G33</f>
        <v>1244.3333333333333</v>
      </c>
      <c r="C33" s="21">
        <f>[1]Память!S33</f>
        <v>27.346257107285776</v>
      </c>
      <c r="D33" s="22">
        <f>[2]Память!G33</f>
        <v>56.666666666666664</v>
      </c>
      <c r="E33" s="22">
        <f>[2]Память!S33</f>
        <v>15.960924506779397</v>
      </c>
    </row>
    <row r="34" spans="1:5" x14ac:dyDescent="0.3">
      <c r="A34" s="67">
        <f t="shared" si="0"/>
        <v>32</v>
      </c>
      <c r="B34" s="70">
        <f>[1]Память!G34</f>
        <v>0</v>
      </c>
      <c r="C34" s="21">
        <f>[1]Память!S34</f>
        <v>0</v>
      </c>
      <c r="D34" s="22">
        <f>[2]Память!G34</f>
        <v>0</v>
      </c>
      <c r="E34" s="22">
        <f>[2]Память!S34</f>
        <v>0</v>
      </c>
    </row>
    <row r="35" spans="1:5" x14ac:dyDescent="0.3">
      <c r="A35" s="67">
        <f t="shared" si="0"/>
        <v>33</v>
      </c>
      <c r="B35" s="70">
        <f>[1]Память!G35</f>
        <v>0</v>
      </c>
      <c r="C35" s="21">
        <f>[1]Память!S35</f>
        <v>0</v>
      </c>
      <c r="D35" s="22">
        <f>[2]Память!G35</f>
        <v>0</v>
      </c>
      <c r="E35" s="22">
        <f>[2]Память!S35</f>
        <v>0</v>
      </c>
    </row>
    <row r="36" spans="1:5" x14ac:dyDescent="0.3">
      <c r="A36" s="67">
        <f t="shared" si="0"/>
        <v>34</v>
      </c>
      <c r="B36" s="70">
        <f>[1]Память!G36</f>
        <v>0</v>
      </c>
      <c r="C36" s="21">
        <f>[1]Память!S36</f>
        <v>0</v>
      </c>
      <c r="D36" s="22">
        <f>[2]Память!G36</f>
        <v>0</v>
      </c>
      <c r="E36" s="22">
        <f>[2]Память!S36</f>
        <v>0</v>
      </c>
    </row>
    <row r="37" spans="1:5" x14ac:dyDescent="0.3">
      <c r="A37" s="67">
        <f t="shared" si="0"/>
        <v>35</v>
      </c>
      <c r="B37" s="70">
        <f>[1]Память!G37</f>
        <v>0</v>
      </c>
      <c r="C37" s="21">
        <f>[1]Память!S37</f>
        <v>0</v>
      </c>
      <c r="D37" s="22">
        <f>[2]Память!G37</f>
        <v>0</v>
      </c>
      <c r="E37" s="22">
        <f>[2]Память!S37</f>
        <v>0</v>
      </c>
    </row>
    <row r="38" spans="1:5" x14ac:dyDescent="0.3">
      <c r="A38" s="100">
        <f t="shared" si="0"/>
        <v>36</v>
      </c>
      <c r="B38" s="70">
        <f>[1]Память!G38</f>
        <v>1249.3333333333333</v>
      </c>
      <c r="C38" s="21">
        <f>[1]Память!S38</f>
        <v>40.363033142275675</v>
      </c>
      <c r="D38" s="22">
        <f>[2]Память!G38</f>
        <v>58.333333333333336</v>
      </c>
      <c r="E38" s="22">
        <f>[2]Память!S38</f>
        <v>16.152846326404656</v>
      </c>
    </row>
    <row r="39" spans="1:5" x14ac:dyDescent="0.3">
      <c r="A39" s="67">
        <f t="shared" si="0"/>
        <v>37</v>
      </c>
      <c r="B39" s="70">
        <f>[1]Память!G39</f>
        <v>0</v>
      </c>
      <c r="C39" s="21">
        <f>[1]Память!S39</f>
        <v>0</v>
      </c>
      <c r="D39" s="22">
        <f>[2]Память!G39</f>
        <v>0</v>
      </c>
      <c r="E39" s="22">
        <f>[2]Память!S39</f>
        <v>0</v>
      </c>
    </row>
    <row r="40" spans="1:5" x14ac:dyDescent="0.3">
      <c r="A40" s="67">
        <f t="shared" si="0"/>
        <v>38</v>
      </c>
      <c r="B40" s="70">
        <f>[1]Память!G40</f>
        <v>0</v>
      </c>
      <c r="C40" s="21">
        <f>[1]Память!S40</f>
        <v>0</v>
      </c>
      <c r="D40" s="22">
        <f>[2]Память!G40</f>
        <v>0</v>
      </c>
      <c r="E40" s="22">
        <f>[2]Память!S40</f>
        <v>0</v>
      </c>
    </row>
    <row r="41" spans="1:5" x14ac:dyDescent="0.3">
      <c r="A41" s="67">
        <f t="shared" si="0"/>
        <v>39</v>
      </c>
      <c r="B41" s="70">
        <f>[1]Память!G41</f>
        <v>0</v>
      </c>
      <c r="C41" s="21">
        <f>[1]Память!S41</f>
        <v>0</v>
      </c>
      <c r="D41" s="22">
        <f>[2]Память!G41</f>
        <v>0</v>
      </c>
      <c r="E41" s="22">
        <f>[2]Память!S41</f>
        <v>0</v>
      </c>
    </row>
    <row r="42" spans="1:5" x14ac:dyDescent="0.3">
      <c r="A42" s="67">
        <f t="shared" si="0"/>
        <v>40</v>
      </c>
      <c r="B42" s="70">
        <f>[1]Память!G42</f>
        <v>0</v>
      </c>
      <c r="C42" s="21">
        <f>[1]Память!S42</f>
        <v>0</v>
      </c>
      <c r="D42" s="22">
        <f>[2]Память!G42</f>
        <v>0</v>
      </c>
      <c r="E42" s="22">
        <f>[2]Память!S42</f>
        <v>0</v>
      </c>
    </row>
    <row r="43" spans="1:5" x14ac:dyDescent="0.3">
      <c r="A43" s="100">
        <f t="shared" si="0"/>
        <v>41</v>
      </c>
      <c r="B43" s="70">
        <f>[1]Память!G43</f>
        <v>1246.6666666666667</v>
      </c>
      <c r="C43" s="21">
        <f>[1]Память!S43</f>
        <v>23.595644607521201</v>
      </c>
      <c r="D43" s="22">
        <f>[2]Память!G43</f>
        <v>50</v>
      </c>
      <c r="E43" s="22">
        <f>[2]Память!S43</f>
        <v>12.900000000000002</v>
      </c>
    </row>
    <row r="44" spans="1:5" x14ac:dyDescent="0.3">
      <c r="A44" s="99">
        <f t="shared" si="0"/>
        <v>42</v>
      </c>
      <c r="B44" s="70">
        <f>[1]Память!G44</f>
        <v>0</v>
      </c>
      <c r="C44" s="21">
        <f>[1]Память!S44</f>
        <v>0</v>
      </c>
      <c r="D44" s="22">
        <f>[2]Память!G44</f>
        <v>0</v>
      </c>
      <c r="E44" s="22">
        <f>[2]Память!S44</f>
        <v>0</v>
      </c>
    </row>
    <row r="45" spans="1:5" x14ac:dyDescent="0.3">
      <c r="A45" s="99">
        <f t="shared" si="0"/>
        <v>43</v>
      </c>
      <c r="B45" s="70">
        <f>[1]Память!G45</f>
        <v>0</v>
      </c>
      <c r="C45" s="21">
        <f>[1]Память!S45</f>
        <v>0</v>
      </c>
      <c r="D45" s="22">
        <f>[2]Память!G45</f>
        <v>0</v>
      </c>
      <c r="E45" s="22">
        <f>[2]Память!S45</f>
        <v>0</v>
      </c>
    </row>
    <row r="46" spans="1:5" x14ac:dyDescent="0.3">
      <c r="A46" s="99">
        <f t="shared" si="0"/>
        <v>44</v>
      </c>
      <c r="B46" s="70">
        <f>[1]Память!G46</f>
        <v>0</v>
      </c>
      <c r="C46" s="21">
        <f>[1]Память!S46</f>
        <v>0</v>
      </c>
      <c r="D46" s="22">
        <f>[2]Память!G46</f>
        <v>0</v>
      </c>
      <c r="E46" s="22">
        <f>[2]Память!S46</f>
        <v>0</v>
      </c>
    </row>
    <row r="47" spans="1:5" x14ac:dyDescent="0.3">
      <c r="A47" s="99">
        <f t="shared" si="0"/>
        <v>45</v>
      </c>
      <c r="B47" s="70">
        <f>[1]Память!G47</f>
        <v>0</v>
      </c>
      <c r="C47" s="21">
        <f>[1]Память!S47</f>
        <v>0</v>
      </c>
      <c r="D47" s="22">
        <f>[2]Память!G47</f>
        <v>0</v>
      </c>
      <c r="E47" s="22">
        <f>[2]Память!S47</f>
        <v>0</v>
      </c>
    </row>
    <row r="48" spans="1:5" x14ac:dyDescent="0.3">
      <c r="A48" s="100">
        <f t="shared" si="0"/>
        <v>46</v>
      </c>
      <c r="B48" s="70">
        <f>[1]Память!G48</f>
        <v>1243</v>
      </c>
      <c r="C48" s="21">
        <f>[1]Память!S48</f>
        <v>27.308667732669299</v>
      </c>
      <c r="D48" s="22">
        <f>[2]Память!G48</f>
        <v>50</v>
      </c>
      <c r="E48" s="22">
        <f>[2]Память!S48</f>
        <v>12.900000000000002</v>
      </c>
    </row>
    <row r="49" spans="1:5" x14ac:dyDescent="0.3">
      <c r="A49" s="99">
        <f t="shared" si="0"/>
        <v>47</v>
      </c>
      <c r="B49" s="70">
        <f>[1]Память!G49</f>
        <v>0</v>
      </c>
      <c r="C49" s="21">
        <f>[1]Память!S49</f>
        <v>0</v>
      </c>
      <c r="D49" s="22">
        <f>[2]Память!G49</f>
        <v>0</v>
      </c>
      <c r="E49" s="22">
        <f>[2]Память!S49</f>
        <v>0</v>
      </c>
    </row>
    <row r="50" spans="1:5" x14ac:dyDescent="0.3">
      <c r="A50" s="67">
        <f t="shared" si="0"/>
        <v>48</v>
      </c>
      <c r="B50" s="70">
        <f>[1]Память!G50</f>
        <v>0</v>
      </c>
      <c r="C50" s="21">
        <f>[1]Память!S50</f>
        <v>0</v>
      </c>
      <c r="D50" s="22">
        <f>[2]Память!G50</f>
        <v>0</v>
      </c>
      <c r="E50" s="22">
        <f>[2]Память!S50</f>
        <v>0</v>
      </c>
    </row>
    <row r="51" spans="1:5" x14ac:dyDescent="0.3">
      <c r="A51" s="67">
        <f t="shared" si="0"/>
        <v>49</v>
      </c>
      <c r="B51" s="70">
        <f>[1]Память!G51</f>
        <v>0</v>
      </c>
      <c r="C51" s="21">
        <f>[1]Память!S51</f>
        <v>0</v>
      </c>
      <c r="D51" s="22">
        <f>[2]Память!G51</f>
        <v>0</v>
      </c>
      <c r="E51" s="22">
        <f>[2]Память!S51</f>
        <v>0</v>
      </c>
    </row>
    <row r="52" spans="1:5" x14ac:dyDescent="0.3">
      <c r="A52" s="67">
        <f t="shared" si="0"/>
        <v>50</v>
      </c>
      <c r="B52" s="70">
        <f>[1]Память!G52</f>
        <v>0</v>
      </c>
      <c r="C52" s="21">
        <f>[1]Память!S52</f>
        <v>0</v>
      </c>
      <c r="D52" s="22">
        <f>[2]Память!G52</f>
        <v>0</v>
      </c>
      <c r="E52" s="22">
        <f>[2]Память!S52</f>
        <v>0</v>
      </c>
    </row>
    <row r="53" spans="1:5" x14ac:dyDescent="0.3">
      <c r="A53" s="100">
        <f t="shared" si="0"/>
        <v>51</v>
      </c>
      <c r="B53" s="70">
        <f>[1]Память!G53</f>
        <v>1241.6666666666667</v>
      </c>
      <c r="C53" s="21">
        <f>[1]Память!S53</f>
        <v>23.595644607521201</v>
      </c>
      <c r="D53" s="22">
        <f>[2]Память!G53</f>
        <v>50</v>
      </c>
      <c r="E53" s="22">
        <f>[2]Память!S53</f>
        <v>12.900000000000002</v>
      </c>
    </row>
    <row r="54" spans="1:5" x14ac:dyDescent="0.3">
      <c r="A54" s="100">
        <f t="shared" si="0"/>
        <v>52</v>
      </c>
      <c r="B54" s="70">
        <f>[1]Память!G54</f>
        <v>1758.6666666666667</v>
      </c>
      <c r="C54" s="21">
        <f>[1]Память!S54</f>
        <v>70.233333333333334</v>
      </c>
      <c r="D54" s="22">
        <f>[2]Память!G54</f>
        <v>50</v>
      </c>
      <c r="E54" s="22">
        <f>[2]Память!S54</f>
        <v>12.900000000000002</v>
      </c>
    </row>
    <row r="55" spans="1:5" x14ac:dyDescent="0.3">
      <c r="A55" s="67">
        <f t="shared" si="0"/>
        <v>53</v>
      </c>
      <c r="B55" s="70">
        <f>[1]Память!G55</f>
        <v>0</v>
      </c>
      <c r="C55" s="21">
        <f>[1]Память!S55</f>
        <v>0</v>
      </c>
      <c r="D55" s="22">
        <f>[2]Память!G55</f>
        <v>0</v>
      </c>
      <c r="E55" s="22">
        <f>[2]Память!S55</f>
        <v>0</v>
      </c>
    </row>
    <row r="56" spans="1:5" x14ac:dyDescent="0.3">
      <c r="A56" s="67">
        <f t="shared" si="0"/>
        <v>54</v>
      </c>
      <c r="B56" s="70">
        <f>[1]Память!G56</f>
        <v>0</v>
      </c>
      <c r="C56" s="21">
        <f>[1]Память!S56</f>
        <v>0</v>
      </c>
      <c r="D56" s="22">
        <f>[2]Память!G56</f>
        <v>0</v>
      </c>
      <c r="E56" s="22">
        <f>[2]Память!S56</f>
        <v>0</v>
      </c>
    </row>
    <row r="57" spans="1:5" x14ac:dyDescent="0.3">
      <c r="A57" s="67">
        <f t="shared" si="0"/>
        <v>55</v>
      </c>
      <c r="B57" s="70">
        <f>[1]Память!G57</f>
        <v>0</v>
      </c>
      <c r="C57" s="21">
        <f>[1]Память!S57</f>
        <v>0</v>
      </c>
      <c r="D57" s="22">
        <f>[2]Память!G57</f>
        <v>0</v>
      </c>
      <c r="E57" s="22">
        <f>[2]Память!S57</f>
        <v>0</v>
      </c>
    </row>
    <row r="58" spans="1:5" x14ac:dyDescent="0.3">
      <c r="A58" s="100">
        <f t="shared" si="0"/>
        <v>56</v>
      </c>
      <c r="B58" s="70">
        <f>[1]Память!G58</f>
        <v>1249.6666666666667</v>
      </c>
      <c r="C58" s="21">
        <f>[1]Память!S58</f>
        <v>21.114318469807269</v>
      </c>
      <c r="D58" s="22">
        <f>[2]Память!G58</f>
        <v>50</v>
      </c>
      <c r="E58" s="22">
        <f>[2]Память!S58</f>
        <v>12.900000000000002</v>
      </c>
    </row>
    <row r="59" spans="1:5" x14ac:dyDescent="0.3">
      <c r="A59" s="100">
        <f t="shared" si="0"/>
        <v>57</v>
      </c>
      <c r="B59" s="70">
        <f>[1]Память!G59</f>
        <v>1766</v>
      </c>
      <c r="C59" s="21">
        <f>[1]Память!S59</f>
        <v>63.342955409421812</v>
      </c>
      <c r="D59" s="22">
        <f>[2]Память!G59</f>
        <v>50</v>
      </c>
      <c r="E59" s="22">
        <f>[2]Память!S59</f>
        <v>12.900000000000002</v>
      </c>
    </row>
    <row r="60" spans="1:5" x14ac:dyDescent="0.3">
      <c r="A60" s="67">
        <f t="shared" si="0"/>
        <v>58</v>
      </c>
      <c r="B60" s="70">
        <f>[1]Память!G60</f>
        <v>0</v>
      </c>
      <c r="C60" s="21">
        <f>[1]Память!S60</f>
        <v>0</v>
      </c>
      <c r="D60" s="22">
        <f>[2]Память!G60</f>
        <v>0</v>
      </c>
      <c r="E60" s="22">
        <f>[2]Память!S60</f>
        <v>0</v>
      </c>
    </row>
    <row r="61" spans="1:5" x14ac:dyDescent="0.3">
      <c r="A61" s="67">
        <f t="shared" si="0"/>
        <v>59</v>
      </c>
      <c r="B61" s="70">
        <f>[1]Память!G61</f>
        <v>0</v>
      </c>
      <c r="C61" s="21">
        <f>[1]Память!S61</f>
        <v>0</v>
      </c>
      <c r="D61" s="22">
        <f>[2]Память!G61</f>
        <v>0</v>
      </c>
      <c r="E61" s="22">
        <f>[2]Память!S61</f>
        <v>0</v>
      </c>
    </row>
    <row r="62" spans="1:5" x14ac:dyDescent="0.3">
      <c r="A62" s="67">
        <f t="shared" si="0"/>
        <v>60</v>
      </c>
      <c r="B62" s="70">
        <f>[1]Память!G62</f>
        <v>0</v>
      </c>
      <c r="C62" s="21">
        <f>[1]Память!S62</f>
        <v>0</v>
      </c>
      <c r="D62" s="22">
        <f>[2]Память!G62</f>
        <v>0</v>
      </c>
      <c r="E62" s="22">
        <f>[2]Память!S62</f>
        <v>0</v>
      </c>
    </row>
    <row r="63" spans="1:5" x14ac:dyDescent="0.3">
      <c r="A63" s="101">
        <f t="shared" si="0"/>
        <v>61</v>
      </c>
      <c r="B63" s="70">
        <f>[1]Память!G63</f>
        <v>1245</v>
      </c>
      <c r="C63" s="21">
        <f>[1]Память!S63</f>
        <v>22.343455417638516</v>
      </c>
      <c r="D63" s="22">
        <f>[2]Память!G63</f>
        <v>55.333333333333336</v>
      </c>
      <c r="E63" s="22">
        <f>[2]Память!S63</f>
        <v>18.797990436332402</v>
      </c>
    </row>
    <row r="64" spans="1:5" x14ac:dyDescent="0.3">
      <c r="A64" s="99">
        <f t="shared" si="0"/>
        <v>62</v>
      </c>
      <c r="B64" s="70">
        <f>[1]Память!G64</f>
        <v>0</v>
      </c>
      <c r="C64" s="21">
        <f>[1]Память!S64</f>
        <v>0</v>
      </c>
      <c r="D64" s="22">
        <f>[2]Память!G64</f>
        <v>0</v>
      </c>
      <c r="E64" s="22">
        <f>[2]Память!S64</f>
        <v>0</v>
      </c>
    </row>
    <row r="65" spans="1:5" x14ac:dyDescent="0.3">
      <c r="A65" s="99">
        <f t="shared" si="0"/>
        <v>63</v>
      </c>
      <c r="B65" s="70">
        <f>[1]Память!G65</f>
        <v>0</v>
      </c>
      <c r="C65" s="21">
        <f>[1]Память!S65</f>
        <v>0</v>
      </c>
      <c r="D65" s="22">
        <f>[2]Память!G65</f>
        <v>0</v>
      </c>
      <c r="E65" s="22">
        <f>[2]Память!S65</f>
        <v>0</v>
      </c>
    </row>
    <row r="66" spans="1:5" x14ac:dyDescent="0.3">
      <c r="A66" s="99">
        <f t="shared" si="0"/>
        <v>64</v>
      </c>
      <c r="B66" s="70">
        <f>[1]Память!G66</f>
        <v>0</v>
      </c>
      <c r="C66" s="21">
        <f>[1]Память!S66</f>
        <v>0</v>
      </c>
      <c r="D66" s="22">
        <f>[2]Память!G66</f>
        <v>0</v>
      </c>
      <c r="E66" s="22">
        <f>[2]Память!S66</f>
        <v>0</v>
      </c>
    </row>
    <row r="67" spans="1:5" x14ac:dyDescent="0.3">
      <c r="A67" s="99">
        <f t="shared" si="0"/>
        <v>65</v>
      </c>
      <c r="B67" s="70">
        <f>[1]Память!G67</f>
        <v>0</v>
      </c>
      <c r="C67" s="21">
        <f>[1]Память!S67</f>
        <v>0</v>
      </c>
      <c r="D67" s="22">
        <f>[2]Память!G67</f>
        <v>0</v>
      </c>
      <c r="E67" s="22">
        <f>[2]Память!S67</f>
        <v>0</v>
      </c>
    </row>
    <row r="68" spans="1:5" x14ac:dyDescent="0.3">
      <c r="A68" s="100">
        <f t="shared" si="0"/>
        <v>66</v>
      </c>
      <c r="B68" s="70">
        <f>[1]Память!G68</f>
        <v>1267.3333333333333</v>
      </c>
      <c r="C68" s="21">
        <f>[1]Память!S68</f>
        <v>65.792966527163415</v>
      </c>
      <c r="D68" s="22">
        <f>[2]Память!G68</f>
        <v>60.666666666666664</v>
      </c>
      <c r="E68" s="22">
        <f>[2]Память!S68</f>
        <v>21.690269195604234</v>
      </c>
    </row>
    <row r="69" spans="1:5" x14ac:dyDescent="0.3">
      <c r="A69" s="99">
        <f t="shared" ref="A69:A132" si="1">A68+1</f>
        <v>67</v>
      </c>
      <c r="B69" s="70">
        <f>[1]Память!G69</f>
        <v>0</v>
      </c>
      <c r="C69" s="21">
        <f>[1]Память!S69</f>
        <v>0</v>
      </c>
      <c r="D69" s="22">
        <f>[2]Память!G69</f>
        <v>0</v>
      </c>
      <c r="E69" s="22">
        <f>[2]Память!S69</f>
        <v>0</v>
      </c>
    </row>
    <row r="70" spans="1:5" x14ac:dyDescent="0.3">
      <c r="A70" s="99">
        <f t="shared" si="1"/>
        <v>68</v>
      </c>
      <c r="B70" s="70">
        <f>[1]Память!G70</f>
        <v>0</v>
      </c>
      <c r="C70" s="21">
        <f>[1]Память!S70</f>
        <v>0</v>
      </c>
      <c r="D70" s="22">
        <f>[2]Память!G70</f>
        <v>0</v>
      </c>
      <c r="E70" s="22">
        <f>[2]Память!S70</f>
        <v>0</v>
      </c>
    </row>
    <row r="71" spans="1:5" x14ac:dyDescent="0.3">
      <c r="A71" s="99">
        <f t="shared" si="1"/>
        <v>69</v>
      </c>
      <c r="B71" s="70">
        <f>[1]Память!G71</f>
        <v>0</v>
      </c>
      <c r="C71" s="21">
        <f>[1]Память!S71</f>
        <v>0</v>
      </c>
      <c r="D71" s="22">
        <f>[2]Память!G71</f>
        <v>0</v>
      </c>
      <c r="E71" s="22">
        <f>[2]Память!S71</f>
        <v>0</v>
      </c>
    </row>
    <row r="72" spans="1:5" x14ac:dyDescent="0.3">
      <c r="A72" s="99">
        <f t="shared" si="1"/>
        <v>70</v>
      </c>
      <c r="B72" s="70">
        <f>[1]Память!G72</f>
        <v>0</v>
      </c>
      <c r="C72" s="21">
        <f>[1]Память!S72</f>
        <v>0</v>
      </c>
      <c r="D72" s="22">
        <f>[2]Память!G72</f>
        <v>0</v>
      </c>
      <c r="E72" s="22">
        <f>[2]Память!S72</f>
        <v>0</v>
      </c>
    </row>
    <row r="73" spans="1:5" x14ac:dyDescent="0.3">
      <c r="A73" s="100">
        <f t="shared" si="1"/>
        <v>71</v>
      </c>
      <c r="B73" s="70">
        <f>[1]Память!G73</f>
        <v>1249.3333333333333</v>
      </c>
      <c r="C73" s="21">
        <f>[1]Память!S73</f>
        <v>40.363033142275675</v>
      </c>
      <c r="D73" s="22">
        <f>[2]Память!G73</f>
        <v>55</v>
      </c>
      <c r="E73" s="22">
        <f>[2]Память!S73</f>
        <v>13.822566090756569</v>
      </c>
    </row>
    <row r="74" spans="1:5" x14ac:dyDescent="0.3">
      <c r="A74" s="99">
        <f t="shared" si="1"/>
        <v>72</v>
      </c>
      <c r="B74" s="70">
        <f>[1]Память!G74</f>
        <v>0</v>
      </c>
      <c r="C74" s="21">
        <f>[1]Память!S74</f>
        <v>0</v>
      </c>
      <c r="D74" s="22">
        <f>[2]Память!G74</f>
        <v>0</v>
      </c>
      <c r="E74" s="22">
        <f>[2]Память!S74</f>
        <v>0</v>
      </c>
    </row>
    <row r="75" spans="1:5" x14ac:dyDescent="0.3">
      <c r="A75" s="99">
        <f t="shared" si="1"/>
        <v>73</v>
      </c>
      <c r="B75" s="70">
        <f>[1]Память!G75</f>
        <v>0</v>
      </c>
      <c r="C75" s="21">
        <f>[1]Память!S75</f>
        <v>0</v>
      </c>
      <c r="D75" s="22">
        <f>[2]Память!G75</f>
        <v>0</v>
      </c>
      <c r="E75" s="22">
        <f>[2]Память!S75</f>
        <v>0</v>
      </c>
    </row>
    <row r="76" spans="1:5" x14ac:dyDescent="0.3">
      <c r="A76" s="99">
        <f t="shared" si="1"/>
        <v>74</v>
      </c>
      <c r="B76" s="70">
        <f>[1]Память!G76</f>
        <v>0</v>
      </c>
      <c r="C76" s="21">
        <f>[1]Память!S76</f>
        <v>0</v>
      </c>
      <c r="D76" s="22">
        <f>[2]Память!G76</f>
        <v>0</v>
      </c>
      <c r="E76" s="22">
        <f>[2]Память!S76</f>
        <v>0</v>
      </c>
    </row>
    <row r="77" spans="1:5" x14ac:dyDescent="0.3">
      <c r="A77" s="99">
        <f t="shared" si="1"/>
        <v>75</v>
      </c>
      <c r="B77" s="70">
        <f>[1]Память!G77</f>
        <v>0</v>
      </c>
      <c r="C77" s="21">
        <f>[1]Память!S77</f>
        <v>0</v>
      </c>
      <c r="D77" s="22">
        <f>[2]Память!G77</f>
        <v>0</v>
      </c>
      <c r="E77" s="22">
        <f>[2]Память!S77</f>
        <v>0</v>
      </c>
    </row>
    <row r="78" spans="1:5" x14ac:dyDescent="0.3">
      <c r="A78" s="100">
        <f t="shared" si="1"/>
        <v>76</v>
      </c>
      <c r="B78" s="70">
        <f>[1]Память!G78</f>
        <v>1244.3333333333333</v>
      </c>
      <c r="C78" s="21">
        <f>[1]Память!S78</f>
        <v>27.346257107285776</v>
      </c>
      <c r="D78" s="22">
        <f>[2]Память!G78</f>
        <v>70.666666666666671</v>
      </c>
      <c r="E78" s="22">
        <f>[2]Память!S78</f>
        <v>22.389382404265746</v>
      </c>
    </row>
    <row r="79" spans="1:5" x14ac:dyDescent="0.3">
      <c r="B79" s="70">
        <f>[1]Память!G79</f>
        <v>0</v>
      </c>
      <c r="C79" s="21">
        <f>[1]Память!S79</f>
        <v>0</v>
      </c>
      <c r="D79" s="22">
        <f>[2]Память!G79</f>
        <v>0</v>
      </c>
      <c r="E79" s="22">
        <f>[2]Память!S79</f>
        <v>0</v>
      </c>
    </row>
    <row r="80" spans="1:5" x14ac:dyDescent="0.3">
      <c r="B80" s="70">
        <f>[1]Память!G80</f>
        <v>0</v>
      </c>
      <c r="C80" s="21">
        <f>[1]Память!S80</f>
        <v>0</v>
      </c>
      <c r="D80" s="22">
        <f>[2]Память!G80</f>
        <v>0</v>
      </c>
      <c r="E80" s="22">
        <f>[2]Память!S80</f>
        <v>0</v>
      </c>
    </row>
    <row r="81" spans="1:5" x14ac:dyDescent="0.3">
      <c r="B81" s="70">
        <f>[1]Память!G81</f>
        <v>1250</v>
      </c>
      <c r="C81" s="21">
        <f>[1]Память!S81</f>
        <v>24.826061575153908</v>
      </c>
      <c r="D81" s="22">
        <f>[2]Память!G81</f>
        <v>50</v>
      </c>
      <c r="E81" s="22">
        <f>[2]Память!S81</f>
        <v>12.900000000000002</v>
      </c>
    </row>
    <row r="82" spans="1:5" x14ac:dyDescent="0.3">
      <c r="A82" s="100" t="s">
        <v>51</v>
      </c>
      <c r="B82" s="70">
        <f>[1]Память!G82</f>
        <v>1245</v>
      </c>
      <c r="C82" s="21">
        <f>[1]Память!S82</f>
        <v>27.308667732669299</v>
      </c>
      <c r="D82" s="22">
        <f>[2]Память!G82</f>
        <v>50</v>
      </c>
      <c r="E82" s="22">
        <f>[2]Память!S82</f>
        <v>12.900000000000002</v>
      </c>
    </row>
    <row r="83" spans="1:5" x14ac:dyDescent="0.3">
      <c r="A83" s="100" t="s">
        <v>52</v>
      </c>
      <c r="B83" s="70">
        <f>[1]Память!G83</f>
        <v>1253</v>
      </c>
      <c r="C83" s="21">
        <f>[1]Память!S83</f>
        <v>15.101103712422258</v>
      </c>
      <c r="D83" s="22">
        <f>[2]Память!G83</f>
        <v>57.333333333333336</v>
      </c>
      <c r="E83" s="22">
        <f>[2]Память!S83</f>
        <v>17.437252586854896</v>
      </c>
    </row>
    <row r="84" spans="1:5" x14ac:dyDescent="0.3">
      <c r="A84" s="100" t="s">
        <v>53</v>
      </c>
      <c r="B84" s="70">
        <f>[1]Память!G84</f>
        <v>1241.6666666666667</v>
      </c>
      <c r="C84" s="21">
        <f>[1]Память!S84</f>
        <v>12.246405368288462</v>
      </c>
      <c r="D84" s="22">
        <f>[2]Память!G84</f>
        <v>56</v>
      </c>
      <c r="E84" s="22">
        <f>[2]Память!S84</f>
        <v>16.279537257960783</v>
      </c>
    </row>
    <row r="85" spans="1:5" x14ac:dyDescent="0.3">
      <c r="A85" s="100" t="s">
        <v>54</v>
      </c>
      <c r="B85" s="70">
        <f>[1]Память!G85</f>
        <v>1258.6666666666667</v>
      </c>
      <c r="C85" s="21">
        <f>[1]Память!S85</f>
        <v>54.183033424782622</v>
      </c>
      <c r="D85" s="22">
        <f>[2]Память!G85</f>
        <v>59</v>
      </c>
      <c r="E85" s="22">
        <f>[2]Память!S85</f>
        <v>12.900000000000002</v>
      </c>
    </row>
    <row r="86" spans="1:5" x14ac:dyDescent="0.3">
      <c r="A86" s="100" t="s">
        <v>55</v>
      </c>
      <c r="B86" s="70">
        <f>[1]Память!G86</f>
        <v>1250</v>
      </c>
      <c r="C86" s="21">
        <f>[1]Память!S86</f>
        <v>28.630810909461392</v>
      </c>
      <c r="D86" s="22">
        <f>[2]Память!G86</f>
        <v>65.666666666666671</v>
      </c>
      <c r="E86" s="22">
        <f>[2]Память!S86</f>
        <v>27.458716486957492</v>
      </c>
    </row>
    <row r="87" spans="1:5" x14ac:dyDescent="0.3">
      <c r="A87" s="100" t="s">
        <v>56</v>
      </c>
      <c r="B87" s="70">
        <f>[1]Память!G87</f>
        <v>1250</v>
      </c>
      <c r="C87" s="21">
        <f>[1]Память!S87</f>
        <v>40.642014385772434</v>
      </c>
      <c r="D87" s="22">
        <f>[2]Память!G87</f>
        <v>65.666666666666671</v>
      </c>
      <c r="E87" s="22">
        <f>[2]Память!S87</f>
        <v>27.458716486957492</v>
      </c>
    </row>
    <row r="88" spans="1:5" x14ac:dyDescent="0.3">
      <c r="A88" s="100" t="s">
        <v>57</v>
      </c>
      <c r="B88" s="70">
        <f>[1]Память!G88</f>
        <v>1239.3333333333333</v>
      </c>
      <c r="C88" s="21">
        <f>[1]Память!S88</f>
        <v>15.766666666666666</v>
      </c>
      <c r="D88" s="22">
        <f>[2]Память!G88</f>
        <v>61</v>
      </c>
      <c r="E88" s="22">
        <f>[2]Память!S88</f>
        <v>22.343455417638516</v>
      </c>
    </row>
    <row r="89" spans="1:5" x14ac:dyDescent="0.3">
      <c r="A89" s="100" t="s">
        <v>58</v>
      </c>
      <c r="B89" s="70">
        <f>[1]Память!G89</f>
        <v>0</v>
      </c>
      <c r="C89" s="21">
        <f>[1]Память!S89</f>
        <v>0</v>
      </c>
      <c r="D89" s="22">
        <f>[2]Память!G89</f>
        <v>0</v>
      </c>
      <c r="E89" s="22">
        <f>[2]Память!S89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61685-09BC-4A4D-8DD3-00DB0B7B4F81}">
  <sheetPr codeName="Лист14"/>
  <dimension ref="A1:E13"/>
  <sheetViews>
    <sheetView workbookViewId="0">
      <selection activeCell="E17" sqref="E17"/>
    </sheetView>
  </sheetViews>
  <sheetFormatPr defaultRowHeight="14.4" x14ac:dyDescent="0.3"/>
  <cols>
    <col min="1" max="1" width="24.77734375" style="4" customWidth="1"/>
    <col min="2" max="2" width="22.33203125" style="4" customWidth="1"/>
    <col min="3" max="3" width="16" style="4" customWidth="1"/>
    <col min="4" max="4" width="23.44140625" style="4" customWidth="1"/>
    <col min="5" max="5" width="9.33203125" style="4" customWidth="1"/>
    <col min="6" max="16384" width="8.88671875" style="4"/>
  </cols>
  <sheetData>
    <row r="1" spans="1:5" s="2" customFormat="1" ht="15" thickBot="1" x14ac:dyDescent="0.35">
      <c r="A1" s="72" t="s">
        <v>48</v>
      </c>
      <c r="B1" s="73" t="s">
        <v>36</v>
      </c>
      <c r="C1" s="74"/>
      <c r="D1" s="75" t="s">
        <v>40</v>
      </c>
      <c r="E1" s="74"/>
    </row>
    <row r="2" spans="1:5" s="25" customFormat="1" ht="15" thickBot="1" x14ac:dyDescent="0.35">
      <c r="A2" s="76"/>
      <c r="B2" s="77" t="s">
        <v>37</v>
      </c>
      <c r="C2" s="78" t="s">
        <v>26</v>
      </c>
      <c r="D2" s="77" t="s">
        <v>37</v>
      </c>
      <c r="E2" s="78" t="s">
        <v>42</v>
      </c>
    </row>
    <row r="3" spans="1:5" s="20" customFormat="1" x14ac:dyDescent="0.3">
      <c r="A3" s="79" t="s">
        <v>16</v>
      </c>
      <c r="B3" s="80" t="s">
        <v>38</v>
      </c>
      <c r="C3" s="81">
        <f>4.5*499</f>
        <v>2245.5</v>
      </c>
      <c r="D3" s="80" t="s">
        <v>41</v>
      </c>
      <c r="E3" s="81">
        <v>4</v>
      </c>
    </row>
    <row r="4" spans="1:5" x14ac:dyDescent="0.3">
      <c r="A4" s="82" t="s">
        <v>17</v>
      </c>
      <c r="B4" s="83" t="s">
        <v>38</v>
      </c>
      <c r="C4" s="81">
        <f>4.5*499</f>
        <v>2245.5</v>
      </c>
      <c r="D4" s="83" t="s">
        <v>41</v>
      </c>
      <c r="E4" s="84">
        <v>4</v>
      </c>
    </row>
    <row r="5" spans="1:5" x14ac:dyDescent="0.3">
      <c r="A5" s="82" t="s">
        <v>18</v>
      </c>
      <c r="B5" s="83" t="s">
        <v>39</v>
      </c>
      <c r="C5" s="84">
        <f>4.6*2095</f>
        <v>9637</v>
      </c>
      <c r="D5" s="83" t="s">
        <v>39</v>
      </c>
      <c r="E5" s="84">
        <v>16</v>
      </c>
    </row>
    <row r="6" spans="1:5" x14ac:dyDescent="0.3">
      <c r="A6" s="82" t="s">
        <v>19</v>
      </c>
      <c r="B6" s="83" t="s">
        <v>39</v>
      </c>
      <c r="C6" s="84">
        <f>4.6*2095</f>
        <v>9637</v>
      </c>
      <c r="D6" s="83" t="s">
        <v>39</v>
      </c>
      <c r="E6" s="84">
        <v>16</v>
      </c>
    </row>
    <row r="12" spans="1:5" x14ac:dyDescent="0.3">
      <c r="C12" s="85" t="s">
        <v>15</v>
      </c>
    </row>
    <row r="13" spans="1:5" x14ac:dyDescent="0.3">
      <c r="C13" s="85" t="s">
        <v>43</v>
      </c>
    </row>
  </sheetData>
  <hyperlinks>
    <hyperlink ref="C12" r:id="rId1" xr:uid="{CE07BA51-2F6F-4B07-BAF9-2B60FC6EBBA3}"/>
    <hyperlink ref="C13" r:id="rId2" xr:uid="{39D99C51-BE07-4A87-BDD6-ADE9CC025F2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116E0-D152-4A78-9ED8-8F359E4DE0FB}">
  <sheetPr codeName="Лист15"/>
  <dimension ref="A1:BI18"/>
  <sheetViews>
    <sheetView workbookViewId="0">
      <pane xSplit="1" topLeftCell="AP1" activePane="topRight" state="frozen"/>
      <selection pane="topRight" activeCell="G3" sqref="G3"/>
    </sheetView>
  </sheetViews>
  <sheetFormatPr defaultRowHeight="14.4" x14ac:dyDescent="0.3"/>
  <cols>
    <col min="1" max="1" width="24.109375" style="89" customWidth="1"/>
    <col min="2" max="2" width="16.44140625" style="71" customWidth="1"/>
    <col min="3" max="3" width="8.5546875" style="5" customWidth="1"/>
    <col min="4" max="4" width="13.109375" style="5" customWidth="1"/>
    <col min="5" max="6" width="8.88671875" style="5"/>
    <col min="7" max="7" width="9.77734375" style="1" customWidth="1"/>
    <col min="8" max="8" width="8.88671875" style="1"/>
    <col min="9" max="9" width="14" style="1" customWidth="1"/>
    <col min="10" max="10" width="8.88671875" style="1"/>
    <col min="11" max="11" width="10" style="1" customWidth="1"/>
    <col min="12" max="12" width="8.88671875" style="14"/>
    <col min="13" max="13" width="11.21875" style="14" customWidth="1"/>
    <col min="14" max="14" width="13.77734375" style="14" customWidth="1"/>
    <col min="15" max="16" width="8.88671875" style="14"/>
    <col min="17" max="18" width="8.88671875" style="5"/>
    <col min="19" max="19" width="13.6640625" style="5" customWidth="1"/>
    <col min="20" max="21" width="8.88671875" style="5"/>
    <col min="22" max="23" width="8.88671875" style="1"/>
    <col min="24" max="24" width="13.5546875" style="1" customWidth="1"/>
    <col min="25" max="26" width="8.88671875" style="1"/>
    <col min="27" max="28" width="8.88671875" style="46"/>
    <col min="29" max="29" width="14.33203125" style="14" customWidth="1"/>
    <col min="30" max="31" width="8.88671875" style="14"/>
    <col min="32" max="33" width="8.88671875" style="5"/>
    <col min="34" max="34" width="13.6640625" style="5" customWidth="1"/>
    <col min="35" max="36" width="8.88671875" style="5"/>
    <col min="37" max="38" width="8.88671875" style="50"/>
    <col min="39" max="39" width="13.6640625" style="1" customWidth="1"/>
    <col min="40" max="41" width="8.88671875" style="1"/>
    <col min="42" max="43" width="8.88671875" style="46"/>
    <col min="44" max="44" width="14.33203125" style="14" customWidth="1"/>
    <col min="45" max="46" width="8.88671875" style="14"/>
    <col min="47" max="47" width="13.21875" style="5" customWidth="1"/>
    <col min="48" max="48" width="14.109375" style="5" customWidth="1"/>
    <col min="49" max="49" width="13.6640625" style="5" customWidth="1"/>
    <col min="50" max="51" width="8.88671875" style="5"/>
    <col min="52" max="52" width="13.44140625" style="1" customWidth="1"/>
    <col min="53" max="53" width="8.88671875" style="1"/>
    <col min="54" max="54" width="13.6640625" style="1" customWidth="1"/>
    <col min="55" max="56" width="8.88671875" style="1"/>
    <col min="57" max="59" width="8.88671875" style="6"/>
    <col min="60" max="60" width="6.6640625" style="19" customWidth="1"/>
    <col min="61" max="61" width="5.77734375" style="49" customWidth="1"/>
    <col min="62" max="16384" width="8.88671875" style="6"/>
  </cols>
  <sheetData>
    <row r="1" spans="1:61" s="51" customFormat="1" x14ac:dyDescent="0.3">
      <c r="A1" s="92" t="s">
        <v>48</v>
      </c>
      <c r="B1" s="53" t="s">
        <v>22</v>
      </c>
      <c r="C1" s="53"/>
      <c r="D1" s="53"/>
      <c r="E1" s="53"/>
      <c r="F1" s="54"/>
      <c r="G1" s="55" t="s">
        <v>23</v>
      </c>
      <c r="H1" s="56"/>
      <c r="I1" s="56"/>
      <c r="J1" s="56"/>
      <c r="K1" s="57"/>
      <c r="L1" s="58" t="s">
        <v>24</v>
      </c>
      <c r="M1" s="59"/>
      <c r="N1" s="59"/>
      <c r="O1" s="59"/>
      <c r="P1" s="60"/>
      <c r="Q1" s="52" t="s">
        <v>25</v>
      </c>
      <c r="R1" s="53"/>
      <c r="S1" s="53"/>
      <c r="T1" s="53"/>
      <c r="U1" s="54"/>
      <c r="V1" s="55" t="s">
        <v>31</v>
      </c>
      <c r="W1" s="56"/>
      <c r="X1" s="56"/>
      <c r="Y1" s="56"/>
      <c r="Z1" s="57"/>
      <c r="AA1" s="61" t="s">
        <v>32</v>
      </c>
      <c r="AB1" s="62"/>
      <c r="AC1" s="59"/>
      <c r="AD1" s="59"/>
      <c r="AE1" s="60"/>
      <c r="AF1" s="52" t="s">
        <v>33</v>
      </c>
      <c r="AG1" s="53"/>
      <c r="AH1" s="53"/>
      <c r="AI1" s="53"/>
      <c r="AJ1" s="54"/>
      <c r="AK1" s="63" t="s">
        <v>35</v>
      </c>
      <c r="AL1" s="64"/>
      <c r="AM1" s="56"/>
      <c r="AN1" s="56"/>
      <c r="AO1" s="57"/>
      <c r="AP1" s="61" t="s">
        <v>44</v>
      </c>
      <c r="AQ1" s="62"/>
      <c r="AR1" s="59"/>
      <c r="AS1" s="59"/>
      <c r="AT1" s="60"/>
      <c r="AU1" s="52" t="s">
        <v>49</v>
      </c>
      <c r="AV1" s="53"/>
      <c r="AW1" s="53"/>
      <c r="AX1" s="53"/>
      <c r="AY1" s="54"/>
      <c r="AZ1" s="55" t="s">
        <v>50</v>
      </c>
      <c r="BA1" s="56"/>
      <c r="BB1" s="56"/>
      <c r="BC1" s="56"/>
      <c r="BD1" s="57"/>
      <c r="BH1" s="65" t="s">
        <v>20</v>
      </c>
      <c r="BI1" s="66" t="s">
        <v>21</v>
      </c>
    </row>
    <row r="2" spans="1:61" s="33" customFormat="1" ht="15" thickBot="1" x14ac:dyDescent="0.35">
      <c r="A2" s="87"/>
      <c r="B2" s="69" t="s">
        <v>26</v>
      </c>
      <c r="C2" s="26" t="s">
        <v>27</v>
      </c>
      <c r="D2" s="26" t="s">
        <v>28</v>
      </c>
      <c r="E2" s="26" t="s">
        <v>29</v>
      </c>
      <c r="F2" s="26" t="s">
        <v>30</v>
      </c>
      <c r="G2" s="27" t="s">
        <v>26</v>
      </c>
      <c r="H2" s="27" t="s">
        <v>27</v>
      </c>
      <c r="I2" s="27" t="s">
        <v>28</v>
      </c>
      <c r="J2" s="27" t="s">
        <v>29</v>
      </c>
      <c r="K2" s="27" t="s">
        <v>30</v>
      </c>
      <c r="L2" s="28" t="s">
        <v>26</v>
      </c>
      <c r="M2" s="28" t="s">
        <v>27</v>
      </c>
      <c r="N2" s="28" t="s">
        <v>28</v>
      </c>
      <c r="O2" s="28" t="s">
        <v>29</v>
      </c>
      <c r="P2" s="28" t="s">
        <v>30</v>
      </c>
      <c r="Q2" s="26" t="s">
        <v>26</v>
      </c>
      <c r="R2" s="26" t="s">
        <v>27</v>
      </c>
      <c r="S2" s="26" t="s">
        <v>28</v>
      </c>
      <c r="T2" s="26" t="s">
        <v>29</v>
      </c>
      <c r="U2" s="26" t="s">
        <v>30</v>
      </c>
      <c r="V2" s="27" t="s">
        <v>26</v>
      </c>
      <c r="W2" s="27" t="s">
        <v>27</v>
      </c>
      <c r="X2" s="27" t="s">
        <v>28</v>
      </c>
      <c r="Y2" s="27" t="s">
        <v>29</v>
      </c>
      <c r="Z2" s="27" t="s">
        <v>30</v>
      </c>
      <c r="AA2" s="37" t="s">
        <v>26</v>
      </c>
      <c r="AB2" s="37" t="s">
        <v>34</v>
      </c>
      <c r="AC2" s="28" t="s">
        <v>28</v>
      </c>
      <c r="AD2" s="28" t="s">
        <v>29</v>
      </c>
      <c r="AE2" s="28" t="s">
        <v>30</v>
      </c>
      <c r="AF2" s="26" t="s">
        <v>26</v>
      </c>
      <c r="AG2" s="26" t="s">
        <v>34</v>
      </c>
      <c r="AH2" s="26" t="s">
        <v>28</v>
      </c>
      <c r="AI2" s="26" t="s">
        <v>29</v>
      </c>
      <c r="AJ2" s="26" t="s">
        <v>30</v>
      </c>
      <c r="AK2" s="38" t="s">
        <v>26</v>
      </c>
      <c r="AL2" s="38" t="s">
        <v>34</v>
      </c>
      <c r="AM2" s="27" t="s">
        <v>28</v>
      </c>
      <c r="AN2" s="27" t="s">
        <v>29</v>
      </c>
      <c r="AO2" s="27" t="s">
        <v>30</v>
      </c>
      <c r="AP2" s="37" t="s">
        <v>26</v>
      </c>
      <c r="AQ2" s="37" t="s">
        <v>27</v>
      </c>
      <c r="AR2" s="28" t="s">
        <v>28</v>
      </c>
      <c r="AS2" s="28" t="s">
        <v>29</v>
      </c>
      <c r="AT2" s="28" t="s">
        <v>30</v>
      </c>
      <c r="AU2" s="26" t="s">
        <v>26</v>
      </c>
      <c r="AV2" s="26" t="s">
        <v>34</v>
      </c>
      <c r="AW2" s="26" t="s">
        <v>28</v>
      </c>
      <c r="AX2" s="26" t="s">
        <v>29</v>
      </c>
      <c r="AY2" s="26" t="s">
        <v>30</v>
      </c>
      <c r="AZ2" s="27" t="s">
        <v>26</v>
      </c>
      <c r="BA2" s="27" t="s">
        <v>34</v>
      </c>
      <c r="BB2" s="27" t="s">
        <v>28</v>
      </c>
      <c r="BC2" s="27" t="s">
        <v>29</v>
      </c>
      <c r="BD2" s="27" t="s">
        <v>30</v>
      </c>
      <c r="BH2" s="29"/>
      <c r="BI2" s="39"/>
    </row>
    <row r="3" spans="1:61" s="31" customFormat="1" x14ac:dyDescent="0.3">
      <c r="A3" s="88" t="s">
        <v>16</v>
      </c>
      <c r="B3" s="70">
        <f>'Сравн.с_физ.Кг_s1'!U3+'Сравн.с_физ.Кг_s12'!U3</f>
        <v>62</v>
      </c>
      <c r="C3" s="43">
        <f>MAX(B3:B6)</f>
        <v>62</v>
      </c>
      <c r="D3" s="21">
        <f>B3/$C$3</f>
        <v>1</v>
      </c>
      <c r="E3" s="43">
        <f>1/11</f>
        <v>9.0909090909090912E-2</v>
      </c>
      <c r="F3" s="43">
        <v>1</v>
      </c>
      <c r="G3" s="22">
        <f>Сравн.Время!P3</f>
        <v>10</v>
      </c>
      <c r="H3" s="44">
        <f>MAX(G3:G6)</f>
        <v>14</v>
      </c>
      <c r="I3" s="22">
        <f>G3/$H$3</f>
        <v>0.7142857142857143</v>
      </c>
      <c r="J3" s="44">
        <f>1/11</f>
        <v>9.0909090909090912E-2</v>
      </c>
      <c r="K3" s="44">
        <v>1</v>
      </c>
      <c r="L3" s="23">
        <f>СредаЯзык!C3</f>
        <v>2245.5</v>
      </c>
      <c r="M3" s="45">
        <f>MAX(L3:L6)</f>
        <v>9637</v>
      </c>
      <c r="N3" s="23">
        <f>L3/$M$3</f>
        <v>0.23300819757185845</v>
      </c>
      <c r="O3" s="45">
        <f>1/11</f>
        <v>9.0909090909090912E-2</v>
      </c>
      <c r="P3" s="45">
        <v>1</v>
      </c>
      <c r="Q3" s="21">
        <v>0</v>
      </c>
      <c r="R3" s="43">
        <f>MAX(Q3:Q6)</f>
        <v>1</v>
      </c>
      <c r="S3" s="21">
        <f>Q3/$R$3</f>
        <v>0</v>
      </c>
      <c r="T3" s="43">
        <f>1/11</f>
        <v>9.0909090909090912E-2</v>
      </c>
      <c r="U3" s="43">
        <v>1</v>
      </c>
      <c r="V3" s="22">
        <v>0.9</v>
      </c>
      <c r="W3" s="44">
        <f>MAX(V3:V6)</f>
        <v>0.9</v>
      </c>
      <c r="X3" s="22">
        <f>V3/$W$3</f>
        <v>1</v>
      </c>
      <c r="Y3" s="44">
        <f>1/11</f>
        <v>9.0909090909090912E-2</v>
      </c>
      <c r="Z3" s="44">
        <v>1</v>
      </c>
      <c r="AA3" s="40">
        <v>85</v>
      </c>
      <c r="AB3" s="47">
        <f>MIN(AA3:AA6)</f>
        <v>10</v>
      </c>
      <c r="AC3" s="23">
        <f>AA3/$AB$3</f>
        <v>8.5</v>
      </c>
      <c r="AD3" s="45">
        <f>1/11</f>
        <v>9.0909090909090912E-2</v>
      </c>
      <c r="AE3" s="45">
        <v>-1</v>
      </c>
      <c r="AF3" s="21">
        <v>0.01</v>
      </c>
      <c r="AG3" s="43">
        <f>MIN(AF3:AF6)</f>
        <v>0.01</v>
      </c>
      <c r="AH3" s="21">
        <f>AF3/$AG$3</f>
        <v>1</v>
      </c>
      <c r="AI3" s="43">
        <f>1/11</f>
        <v>9.0909090909090912E-2</v>
      </c>
      <c r="AJ3" s="43">
        <v>-1</v>
      </c>
      <c r="AK3" s="41">
        <f>СредаЯзык!E3</f>
        <v>4</v>
      </c>
      <c r="AL3" s="48">
        <f>MIN(AK3:AK6)</f>
        <v>4</v>
      </c>
      <c r="AM3" s="22">
        <f>AK3/$AL$3</f>
        <v>1</v>
      </c>
      <c r="AN3" s="44">
        <f>1/11</f>
        <v>9.0909090909090912E-2</v>
      </c>
      <c r="AO3" s="44">
        <v>-1</v>
      </c>
      <c r="AP3" s="40">
        <f>Сравн.Память!P3</f>
        <v>6</v>
      </c>
      <c r="AQ3" s="47">
        <f>MAX(AP3:AP6)</f>
        <v>19</v>
      </c>
      <c r="AR3" s="23">
        <f>AP3/$AQ$3</f>
        <v>0.31578947368421051</v>
      </c>
      <c r="AS3" s="45">
        <f>1/11</f>
        <v>9.0909090909090912E-2</v>
      </c>
      <c r="AT3" s="45">
        <v>1</v>
      </c>
      <c r="AU3" s="21">
        <v>1</v>
      </c>
      <c r="AV3" s="43">
        <f>MIN(AU3:AU6)</f>
        <v>0.5</v>
      </c>
      <c r="AW3" s="21">
        <f>AU3/$AV$3</f>
        <v>2</v>
      </c>
      <c r="AX3" s="43">
        <f>1/11</f>
        <v>9.0909090909090912E-2</v>
      </c>
      <c r="AY3" s="43">
        <v>-1</v>
      </c>
      <c r="AZ3" s="22">
        <v>1</v>
      </c>
      <c r="BA3" s="44">
        <f>MIN(AZ3:AZ6)</f>
        <v>0.1</v>
      </c>
      <c r="BB3" s="22">
        <f>AZ3/$BA$3</f>
        <v>10</v>
      </c>
      <c r="BC3" s="44">
        <f>1/11</f>
        <v>9.0909090909090912E-2</v>
      </c>
      <c r="BD3" s="44">
        <v>-1</v>
      </c>
      <c r="BH3" s="24">
        <f>POWER(D3,$F$3)*$E$3+POWER(I3,$K$3)*$J$3+POWER(N3,$P$3)*$O$3+POWER(S3,$U$3)*$T$3+POWER(X3,$Z$3)*$Y$3+POWER(AC3,$AE$3)*$AD$3+POWER(AH3,$AJ$3)*$AI$3+POWER(AM3,$AO$3)*$AN$3+POWER(AR3,$AT$3)*$AS$3+POWER(AW3,$AY$3)*$AX$3+POWER(BB3,$BD$3)*$BC$3</f>
        <v>0.54370276766957382</v>
      </c>
      <c r="BI3" s="42" cm="1">
        <f t="array" ref="BI3">PointMin4($BH$3,$BH$4,$BH$5,$BH$6,BH3)</f>
        <v>3</v>
      </c>
    </row>
    <row r="4" spans="1:61" x14ac:dyDescent="0.3">
      <c r="A4" s="89" t="s">
        <v>17</v>
      </c>
      <c r="B4" s="70">
        <f>'Сравн.с_физ.Кг_s1'!V3+'Сравн.с_физ.Кг_s12'!V3</f>
        <v>20</v>
      </c>
      <c r="C4" s="43"/>
      <c r="D4" s="21">
        <f t="shared" ref="D4:D6" si="0">B4/$C$3</f>
        <v>0.32258064516129031</v>
      </c>
      <c r="E4" s="43"/>
      <c r="F4" s="43"/>
      <c r="G4" s="1">
        <f>Сравн.Время!Q3</f>
        <v>10</v>
      </c>
      <c r="H4" s="44"/>
      <c r="I4" s="22">
        <f t="shared" ref="I4:I6" si="1">G4/$H$3</f>
        <v>0.7142857142857143</v>
      </c>
      <c r="J4" s="44"/>
      <c r="K4" s="44"/>
      <c r="L4" s="23">
        <f>СредаЯзык!C4</f>
        <v>2245.5</v>
      </c>
      <c r="M4" s="45"/>
      <c r="N4" s="23">
        <f t="shared" ref="N4:N6" si="2">L4/$M$3</f>
        <v>0.23300819757185845</v>
      </c>
      <c r="O4" s="45"/>
      <c r="P4" s="45"/>
      <c r="Q4" s="5">
        <v>1</v>
      </c>
      <c r="R4" s="43"/>
      <c r="S4" s="21">
        <f t="shared" ref="S4:S6" si="3">Q4/$R$3</f>
        <v>1</v>
      </c>
      <c r="T4" s="43"/>
      <c r="U4" s="43"/>
      <c r="V4" s="1">
        <v>0</v>
      </c>
      <c r="W4" s="44"/>
      <c r="X4" s="22">
        <f t="shared" ref="X4:X6" si="4">V4/$W$3</f>
        <v>0</v>
      </c>
      <c r="Y4" s="44"/>
      <c r="Z4" s="44"/>
      <c r="AA4" s="46">
        <v>10</v>
      </c>
      <c r="AB4" s="47"/>
      <c r="AC4" s="23">
        <f t="shared" ref="AC4:AC6" si="5">AA4/$AB$3</f>
        <v>1</v>
      </c>
      <c r="AD4" s="45"/>
      <c r="AE4" s="45"/>
      <c r="AF4" s="5">
        <v>1</v>
      </c>
      <c r="AG4" s="43"/>
      <c r="AH4" s="21">
        <f t="shared" ref="AH4:AH6" si="6">AF4/$AG$3</f>
        <v>100</v>
      </c>
      <c r="AI4" s="43"/>
      <c r="AJ4" s="43"/>
      <c r="AK4" s="41">
        <f>СредаЯзык!E4</f>
        <v>4</v>
      </c>
      <c r="AL4" s="48"/>
      <c r="AM4" s="22">
        <f>AK4/$AL$3</f>
        <v>1</v>
      </c>
      <c r="AN4" s="44"/>
      <c r="AO4" s="44"/>
      <c r="AP4" s="40">
        <f>Сравн.Память!Q3</f>
        <v>8</v>
      </c>
      <c r="AQ4" s="47"/>
      <c r="AR4" s="23">
        <f t="shared" ref="AR4:AR6" si="7">AP4/$AQ$3</f>
        <v>0.42105263157894735</v>
      </c>
      <c r="AS4" s="45"/>
      <c r="AT4" s="45"/>
      <c r="AU4" s="5">
        <v>0.5</v>
      </c>
      <c r="AV4" s="43"/>
      <c r="AW4" s="21">
        <f>AU4/$AV$3</f>
        <v>1</v>
      </c>
      <c r="AX4" s="43"/>
      <c r="AY4" s="43"/>
      <c r="AZ4" s="22">
        <v>0.1</v>
      </c>
      <c r="BA4" s="44"/>
      <c r="BB4" s="22">
        <f t="shared" ref="BB4:BB6" si="8">AZ4/$BA$3</f>
        <v>1</v>
      </c>
      <c r="BC4" s="44"/>
      <c r="BD4" s="44"/>
      <c r="BH4" s="24">
        <f t="shared" ref="BH4:BH6" si="9">POWER(D4,$F$3)*$E$3+POWER(I4,$K$3)*$J$3+POWER(N4,$P$3)*$O$3+POWER(S4,$U$3)*$T$3+POWER(X4,$Z$3)*$Y$3+POWER(AC4,$AE$3)*$AD$3+POWER(AH4,$AJ$3)*$AI$3+POWER(AM4,$AO$3)*$AN$3+POWER(AR4,$AT$3)*$AS$3+POWER(AW4,$AY$3)*$AX$3+POWER(BB4,$BD$3)*$BC$3</f>
        <v>0.6091751989634373</v>
      </c>
      <c r="BI4" s="42" cm="1">
        <f t="array" ref="BI4">PointMin4($BH$3,$BH$4,$BH$5,$BH$6,BH4)</f>
        <v>1</v>
      </c>
    </row>
    <row r="5" spans="1:61" x14ac:dyDescent="0.3">
      <c r="A5" s="89" t="s">
        <v>18</v>
      </c>
      <c r="B5" s="70">
        <f>'Сравн.с_физ.Кг_s1'!W3+'Сравн.с_физ.Кг_s12'!W3</f>
        <v>20</v>
      </c>
      <c r="C5" s="43"/>
      <c r="D5" s="21">
        <f t="shared" si="0"/>
        <v>0.32258064516129031</v>
      </c>
      <c r="E5" s="43"/>
      <c r="F5" s="43"/>
      <c r="G5" s="1">
        <f>Сравн.Время!R3</f>
        <v>14</v>
      </c>
      <c r="H5" s="44"/>
      <c r="I5" s="22">
        <f t="shared" si="1"/>
        <v>1</v>
      </c>
      <c r="J5" s="44"/>
      <c r="K5" s="44"/>
      <c r="L5" s="23">
        <f>СредаЯзык!C5</f>
        <v>9637</v>
      </c>
      <c r="M5" s="45"/>
      <c r="N5" s="23">
        <f t="shared" si="2"/>
        <v>1</v>
      </c>
      <c r="O5" s="45"/>
      <c r="P5" s="45"/>
      <c r="Q5" s="5">
        <v>0</v>
      </c>
      <c r="R5" s="43"/>
      <c r="S5" s="21">
        <f t="shared" si="3"/>
        <v>0</v>
      </c>
      <c r="T5" s="43"/>
      <c r="U5" s="43"/>
      <c r="V5" s="1">
        <v>0</v>
      </c>
      <c r="W5" s="44"/>
      <c r="X5" s="22">
        <f t="shared" si="4"/>
        <v>0</v>
      </c>
      <c r="Y5" s="44"/>
      <c r="Z5" s="44"/>
      <c r="AA5" s="46">
        <v>10</v>
      </c>
      <c r="AB5" s="47"/>
      <c r="AC5" s="23">
        <f t="shared" si="5"/>
        <v>1</v>
      </c>
      <c r="AD5" s="45"/>
      <c r="AE5" s="45"/>
      <c r="AF5" s="5">
        <v>1</v>
      </c>
      <c r="AG5" s="43"/>
      <c r="AH5" s="21">
        <f t="shared" si="6"/>
        <v>100</v>
      </c>
      <c r="AI5" s="43"/>
      <c r="AJ5" s="43"/>
      <c r="AK5" s="41">
        <f>СредаЯзык!E5</f>
        <v>16</v>
      </c>
      <c r="AL5" s="48"/>
      <c r="AM5" s="22">
        <f>AK5/$AL$3</f>
        <v>4</v>
      </c>
      <c r="AN5" s="44"/>
      <c r="AO5" s="44"/>
      <c r="AP5" s="40">
        <f>Сравн.Память!R3</f>
        <v>19</v>
      </c>
      <c r="AQ5" s="47"/>
      <c r="AR5" s="23">
        <f t="shared" si="7"/>
        <v>1</v>
      </c>
      <c r="AS5" s="45"/>
      <c r="AT5" s="45"/>
      <c r="AU5" s="5">
        <v>1</v>
      </c>
      <c r="AV5" s="43"/>
      <c r="AW5" s="21">
        <f t="shared" ref="AW5:AW6" si="10">AU5/$AV$3</f>
        <v>2</v>
      </c>
      <c r="AX5" s="43"/>
      <c r="AY5" s="43"/>
      <c r="AZ5" s="22">
        <v>0.1</v>
      </c>
      <c r="BA5" s="44"/>
      <c r="BB5" s="22">
        <f t="shared" si="8"/>
        <v>1</v>
      </c>
      <c r="BC5" s="44"/>
      <c r="BD5" s="44"/>
      <c r="BH5" s="24">
        <f t="shared" si="9"/>
        <v>0.55296187683284459</v>
      </c>
      <c r="BI5" s="42" cm="1">
        <f t="array" ref="BI5">PointMin4($BH$3,$BH$4,$BH$5,$BH$6,BH5)</f>
        <v>2</v>
      </c>
    </row>
    <row r="6" spans="1:61" x14ac:dyDescent="0.3">
      <c r="A6" s="89" t="s">
        <v>19</v>
      </c>
      <c r="B6" s="70">
        <f>'Сравн.с_физ.Кг_s1'!X3+'Сравн.с_физ.Кг_s12'!X3</f>
        <v>22</v>
      </c>
      <c r="C6" s="21"/>
      <c r="D6" s="21">
        <f t="shared" si="0"/>
        <v>0.35483870967741937</v>
      </c>
      <c r="E6" s="21"/>
      <c r="F6" s="21"/>
      <c r="G6" s="1">
        <f>Сравн.Время!S3</f>
        <v>13</v>
      </c>
      <c r="H6" s="22"/>
      <c r="I6" s="22">
        <f t="shared" si="1"/>
        <v>0.9285714285714286</v>
      </c>
      <c r="J6" s="22"/>
      <c r="K6" s="22"/>
      <c r="L6" s="23">
        <f>СредаЯзык!C6</f>
        <v>9637</v>
      </c>
      <c r="M6" s="23"/>
      <c r="N6" s="23">
        <f t="shared" si="2"/>
        <v>1</v>
      </c>
      <c r="O6" s="23"/>
      <c r="P6" s="23"/>
      <c r="Q6" s="5">
        <v>0</v>
      </c>
      <c r="R6" s="21"/>
      <c r="S6" s="21">
        <f t="shared" si="3"/>
        <v>0</v>
      </c>
      <c r="T6" s="21"/>
      <c r="U6" s="21"/>
      <c r="V6" s="1">
        <v>0.5</v>
      </c>
      <c r="W6" s="22"/>
      <c r="X6" s="22">
        <f t="shared" si="4"/>
        <v>0.55555555555555558</v>
      </c>
      <c r="Y6" s="22"/>
      <c r="Z6" s="22"/>
      <c r="AA6" s="46">
        <v>85</v>
      </c>
      <c r="AB6" s="40"/>
      <c r="AC6" s="23">
        <f t="shared" si="5"/>
        <v>8.5</v>
      </c>
      <c r="AD6" s="23"/>
      <c r="AE6" s="23"/>
      <c r="AF6" s="5">
        <v>0.01</v>
      </c>
      <c r="AG6" s="21"/>
      <c r="AH6" s="21">
        <f t="shared" si="6"/>
        <v>1</v>
      </c>
      <c r="AI6" s="21"/>
      <c r="AJ6" s="21"/>
      <c r="AK6" s="41">
        <f>СредаЯзык!E6</f>
        <v>16</v>
      </c>
      <c r="AL6" s="41"/>
      <c r="AM6" s="22">
        <f t="shared" ref="AM6" si="11">AK6/$AL$3</f>
        <v>4</v>
      </c>
      <c r="AN6" s="22"/>
      <c r="AO6" s="22"/>
      <c r="AP6" s="40">
        <f>Сравн.Память!S3</f>
        <v>18</v>
      </c>
      <c r="AQ6" s="40"/>
      <c r="AR6" s="23">
        <f t="shared" si="7"/>
        <v>0.94736842105263153</v>
      </c>
      <c r="AS6" s="23"/>
      <c r="AT6" s="23"/>
      <c r="AU6" s="5">
        <v>1</v>
      </c>
      <c r="AV6" s="21"/>
      <c r="AW6" s="21">
        <f t="shared" si="10"/>
        <v>2</v>
      </c>
      <c r="AX6" s="21"/>
      <c r="AY6" s="21"/>
      <c r="AZ6" s="22">
        <v>1</v>
      </c>
      <c r="BA6" s="22"/>
      <c r="BB6" s="22">
        <f t="shared" si="8"/>
        <v>10</v>
      </c>
      <c r="BC6" s="22"/>
      <c r="BD6" s="22"/>
      <c r="BH6" s="24">
        <f t="shared" si="9"/>
        <v>0.52308919760732397</v>
      </c>
      <c r="BI6" s="42" cm="1">
        <f t="array" ref="BI6">PointMin4($BH$3,$BH$4,$BH$5,$BH$6,BH6)</f>
        <v>4</v>
      </c>
    </row>
    <row r="12" spans="1:61" x14ac:dyDescent="0.3">
      <c r="A12" s="90"/>
    </row>
    <row r="13" spans="1:61" x14ac:dyDescent="0.3">
      <c r="A13" s="90"/>
    </row>
    <row r="14" spans="1:61" x14ac:dyDescent="0.3">
      <c r="A14" s="91"/>
    </row>
    <row r="15" spans="1:61" x14ac:dyDescent="0.3">
      <c r="A15" s="90"/>
    </row>
    <row r="16" spans="1:61" x14ac:dyDescent="0.3">
      <c r="A16" s="90"/>
    </row>
    <row r="17" spans="1:2" x14ac:dyDescent="0.3">
      <c r="A17" s="91"/>
      <c r="B17" s="86"/>
    </row>
    <row r="18" spans="1:2" x14ac:dyDescent="0.3">
      <c r="B18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Сравн.с_физ.Кг_s1</vt:lpstr>
      <vt:lpstr>Сравн.с_физ.Кг_s12</vt:lpstr>
      <vt:lpstr>Сравн.Время</vt:lpstr>
      <vt:lpstr>Сравн.Память</vt:lpstr>
      <vt:lpstr>СредаЯзык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Павел Волков</cp:lastModifiedBy>
  <dcterms:created xsi:type="dcterms:W3CDTF">2015-06-05T18:19:34Z</dcterms:created>
  <dcterms:modified xsi:type="dcterms:W3CDTF">2025-05-21T23:44:51Z</dcterms:modified>
</cp:coreProperties>
</file>