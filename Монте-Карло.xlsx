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ЭтаКнига"/>
  <mc:AlternateContent xmlns:mc="http://schemas.openxmlformats.org/markup-compatibility/2006">
    <mc:Choice Requires="x15">
      <x15ac:absPath xmlns:x15ac="http://schemas.microsoft.com/office/spreadsheetml/2010/11/ac" url="D:\mag\Диплом\"/>
    </mc:Choice>
  </mc:AlternateContent>
  <xr:revisionPtr revIDLastSave="0" documentId="8_{C5845F38-10B6-4A96-95F2-693351D3BDBA}" xr6:coauthVersionLast="47" xr6:coauthVersionMax="47" xr10:uidLastSave="{00000000-0000-0000-0000-000000000000}"/>
  <bookViews>
    <workbookView xWindow="-120" yWindow="-120" windowWidth="29040" windowHeight="15840" activeTab="13" xr2:uid="{00000000-000D-0000-FFFF-FFFF00000000}"/>
  </bookViews>
  <sheets>
    <sheet name="T0_1" sheetId="2" r:id="rId1"/>
    <sheet name="T0_12" sheetId="3" r:id="rId2"/>
    <sheet name="Tв_23" sheetId="4" r:id="rId3"/>
    <sheet name="Tв_3" sheetId="5" r:id="rId4"/>
    <sheet name="l_12" sheetId="10" r:id="rId5"/>
    <sheet name="l_13" sheetId="11" r:id="rId6"/>
    <sheet name="l_23" sheetId="12" r:id="rId7"/>
    <sheet name="m_21" sheetId="13" r:id="rId8"/>
    <sheet name="m_31" sheetId="14" r:id="rId9"/>
    <sheet name="m_32" sheetId="15" r:id="rId10"/>
    <sheet name="Время" sheetId="8" r:id="rId11"/>
    <sheet name="Память" sheetId="9" r:id="rId12"/>
    <sheet name="Кг_s1" sheetId="6" r:id="rId13"/>
    <sheet name="Кг_s12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7" l="1"/>
  <c r="E86" i="7"/>
  <c r="E85" i="7"/>
  <c r="E84" i="7"/>
  <c r="E83" i="7"/>
  <c r="E82" i="7"/>
  <c r="E81" i="7"/>
  <c r="E80" i="7"/>
  <c r="B87" i="7"/>
  <c r="B86" i="7"/>
  <c r="B85" i="7"/>
  <c r="B84" i="7"/>
  <c r="B83" i="7"/>
  <c r="B82" i="7"/>
  <c r="B81" i="7"/>
  <c r="B80" i="7"/>
  <c r="D87" i="7"/>
  <c r="C87" i="7"/>
  <c r="F87" i="7" s="1"/>
  <c r="G87" i="7"/>
  <c r="H87" i="7"/>
  <c r="E57" i="6"/>
  <c r="E87" i="6"/>
  <c r="E86" i="6"/>
  <c r="E85" i="6"/>
  <c r="E84" i="6"/>
  <c r="E83" i="6"/>
  <c r="E82" i="6"/>
  <c r="E81" i="6"/>
  <c r="E80" i="6"/>
  <c r="B79" i="6"/>
  <c r="B87" i="6"/>
  <c r="B86" i="6"/>
  <c r="B85" i="6"/>
  <c r="B84" i="6"/>
  <c r="B83" i="6"/>
  <c r="B82" i="6"/>
  <c r="B81" i="6"/>
  <c r="B80" i="6"/>
  <c r="D87" i="6"/>
  <c r="D88" i="9"/>
  <c r="E88" i="9" s="1"/>
  <c r="H88" i="9"/>
  <c r="I88" i="9" s="1"/>
  <c r="D88" i="15"/>
  <c r="E88" i="15" s="1"/>
  <c r="G88" i="15"/>
  <c r="K88" i="15"/>
  <c r="D88" i="14"/>
  <c r="E88" i="14" s="1"/>
  <c r="D88" i="13"/>
  <c r="E88" i="13" s="1"/>
  <c r="H88" i="13"/>
  <c r="I88" i="13" s="1"/>
  <c r="D88" i="12"/>
  <c r="G88" i="12" s="1"/>
  <c r="K88" i="12" s="1"/>
  <c r="E88" i="12"/>
  <c r="F88" i="12"/>
  <c r="D88" i="11"/>
  <c r="E88" i="11" s="1"/>
  <c r="H88" i="11"/>
  <c r="I88" i="11"/>
  <c r="L88" i="11" s="1"/>
  <c r="D88" i="10"/>
  <c r="E88" i="10" s="1"/>
  <c r="G88" i="10"/>
  <c r="K88" i="10" s="1"/>
  <c r="D88" i="5"/>
  <c r="G88" i="5" s="1"/>
  <c r="K88" i="5" s="1"/>
  <c r="E88" i="5"/>
  <c r="F88" i="5"/>
  <c r="C87" i="6"/>
  <c r="G87" i="6"/>
  <c r="H87" i="6"/>
  <c r="D88" i="4"/>
  <c r="E88" i="4" s="1"/>
  <c r="D79" i="3"/>
  <c r="E79" i="3" s="1"/>
  <c r="A74" i="3"/>
  <c r="D74" i="3"/>
  <c r="E74" i="3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4" i="10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4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5" i="3" s="1"/>
  <c r="A76" i="3" s="1"/>
  <c r="A77" i="3" s="1"/>
  <c r="A78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D79" i="8"/>
  <c r="E79" i="8" s="1"/>
  <c r="D80" i="8"/>
  <c r="E80" i="8" s="1"/>
  <c r="H80" i="8"/>
  <c r="I80" i="8" s="1"/>
  <c r="D81" i="8"/>
  <c r="E81" i="8" s="1"/>
  <c r="D82" i="8"/>
  <c r="E82" i="8" s="1"/>
  <c r="F82" i="8"/>
  <c r="D83" i="8"/>
  <c r="F83" i="8" s="1"/>
  <c r="D84" i="8"/>
  <c r="G84" i="8" s="1"/>
  <c r="K84" i="8" s="1"/>
  <c r="F84" i="8"/>
  <c r="D85" i="8"/>
  <c r="G85" i="8" s="1"/>
  <c r="K85" i="8" s="1"/>
  <c r="F85" i="8"/>
  <c r="D86" i="8"/>
  <c r="E86" i="8" s="1"/>
  <c r="D87" i="8"/>
  <c r="E87" i="8" s="1"/>
  <c r="D80" i="9"/>
  <c r="G80" i="9" s="1"/>
  <c r="K80" i="9" s="1"/>
  <c r="D81" i="9"/>
  <c r="E81" i="9" s="1"/>
  <c r="D82" i="9"/>
  <c r="E82" i="9" s="1"/>
  <c r="D83" i="9"/>
  <c r="E83" i="9" s="1"/>
  <c r="D84" i="9"/>
  <c r="E84" i="9" s="1"/>
  <c r="D85" i="9"/>
  <c r="E85" i="9" s="1"/>
  <c r="D86" i="9"/>
  <c r="E86" i="9" s="1"/>
  <c r="D87" i="9"/>
  <c r="E87" i="9" s="1"/>
  <c r="D79" i="7"/>
  <c r="F79" i="7"/>
  <c r="C80" i="7"/>
  <c r="C81" i="7"/>
  <c r="C82" i="7"/>
  <c r="C83" i="7"/>
  <c r="C84" i="7"/>
  <c r="C85" i="7"/>
  <c r="C86" i="7"/>
  <c r="D80" i="15"/>
  <c r="E80" i="15" s="1"/>
  <c r="D81" i="15"/>
  <c r="E81" i="15" s="1"/>
  <c r="D82" i="15"/>
  <c r="E82" i="15" s="1"/>
  <c r="D83" i="15"/>
  <c r="G83" i="15" s="1"/>
  <c r="K83" i="15" s="1"/>
  <c r="D84" i="15"/>
  <c r="F84" i="15" s="1"/>
  <c r="D85" i="15"/>
  <c r="G85" i="15" s="1"/>
  <c r="K85" i="15" s="1"/>
  <c r="D86" i="15"/>
  <c r="E86" i="15" s="1"/>
  <c r="D87" i="15"/>
  <c r="E87" i="15" s="1"/>
  <c r="D80" i="14"/>
  <c r="E80" i="14" s="1"/>
  <c r="D81" i="14"/>
  <c r="E81" i="14" s="1"/>
  <c r="G81" i="14"/>
  <c r="K81" i="14" s="1"/>
  <c r="D82" i="14"/>
  <c r="E82" i="14" s="1"/>
  <c r="D83" i="14"/>
  <c r="G83" i="14" s="1"/>
  <c r="K83" i="14" s="1"/>
  <c r="D84" i="14"/>
  <c r="H84" i="14" s="1"/>
  <c r="I84" i="14" s="1"/>
  <c r="D85" i="14"/>
  <c r="G85" i="14" s="1"/>
  <c r="K85" i="14" s="1"/>
  <c r="D86" i="14"/>
  <c r="F86" i="14" s="1"/>
  <c r="D87" i="14"/>
  <c r="E87" i="14" s="1"/>
  <c r="D80" i="13"/>
  <c r="G80" i="13" s="1"/>
  <c r="K80" i="13" s="1"/>
  <c r="E80" i="13"/>
  <c r="D81" i="13"/>
  <c r="E81" i="13" s="1"/>
  <c r="D82" i="13"/>
  <c r="E82" i="13" s="1"/>
  <c r="D83" i="13"/>
  <c r="E83" i="13" s="1"/>
  <c r="D84" i="13"/>
  <c r="H84" i="13" s="1"/>
  <c r="I84" i="13" s="1"/>
  <c r="D85" i="13"/>
  <c r="G85" i="13" s="1"/>
  <c r="K85" i="13" s="1"/>
  <c r="F85" i="13"/>
  <c r="D86" i="13"/>
  <c r="F86" i="13" s="1"/>
  <c r="D87" i="13"/>
  <c r="E87" i="13" s="1"/>
  <c r="D80" i="12"/>
  <c r="E80" i="12" s="1"/>
  <c r="D81" i="12"/>
  <c r="E81" i="12" s="1"/>
  <c r="H81" i="12"/>
  <c r="I81" i="12" s="1"/>
  <c r="D82" i="12"/>
  <c r="E82" i="12" s="1"/>
  <c r="D83" i="12"/>
  <c r="E83" i="12" s="1"/>
  <c r="D84" i="12"/>
  <c r="F84" i="12" s="1"/>
  <c r="D85" i="12"/>
  <c r="G85" i="12" s="1"/>
  <c r="K85" i="12" s="1"/>
  <c r="F85" i="12"/>
  <c r="D86" i="12"/>
  <c r="F86" i="12" s="1"/>
  <c r="E86" i="12"/>
  <c r="D87" i="12"/>
  <c r="E87" i="12" s="1"/>
  <c r="D80" i="11"/>
  <c r="E80" i="11" s="1"/>
  <c r="D81" i="11"/>
  <c r="E81" i="11" s="1"/>
  <c r="D82" i="11"/>
  <c r="E82" i="11" s="1"/>
  <c r="D83" i="11"/>
  <c r="E83" i="11" s="1"/>
  <c r="D84" i="11"/>
  <c r="H84" i="11" s="1"/>
  <c r="I84" i="11" s="1"/>
  <c r="D85" i="11"/>
  <c r="G85" i="11" s="1"/>
  <c r="K85" i="11" s="1"/>
  <c r="F85" i="11"/>
  <c r="D86" i="11"/>
  <c r="F86" i="11" s="1"/>
  <c r="D87" i="11"/>
  <c r="E87" i="11" s="1"/>
  <c r="D80" i="10"/>
  <c r="E80" i="10" s="1"/>
  <c r="G80" i="10"/>
  <c r="K80" i="10" s="1"/>
  <c r="D81" i="10"/>
  <c r="E81" i="10" s="1"/>
  <c r="D82" i="10"/>
  <c r="E82" i="10" s="1"/>
  <c r="D83" i="10"/>
  <c r="F83" i="10" s="1"/>
  <c r="D84" i="10"/>
  <c r="H84" i="10" s="1"/>
  <c r="I84" i="10" s="1"/>
  <c r="D85" i="10"/>
  <c r="G85" i="10" s="1"/>
  <c r="K85" i="10" s="1"/>
  <c r="D86" i="10"/>
  <c r="F86" i="10" s="1"/>
  <c r="D87" i="10"/>
  <c r="E87" i="10" s="1"/>
  <c r="D80" i="5"/>
  <c r="E80" i="5" s="1"/>
  <c r="D81" i="5"/>
  <c r="E81" i="5" s="1"/>
  <c r="D82" i="5"/>
  <c r="E82" i="5" s="1"/>
  <c r="D83" i="5"/>
  <c r="E83" i="5" s="1"/>
  <c r="D84" i="5"/>
  <c r="F84" i="5" s="1"/>
  <c r="H84" i="5"/>
  <c r="I84" i="5" s="1"/>
  <c r="G83" i="7" s="1"/>
  <c r="D85" i="5"/>
  <c r="G85" i="5" s="1"/>
  <c r="K85" i="5" s="1"/>
  <c r="D86" i="5"/>
  <c r="E86" i="5" s="1"/>
  <c r="D87" i="5"/>
  <c r="E87" i="5" s="1"/>
  <c r="D80" i="4"/>
  <c r="E80" i="4" s="1"/>
  <c r="D81" i="4"/>
  <c r="E81" i="4" s="1"/>
  <c r="D82" i="4"/>
  <c r="E82" i="4" s="1"/>
  <c r="D83" i="4"/>
  <c r="E83" i="4" s="1"/>
  <c r="D84" i="4"/>
  <c r="E84" i="4" s="1"/>
  <c r="D85" i="4"/>
  <c r="G85" i="4" s="1"/>
  <c r="K85" i="4" s="1"/>
  <c r="D86" i="4"/>
  <c r="F86" i="4" s="1"/>
  <c r="D87" i="4"/>
  <c r="E87" i="4" s="1"/>
  <c r="D81" i="3"/>
  <c r="E81" i="3" s="1"/>
  <c r="D82" i="3"/>
  <c r="E82" i="3" s="1"/>
  <c r="D83" i="3"/>
  <c r="E83" i="3" s="1"/>
  <c r="D84" i="3"/>
  <c r="E84" i="3" s="1"/>
  <c r="D85" i="3"/>
  <c r="F85" i="3" s="1"/>
  <c r="D86" i="3"/>
  <c r="G86" i="3" s="1"/>
  <c r="K86" i="3" s="1"/>
  <c r="D87" i="3"/>
  <c r="E87" i="3" s="1"/>
  <c r="D88" i="3"/>
  <c r="E88" i="3" s="1"/>
  <c r="D81" i="2"/>
  <c r="E81" i="2" s="1"/>
  <c r="D82" i="2"/>
  <c r="E82" i="2" s="1"/>
  <c r="D83" i="2"/>
  <c r="E83" i="2" s="1"/>
  <c r="D84" i="2"/>
  <c r="G84" i="2" s="1"/>
  <c r="K84" i="2" s="1"/>
  <c r="D85" i="2"/>
  <c r="H85" i="2" s="1"/>
  <c r="I85" i="2" s="1"/>
  <c r="D86" i="2"/>
  <c r="G86" i="2" s="1"/>
  <c r="K86" i="2" s="1"/>
  <c r="D87" i="2"/>
  <c r="E87" i="2" s="1"/>
  <c r="D88" i="2"/>
  <c r="G88" i="2" s="1"/>
  <c r="K88" i="2" s="1"/>
  <c r="C79" i="6"/>
  <c r="C80" i="6"/>
  <c r="C81" i="6"/>
  <c r="C82" i="6"/>
  <c r="C83" i="6"/>
  <c r="F83" i="6" s="1"/>
  <c r="C84" i="6"/>
  <c r="C85" i="6"/>
  <c r="C86" i="6"/>
  <c r="I87" i="7" l="1"/>
  <c r="J87" i="7" s="1"/>
  <c r="K87" i="7"/>
  <c r="F87" i="6"/>
  <c r="I87" i="6" s="1"/>
  <c r="J87" i="6" s="1"/>
  <c r="L88" i="9"/>
  <c r="J88" i="9"/>
  <c r="G88" i="9"/>
  <c r="K88" i="9" s="1"/>
  <c r="F88" i="9"/>
  <c r="F80" i="9"/>
  <c r="H86" i="9"/>
  <c r="I86" i="9" s="1"/>
  <c r="E80" i="9"/>
  <c r="E85" i="8"/>
  <c r="H82" i="8"/>
  <c r="I82" i="8" s="1"/>
  <c r="G81" i="8"/>
  <c r="K81" i="8" s="1"/>
  <c r="H83" i="8"/>
  <c r="I83" i="8" s="1"/>
  <c r="L83" i="8" s="1"/>
  <c r="G83" i="8"/>
  <c r="K83" i="8" s="1"/>
  <c r="E83" i="8"/>
  <c r="H88" i="15"/>
  <c r="I88" i="15" s="1"/>
  <c r="F88" i="15"/>
  <c r="H88" i="14"/>
  <c r="I88" i="14" s="1"/>
  <c r="G88" i="14"/>
  <c r="K88" i="14" s="1"/>
  <c r="F88" i="14"/>
  <c r="H80" i="14"/>
  <c r="I80" i="14" s="1"/>
  <c r="L80" i="14" s="1"/>
  <c r="F80" i="13"/>
  <c r="L88" i="13"/>
  <c r="J88" i="13"/>
  <c r="G88" i="13"/>
  <c r="K88" i="13" s="1"/>
  <c r="F88" i="13"/>
  <c r="H88" i="12"/>
  <c r="I88" i="12" s="1"/>
  <c r="H84" i="12"/>
  <c r="I84" i="12" s="1"/>
  <c r="J84" i="12" s="1"/>
  <c r="E84" i="12"/>
  <c r="H86" i="12"/>
  <c r="I86" i="12" s="1"/>
  <c r="G86" i="12"/>
  <c r="K86" i="12" s="1"/>
  <c r="J88" i="11"/>
  <c r="G88" i="11"/>
  <c r="K88" i="11" s="1"/>
  <c r="F88" i="11"/>
  <c r="H80" i="11"/>
  <c r="I80" i="11" s="1"/>
  <c r="L80" i="11" s="1"/>
  <c r="H81" i="11"/>
  <c r="I81" i="11" s="1"/>
  <c r="G84" i="11"/>
  <c r="K84" i="11" s="1"/>
  <c r="E84" i="11"/>
  <c r="H80" i="10"/>
  <c r="I80" i="10" s="1"/>
  <c r="L80" i="10" s="1"/>
  <c r="H88" i="10"/>
  <c r="I88" i="10" s="1"/>
  <c r="F88" i="10"/>
  <c r="H88" i="5"/>
  <c r="I88" i="5" s="1"/>
  <c r="G84" i="5"/>
  <c r="K84" i="5" s="1"/>
  <c r="H84" i="7"/>
  <c r="H81" i="5"/>
  <c r="I81" i="5" s="1"/>
  <c r="G80" i="7" s="1"/>
  <c r="K87" i="6"/>
  <c r="H88" i="4"/>
  <c r="I88" i="4" s="1"/>
  <c r="G88" i="4"/>
  <c r="K88" i="4" s="1"/>
  <c r="F88" i="4"/>
  <c r="H79" i="3"/>
  <c r="I79" i="3" s="1"/>
  <c r="G79" i="3"/>
  <c r="K79" i="3" s="1"/>
  <c r="F79" i="3"/>
  <c r="H74" i="3"/>
  <c r="I74" i="3" s="1"/>
  <c r="G74" i="3"/>
  <c r="K74" i="3" s="1"/>
  <c r="F74" i="3"/>
  <c r="H79" i="7"/>
  <c r="H86" i="7"/>
  <c r="D82" i="7"/>
  <c r="F86" i="3"/>
  <c r="H80" i="7"/>
  <c r="E85" i="3"/>
  <c r="F83" i="7"/>
  <c r="G86" i="9"/>
  <c r="K86" i="9" s="1"/>
  <c r="F86" i="9"/>
  <c r="H85" i="9"/>
  <c r="I85" i="9" s="1"/>
  <c r="J85" i="9" s="1"/>
  <c r="G85" i="9"/>
  <c r="K85" i="9" s="1"/>
  <c r="F85" i="9"/>
  <c r="H84" i="9"/>
  <c r="I84" i="9" s="1"/>
  <c r="J84" i="9" s="1"/>
  <c r="G84" i="9"/>
  <c r="K84" i="9" s="1"/>
  <c r="H83" i="9"/>
  <c r="I83" i="9" s="1"/>
  <c r="J83" i="9" s="1"/>
  <c r="J82" i="8"/>
  <c r="L82" i="8"/>
  <c r="J83" i="8"/>
  <c r="L80" i="8"/>
  <c r="J80" i="8"/>
  <c r="E84" i="8"/>
  <c r="G82" i="8"/>
  <c r="K82" i="8" s="1"/>
  <c r="H81" i="8"/>
  <c r="I81" i="8" s="1"/>
  <c r="H87" i="8"/>
  <c r="I87" i="8" s="1"/>
  <c r="F81" i="8"/>
  <c r="G80" i="8"/>
  <c r="K80" i="8" s="1"/>
  <c r="H79" i="8"/>
  <c r="I79" i="8" s="1"/>
  <c r="G87" i="8"/>
  <c r="K87" i="8" s="1"/>
  <c r="H86" i="8"/>
  <c r="I86" i="8" s="1"/>
  <c r="F80" i="8"/>
  <c r="G79" i="8"/>
  <c r="K79" i="8" s="1"/>
  <c r="F87" i="8"/>
  <c r="G86" i="8"/>
  <c r="K86" i="8" s="1"/>
  <c r="H85" i="8"/>
  <c r="I85" i="8" s="1"/>
  <c r="F79" i="8"/>
  <c r="F86" i="8"/>
  <c r="H84" i="8"/>
  <c r="I84" i="8" s="1"/>
  <c r="J86" i="9"/>
  <c r="L86" i="9"/>
  <c r="F84" i="9"/>
  <c r="G83" i="9"/>
  <c r="K83" i="9" s="1"/>
  <c r="H82" i="9"/>
  <c r="I82" i="9" s="1"/>
  <c r="F83" i="9"/>
  <c r="G82" i="9"/>
  <c r="K82" i="9" s="1"/>
  <c r="H81" i="9"/>
  <c r="I81" i="9" s="1"/>
  <c r="F82" i="9"/>
  <c r="G81" i="9"/>
  <c r="K81" i="9" s="1"/>
  <c r="H80" i="9"/>
  <c r="I80" i="9" s="1"/>
  <c r="H87" i="9"/>
  <c r="I87" i="9" s="1"/>
  <c r="F81" i="9"/>
  <c r="G87" i="9"/>
  <c r="K87" i="9" s="1"/>
  <c r="F87" i="9"/>
  <c r="H87" i="15"/>
  <c r="I87" i="15" s="1"/>
  <c r="L87" i="15" s="1"/>
  <c r="D86" i="7"/>
  <c r="G86" i="13"/>
  <c r="K86" i="13" s="1"/>
  <c r="E86" i="13"/>
  <c r="H86" i="13"/>
  <c r="I86" i="13" s="1"/>
  <c r="J86" i="13" s="1"/>
  <c r="E86" i="11"/>
  <c r="E86" i="10"/>
  <c r="H86" i="5"/>
  <c r="I86" i="5" s="1"/>
  <c r="G85" i="7" s="1"/>
  <c r="G86" i="5"/>
  <c r="K86" i="5" s="1"/>
  <c r="F86" i="5"/>
  <c r="H85" i="7"/>
  <c r="E86" i="4"/>
  <c r="H87" i="3"/>
  <c r="I87" i="3" s="1"/>
  <c r="G87" i="3"/>
  <c r="K87" i="3" s="1"/>
  <c r="F87" i="3"/>
  <c r="F85" i="7"/>
  <c r="H85" i="13"/>
  <c r="I85" i="13" s="1"/>
  <c r="J85" i="13" s="1"/>
  <c r="F85" i="10"/>
  <c r="F85" i="5"/>
  <c r="F85" i="4"/>
  <c r="F84" i="7"/>
  <c r="D84" i="7"/>
  <c r="H84" i="6"/>
  <c r="J87" i="15"/>
  <c r="G87" i="15"/>
  <c r="K87" i="15" s="1"/>
  <c r="F87" i="15"/>
  <c r="H84" i="15"/>
  <c r="I84" i="15" s="1"/>
  <c r="J84" i="15" s="1"/>
  <c r="E84" i="15"/>
  <c r="H86" i="15"/>
  <c r="I86" i="15" s="1"/>
  <c r="J86" i="15" s="1"/>
  <c r="E83" i="15"/>
  <c r="G86" i="15"/>
  <c r="K86" i="15" s="1"/>
  <c r="F86" i="15"/>
  <c r="E84" i="14"/>
  <c r="G84" i="13"/>
  <c r="K84" i="13" s="1"/>
  <c r="G84" i="12"/>
  <c r="K84" i="12" s="1"/>
  <c r="G84" i="10"/>
  <c r="K84" i="10" s="1"/>
  <c r="E84" i="10"/>
  <c r="E84" i="5"/>
  <c r="H84" i="4"/>
  <c r="I84" i="4" s="1"/>
  <c r="J84" i="4" s="1"/>
  <c r="G84" i="4"/>
  <c r="K84" i="4" s="1"/>
  <c r="F84" i="4"/>
  <c r="H85" i="3"/>
  <c r="I85" i="3" s="1"/>
  <c r="G85" i="3"/>
  <c r="K85" i="3" s="1"/>
  <c r="D83" i="7"/>
  <c r="H83" i="7"/>
  <c r="F83" i="15"/>
  <c r="H83" i="12"/>
  <c r="I83" i="12" s="1"/>
  <c r="J83" i="12" s="1"/>
  <c r="F83" i="12"/>
  <c r="H83" i="11"/>
  <c r="I83" i="11" s="1"/>
  <c r="J83" i="11" s="1"/>
  <c r="G83" i="11"/>
  <c r="K83" i="11" s="1"/>
  <c r="F83" i="11"/>
  <c r="H83" i="5"/>
  <c r="I83" i="5" s="1"/>
  <c r="G82" i="7" s="1"/>
  <c r="F83" i="5"/>
  <c r="G83" i="4"/>
  <c r="K83" i="4" s="1"/>
  <c r="H84" i="3"/>
  <c r="I84" i="3" s="1"/>
  <c r="F84" i="6"/>
  <c r="H80" i="6"/>
  <c r="E84" i="2"/>
  <c r="D79" i="6"/>
  <c r="F88" i="2"/>
  <c r="D86" i="6"/>
  <c r="E85" i="2"/>
  <c r="H85" i="6"/>
  <c r="E88" i="2"/>
  <c r="H87" i="2"/>
  <c r="I87" i="2" s="1"/>
  <c r="L87" i="2" s="1"/>
  <c r="H81" i="2"/>
  <c r="I81" i="2" s="1"/>
  <c r="L81" i="2" s="1"/>
  <c r="D84" i="6"/>
  <c r="G87" i="2"/>
  <c r="K87" i="2" s="1"/>
  <c r="H88" i="2"/>
  <c r="I88" i="2" s="1"/>
  <c r="F87" i="2"/>
  <c r="H82" i="2"/>
  <c r="I82" i="2" s="1"/>
  <c r="J82" i="2" s="1"/>
  <c r="H86" i="6"/>
  <c r="F79" i="6"/>
  <c r="F85" i="6"/>
  <c r="D83" i="6"/>
  <c r="F83" i="14"/>
  <c r="E83" i="14"/>
  <c r="H83" i="13"/>
  <c r="I83" i="13" s="1"/>
  <c r="J83" i="13" s="1"/>
  <c r="E83" i="10"/>
  <c r="H83" i="10"/>
  <c r="I83" i="10" s="1"/>
  <c r="J83" i="10" s="1"/>
  <c r="G83" i="10"/>
  <c r="K83" i="10" s="1"/>
  <c r="H83" i="4"/>
  <c r="I83" i="4" s="1"/>
  <c r="J83" i="4" s="1"/>
  <c r="F83" i="4"/>
  <c r="H82" i="6"/>
  <c r="F84" i="3"/>
  <c r="H82" i="7"/>
  <c r="F84" i="2"/>
  <c r="D82" i="6"/>
  <c r="F82" i="15"/>
  <c r="G82" i="14"/>
  <c r="K82" i="14" s="1"/>
  <c r="F82" i="11"/>
  <c r="G82" i="5"/>
  <c r="K82" i="5" s="1"/>
  <c r="G82" i="4"/>
  <c r="K82" i="4" s="1"/>
  <c r="G82" i="15"/>
  <c r="K82" i="15" s="1"/>
  <c r="F82" i="14"/>
  <c r="G82" i="12"/>
  <c r="K82" i="12" s="1"/>
  <c r="H82" i="11"/>
  <c r="I82" i="11" s="1"/>
  <c r="J82" i="11" s="1"/>
  <c r="G82" i="11"/>
  <c r="K82" i="11" s="1"/>
  <c r="H82" i="10"/>
  <c r="I82" i="10" s="1"/>
  <c r="J82" i="10" s="1"/>
  <c r="G82" i="10"/>
  <c r="K82" i="10" s="1"/>
  <c r="F82" i="10"/>
  <c r="H81" i="7"/>
  <c r="H82" i="4"/>
  <c r="I82" i="4" s="1"/>
  <c r="J82" i="4" s="1"/>
  <c r="H81" i="6"/>
  <c r="G83" i="3"/>
  <c r="K83" i="3" s="1"/>
  <c r="F81" i="7"/>
  <c r="G83" i="2"/>
  <c r="K83" i="2" s="1"/>
  <c r="F83" i="2"/>
  <c r="F81" i="6"/>
  <c r="H81" i="15"/>
  <c r="I81" i="15" s="1"/>
  <c r="L81" i="15" s="1"/>
  <c r="G81" i="15"/>
  <c r="K81" i="15" s="1"/>
  <c r="H81" i="14"/>
  <c r="I81" i="14" s="1"/>
  <c r="L81" i="14" s="1"/>
  <c r="G81" i="11"/>
  <c r="K81" i="11" s="1"/>
  <c r="H81" i="10"/>
  <c r="I81" i="10" s="1"/>
  <c r="J81" i="10" s="1"/>
  <c r="G81" i="10"/>
  <c r="K81" i="10" s="1"/>
  <c r="F81" i="10"/>
  <c r="H81" i="4"/>
  <c r="I81" i="4" s="1"/>
  <c r="L81" i="4" s="1"/>
  <c r="H82" i="3"/>
  <c r="I82" i="3" s="1"/>
  <c r="F80" i="7"/>
  <c r="D80" i="7"/>
  <c r="G82" i="2"/>
  <c r="K82" i="2" s="1"/>
  <c r="D85" i="7"/>
  <c r="D81" i="7"/>
  <c r="F86" i="7"/>
  <c r="F82" i="7"/>
  <c r="L86" i="15"/>
  <c r="F85" i="15"/>
  <c r="G84" i="15"/>
  <c r="K84" i="15" s="1"/>
  <c r="H83" i="15"/>
  <c r="I83" i="15" s="1"/>
  <c r="E85" i="15"/>
  <c r="H82" i="15"/>
  <c r="I82" i="15" s="1"/>
  <c r="H80" i="15"/>
  <c r="I80" i="15" s="1"/>
  <c r="F81" i="15"/>
  <c r="G80" i="15"/>
  <c r="K80" i="15" s="1"/>
  <c r="F80" i="15"/>
  <c r="H85" i="15"/>
  <c r="I85" i="15" s="1"/>
  <c r="J84" i="14"/>
  <c r="L84" i="14"/>
  <c r="E86" i="14"/>
  <c r="F85" i="14"/>
  <c r="G84" i="14"/>
  <c r="K84" i="14" s="1"/>
  <c r="H83" i="14"/>
  <c r="I83" i="14" s="1"/>
  <c r="E85" i="14"/>
  <c r="F84" i="14"/>
  <c r="H82" i="14"/>
  <c r="I82" i="14" s="1"/>
  <c r="H87" i="14"/>
  <c r="I87" i="14" s="1"/>
  <c r="F81" i="14"/>
  <c r="G80" i="14"/>
  <c r="K80" i="14" s="1"/>
  <c r="G87" i="14"/>
  <c r="K87" i="14" s="1"/>
  <c r="H86" i="14"/>
  <c r="I86" i="14" s="1"/>
  <c r="F80" i="14"/>
  <c r="F87" i="14"/>
  <c r="G86" i="14"/>
  <c r="K86" i="14" s="1"/>
  <c r="H85" i="14"/>
  <c r="I85" i="14" s="1"/>
  <c r="J84" i="13"/>
  <c r="L84" i="13"/>
  <c r="E85" i="13"/>
  <c r="F84" i="13"/>
  <c r="G83" i="13"/>
  <c r="K83" i="13" s="1"/>
  <c r="H82" i="13"/>
  <c r="I82" i="13" s="1"/>
  <c r="E84" i="13"/>
  <c r="F83" i="13"/>
  <c r="G82" i="13"/>
  <c r="K82" i="13" s="1"/>
  <c r="H81" i="13"/>
  <c r="I81" i="13" s="1"/>
  <c r="F82" i="13"/>
  <c r="G81" i="13"/>
  <c r="K81" i="13" s="1"/>
  <c r="H80" i="13"/>
  <c r="I80" i="13" s="1"/>
  <c r="H87" i="13"/>
  <c r="I87" i="13" s="1"/>
  <c r="F81" i="13"/>
  <c r="G87" i="13"/>
  <c r="K87" i="13" s="1"/>
  <c r="F87" i="13"/>
  <c r="L83" i="12"/>
  <c r="L84" i="12"/>
  <c r="J86" i="12"/>
  <c r="L86" i="12"/>
  <c r="L81" i="12"/>
  <c r="J81" i="12"/>
  <c r="E85" i="12"/>
  <c r="G83" i="12"/>
  <c r="K83" i="12" s="1"/>
  <c r="H82" i="12"/>
  <c r="I82" i="12" s="1"/>
  <c r="F82" i="12"/>
  <c r="G81" i="12"/>
  <c r="K81" i="12" s="1"/>
  <c r="H80" i="12"/>
  <c r="I80" i="12" s="1"/>
  <c r="H87" i="12"/>
  <c r="I87" i="12" s="1"/>
  <c r="F81" i="12"/>
  <c r="G80" i="12"/>
  <c r="K80" i="12" s="1"/>
  <c r="G87" i="12"/>
  <c r="K87" i="12" s="1"/>
  <c r="F80" i="12"/>
  <c r="F87" i="12"/>
  <c r="H85" i="12"/>
  <c r="I85" i="12" s="1"/>
  <c r="L83" i="11"/>
  <c r="L81" i="11"/>
  <c r="J81" i="11"/>
  <c r="J84" i="11"/>
  <c r="L84" i="11"/>
  <c r="E85" i="11"/>
  <c r="F84" i="11"/>
  <c r="J80" i="11"/>
  <c r="H87" i="11"/>
  <c r="I87" i="11" s="1"/>
  <c r="F81" i="11"/>
  <c r="G80" i="11"/>
  <c r="K80" i="11" s="1"/>
  <c r="G87" i="11"/>
  <c r="K87" i="11" s="1"/>
  <c r="H86" i="11"/>
  <c r="I86" i="11" s="1"/>
  <c r="L82" i="11"/>
  <c r="F80" i="11"/>
  <c r="F87" i="11"/>
  <c r="G86" i="11"/>
  <c r="K86" i="11" s="1"/>
  <c r="H85" i="11"/>
  <c r="I85" i="11" s="1"/>
  <c r="J84" i="10"/>
  <c r="L84" i="10"/>
  <c r="L81" i="10"/>
  <c r="E85" i="10"/>
  <c r="F84" i="10"/>
  <c r="H87" i="10"/>
  <c r="I87" i="10" s="1"/>
  <c r="G87" i="10"/>
  <c r="K87" i="10" s="1"/>
  <c r="H86" i="10"/>
  <c r="I86" i="10" s="1"/>
  <c r="F80" i="10"/>
  <c r="F87" i="10"/>
  <c r="G86" i="10"/>
  <c r="K86" i="10" s="1"/>
  <c r="H85" i="10"/>
  <c r="I85" i="10" s="1"/>
  <c r="J83" i="5"/>
  <c r="L83" i="5"/>
  <c r="J84" i="5"/>
  <c r="L84" i="5"/>
  <c r="J86" i="5"/>
  <c r="L86" i="5"/>
  <c r="L81" i="5"/>
  <c r="J81" i="5"/>
  <c r="E85" i="5"/>
  <c r="G83" i="5"/>
  <c r="K83" i="5" s="1"/>
  <c r="H82" i="5"/>
  <c r="I82" i="5" s="1"/>
  <c r="G81" i="7" s="1"/>
  <c r="F82" i="5"/>
  <c r="G81" i="5"/>
  <c r="K81" i="5" s="1"/>
  <c r="H80" i="5"/>
  <c r="I80" i="5" s="1"/>
  <c r="G79" i="7" s="1"/>
  <c r="H87" i="5"/>
  <c r="I87" i="5" s="1"/>
  <c r="G86" i="7" s="1"/>
  <c r="F81" i="5"/>
  <c r="G80" i="5"/>
  <c r="K80" i="5" s="1"/>
  <c r="G87" i="5"/>
  <c r="K87" i="5" s="1"/>
  <c r="F80" i="5"/>
  <c r="F87" i="5"/>
  <c r="H85" i="5"/>
  <c r="I85" i="5" s="1"/>
  <c r="G84" i="7" s="1"/>
  <c r="G83" i="6"/>
  <c r="L84" i="4"/>
  <c r="J81" i="4"/>
  <c r="E85" i="4"/>
  <c r="F82" i="4"/>
  <c r="G81" i="4"/>
  <c r="K81" i="4" s="1"/>
  <c r="H80" i="4"/>
  <c r="I80" i="4" s="1"/>
  <c r="H87" i="4"/>
  <c r="I87" i="4" s="1"/>
  <c r="F81" i="4"/>
  <c r="G80" i="4"/>
  <c r="K80" i="4" s="1"/>
  <c r="G87" i="4"/>
  <c r="K87" i="4" s="1"/>
  <c r="H86" i="4"/>
  <c r="I86" i="4" s="1"/>
  <c r="F80" i="4"/>
  <c r="F87" i="4"/>
  <c r="G86" i="4"/>
  <c r="K86" i="4" s="1"/>
  <c r="H85" i="4"/>
  <c r="I85" i="4" s="1"/>
  <c r="L84" i="3"/>
  <c r="E86" i="3"/>
  <c r="G84" i="3"/>
  <c r="K84" i="3" s="1"/>
  <c r="H83" i="3"/>
  <c r="I83" i="3" s="1"/>
  <c r="F83" i="3"/>
  <c r="G82" i="3"/>
  <c r="K82" i="3" s="1"/>
  <c r="H81" i="3"/>
  <c r="I81" i="3" s="1"/>
  <c r="E79" i="7" s="1"/>
  <c r="H88" i="3"/>
  <c r="I88" i="3" s="1"/>
  <c r="F82" i="3"/>
  <c r="G81" i="3"/>
  <c r="K81" i="3" s="1"/>
  <c r="G88" i="3"/>
  <c r="K88" i="3" s="1"/>
  <c r="F81" i="3"/>
  <c r="F88" i="3"/>
  <c r="H86" i="3"/>
  <c r="I86" i="3" s="1"/>
  <c r="J85" i="2"/>
  <c r="L85" i="2"/>
  <c r="L88" i="2"/>
  <c r="F86" i="2"/>
  <c r="G85" i="2"/>
  <c r="K85" i="2" s="1"/>
  <c r="H84" i="2"/>
  <c r="I84" i="2" s="1"/>
  <c r="E86" i="2"/>
  <c r="F85" i="2"/>
  <c r="H83" i="2"/>
  <c r="I83" i="2" s="1"/>
  <c r="F82" i="2"/>
  <c r="G81" i="2"/>
  <c r="K81" i="2" s="1"/>
  <c r="F81" i="2"/>
  <c r="H86" i="2"/>
  <c r="I86" i="2" s="1"/>
  <c r="D80" i="6"/>
  <c r="F80" i="6"/>
  <c r="D85" i="6"/>
  <c r="H83" i="6"/>
  <c r="D81" i="6"/>
  <c r="H79" i="6"/>
  <c r="F86" i="6"/>
  <c r="F82" i="6"/>
  <c r="L88" i="15" l="1"/>
  <c r="J88" i="15"/>
  <c r="L88" i="14"/>
  <c r="J88" i="14"/>
  <c r="J80" i="14"/>
  <c r="J81" i="14"/>
  <c r="L85" i="13"/>
  <c r="L86" i="13"/>
  <c r="L88" i="12"/>
  <c r="J88" i="12"/>
  <c r="J80" i="10"/>
  <c r="L88" i="10"/>
  <c r="J88" i="10"/>
  <c r="L88" i="5"/>
  <c r="J88" i="5"/>
  <c r="I79" i="7"/>
  <c r="J79" i="7" s="1"/>
  <c r="L88" i="4"/>
  <c r="J88" i="4"/>
  <c r="G82" i="6"/>
  <c r="L79" i="3"/>
  <c r="J79" i="3"/>
  <c r="L74" i="3"/>
  <c r="J74" i="3"/>
  <c r="I84" i="7"/>
  <c r="J84" i="7" s="1"/>
  <c r="L85" i="3"/>
  <c r="J85" i="3"/>
  <c r="I83" i="7"/>
  <c r="J83" i="7" s="1"/>
  <c r="J84" i="3"/>
  <c r="L85" i="9"/>
  <c r="L84" i="9"/>
  <c r="L83" i="9"/>
  <c r="J84" i="8"/>
  <c r="L84" i="8"/>
  <c r="L86" i="8"/>
  <c r="J86" i="8"/>
  <c r="L79" i="8"/>
  <c r="J79" i="8"/>
  <c r="J85" i="8"/>
  <c r="L85" i="8"/>
  <c r="L87" i="8"/>
  <c r="J87" i="8"/>
  <c r="J81" i="8"/>
  <c r="L81" i="8"/>
  <c r="L80" i="9"/>
  <c r="J80" i="9"/>
  <c r="L81" i="9"/>
  <c r="J81" i="9"/>
  <c r="L87" i="9"/>
  <c r="J87" i="9"/>
  <c r="J82" i="9"/>
  <c r="L82" i="9"/>
  <c r="I86" i="7"/>
  <c r="J86" i="7" s="1"/>
  <c r="L87" i="3"/>
  <c r="J87" i="3"/>
  <c r="I85" i="7"/>
  <c r="J85" i="7" s="1"/>
  <c r="J87" i="2"/>
  <c r="J81" i="15"/>
  <c r="L84" i="15"/>
  <c r="L83" i="10"/>
  <c r="L82" i="10"/>
  <c r="L83" i="4"/>
  <c r="G81" i="6"/>
  <c r="I82" i="7"/>
  <c r="J82" i="7" s="1"/>
  <c r="L82" i="2"/>
  <c r="I83" i="6"/>
  <c r="J83" i="6" s="1"/>
  <c r="E79" i="6"/>
  <c r="J81" i="2"/>
  <c r="J88" i="2"/>
  <c r="L83" i="13"/>
  <c r="L82" i="4"/>
  <c r="I81" i="7"/>
  <c r="K81" i="7" s="1"/>
  <c r="I80" i="7"/>
  <c r="J80" i="7" s="1"/>
  <c r="G80" i="6"/>
  <c r="J82" i="3"/>
  <c r="L82" i="3"/>
  <c r="J85" i="15"/>
  <c r="L85" i="15"/>
  <c r="L80" i="15"/>
  <c r="J80" i="15"/>
  <c r="J82" i="15"/>
  <c r="L82" i="15"/>
  <c r="J83" i="15"/>
  <c r="L83" i="15"/>
  <c r="J83" i="14"/>
  <c r="L83" i="14"/>
  <c r="J85" i="14"/>
  <c r="L85" i="14"/>
  <c r="J87" i="14"/>
  <c r="L87" i="14"/>
  <c r="J82" i="14"/>
  <c r="L82" i="14"/>
  <c r="L86" i="14"/>
  <c r="J86" i="14"/>
  <c r="L81" i="13"/>
  <c r="J81" i="13"/>
  <c r="L87" i="13"/>
  <c r="J87" i="13"/>
  <c r="J82" i="13"/>
  <c r="L82" i="13"/>
  <c r="L80" i="13"/>
  <c r="J80" i="13"/>
  <c r="J87" i="12"/>
  <c r="L87" i="12"/>
  <c r="L80" i="12"/>
  <c r="J80" i="12"/>
  <c r="J85" i="12"/>
  <c r="L85" i="12"/>
  <c r="J82" i="12"/>
  <c r="L82" i="12"/>
  <c r="J86" i="11"/>
  <c r="L86" i="11"/>
  <c r="L85" i="11"/>
  <c r="J85" i="11"/>
  <c r="J87" i="11"/>
  <c r="L87" i="11"/>
  <c r="L85" i="10"/>
  <c r="J85" i="10"/>
  <c r="J86" i="10"/>
  <c r="L86" i="10"/>
  <c r="J87" i="10"/>
  <c r="L87" i="10"/>
  <c r="J87" i="5"/>
  <c r="L87" i="5"/>
  <c r="L80" i="5"/>
  <c r="J80" i="5"/>
  <c r="J85" i="5"/>
  <c r="L85" i="5"/>
  <c r="J82" i="5"/>
  <c r="L82" i="5"/>
  <c r="J85" i="4"/>
  <c r="L85" i="4"/>
  <c r="G84" i="6"/>
  <c r="G86" i="6"/>
  <c r="J87" i="4"/>
  <c r="L87" i="4"/>
  <c r="L80" i="4"/>
  <c r="G79" i="6"/>
  <c r="J80" i="4"/>
  <c r="G85" i="6"/>
  <c r="I85" i="6" s="1"/>
  <c r="J85" i="6" s="1"/>
  <c r="J86" i="4"/>
  <c r="L86" i="4"/>
  <c r="J88" i="3"/>
  <c r="L88" i="3"/>
  <c r="L86" i="3"/>
  <c r="J86" i="3"/>
  <c r="J83" i="3"/>
  <c r="L83" i="3"/>
  <c r="L81" i="3"/>
  <c r="J81" i="3"/>
  <c r="J84" i="2"/>
  <c r="L84" i="2"/>
  <c r="I82" i="6"/>
  <c r="J82" i="6" s="1"/>
  <c r="J86" i="2"/>
  <c r="L86" i="2"/>
  <c r="I80" i="6"/>
  <c r="J80" i="6" s="1"/>
  <c r="J83" i="2"/>
  <c r="L83" i="2"/>
  <c r="K79" i="7" l="1"/>
  <c r="K84" i="7"/>
  <c r="I79" i="6"/>
  <c r="J79" i="6" s="1"/>
  <c r="I84" i="6"/>
  <c r="K84" i="6" s="1"/>
  <c r="I81" i="6"/>
  <c r="K81" i="6" s="1"/>
  <c r="K83" i="7"/>
  <c r="I86" i="6"/>
  <c r="J86" i="6" s="1"/>
  <c r="K86" i="7"/>
  <c r="K85" i="7"/>
  <c r="K83" i="6"/>
  <c r="K82" i="7"/>
  <c r="J81" i="7"/>
  <c r="K80" i="7"/>
  <c r="K80" i="6"/>
  <c r="K85" i="6"/>
  <c r="K82" i="6"/>
  <c r="K79" i="6" l="1"/>
  <c r="J84" i="6"/>
  <c r="J81" i="6"/>
  <c r="K86" i="6"/>
  <c r="D78" i="7" l="1"/>
  <c r="H78" i="7"/>
  <c r="F78" i="7"/>
  <c r="D79" i="9" l="1"/>
  <c r="E79" i="9" s="1"/>
  <c r="C78" i="6"/>
  <c r="D79" i="15"/>
  <c r="H79" i="15" s="1"/>
  <c r="I79" i="15" s="1"/>
  <c r="D79" i="14"/>
  <c r="F79" i="14" s="1"/>
  <c r="D79" i="13"/>
  <c r="E79" i="13" s="1"/>
  <c r="D79" i="12"/>
  <c r="E79" i="12" s="1"/>
  <c r="D79" i="11"/>
  <c r="E79" i="11" s="1"/>
  <c r="D79" i="10"/>
  <c r="G79" i="10" s="1"/>
  <c r="K79" i="10" s="1"/>
  <c r="D79" i="5"/>
  <c r="H79" i="5" s="1"/>
  <c r="I79" i="5" s="1"/>
  <c r="G78" i="7" s="1"/>
  <c r="D79" i="4"/>
  <c r="E79" i="4" s="1"/>
  <c r="D9" i="9"/>
  <c r="E9" i="9" s="1"/>
  <c r="D10" i="9"/>
  <c r="E10" i="9" s="1"/>
  <c r="D11" i="9"/>
  <c r="E11" i="9" s="1"/>
  <c r="D12" i="9"/>
  <c r="E12" i="9" s="1"/>
  <c r="D13" i="9"/>
  <c r="E13" i="9" s="1"/>
  <c r="H13" i="9"/>
  <c r="I13" i="9" s="1"/>
  <c r="D14" i="9"/>
  <c r="H14" i="9" s="1"/>
  <c r="I14" i="9" s="1"/>
  <c r="D15" i="9"/>
  <c r="F15" i="9" s="1"/>
  <c r="D16" i="9"/>
  <c r="E16" i="9" s="1"/>
  <c r="D17" i="9"/>
  <c r="E17" i="9" s="1"/>
  <c r="D18" i="9"/>
  <c r="E18" i="9" s="1"/>
  <c r="D19" i="9"/>
  <c r="E19" i="9" s="1"/>
  <c r="D20" i="9"/>
  <c r="E20" i="9" s="1"/>
  <c r="D21" i="9"/>
  <c r="E21" i="9" s="1"/>
  <c r="D22" i="9"/>
  <c r="E22" i="9" s="1"/>
  <c r="D23" i="9"/>
  <c r="F23" i="9" s="1"/>
  <c r="D24" i="9"/>
  <c r="E24" i="9" s="1"/>
  <c r="D25" i="9"/>
  <c r="E25" i="9" s="1"/>
  <c r="D26" i="9"/>
  <c r="E26" i="9" s="1"/>
  <c r="D27" i="9"/>
  <c r="E27" i="9" s="1"/>
  <c r="H27" i="9"/>
  <c r="I27" i="9" s="1"/>
  <c r="J27" i="9" s="1"/>
  <c r="D28" i="9"/>
  <c r="E28" i="9" s="1"/>
  <c r="D29" i="9"/>
  <c r="E29" i="9" s="1"/>
  <c r="D30" i="9"/>
  <c r="H30" i="9" s="1"/>
  <c r="I30" i="9" s="1"/>
  <c r="D31" i="9"/>
  <c r="F31" i="9" s="1"/>
  <c r="D32" i="9"/>
  <c r="E32" i="9" s="1"/>
  <c r="D33" i="9"/>
  <c r="E33" i="9" s="1"/>
  <c r="D34" i="9"/>
  <c r="E34" i="9" s="1"/>
  <c r="D35" i="9"/>
  <c r="E35" i="9" s="1"/>
  <c r="D36" i="9"/>
  <c r="E36" i="9" s="1"/>
  <c r="D37" i="9"/>
  <c r="G37" i="9" s="1"/>
  <c r="K37" i="9" s="1"/>
  <c r="D38" i="9"/>
  <c r="E38" i="9" s="1"/>
  <c r="H38" i="9"/>
  <c r="I38" i="9" s="1"/>
  <c r="D39" i="9"/>
  <c r="F39" i="9" s="1"/>
  <c r="D40" i="9"/>
  <c r="E40" i="9" s="1"/>
  <c r="D41" i="9"/>
  <c r="E41" i="9" s="1"/>
  <c r="D42" i="9"/>
  <c r="E42" i="9" s="1"/>
  <c r="D43" i="9"/>
  <c r="E43" i="9" s="1"/>
  <c r="D44" i="9"/>
  <c r="E44" i="9" s="1"/>
  <c r="D45" i="9"/>
  <c r="E45" i="9" s="1"/>
  <c r="D46" i="9"/>
  <c r="E46" i="9" s="1"/>
  <c r="G46" i="9"/>
  <c r="K46" i="9" s="1"/>
  <c r="D47" i="9"/>
  <c r="F47" i="9" s="1"/>
  <c r="D48" i="9"/>
  <c r="E48" i="9" s="1"/>
  <c r="D49" i="9"/>
  <c r="D50" i="9"/>
  <c r="E50" i="9" s="1"/>
  <c r="D51" i="9"/>
  <c r="E51" i="9" s="1"/>
  <c r="D52" i="9"/>
  <c r="E52" i="9" s="1"/>
  <c r="D53" i="9"/>
  <c r="E53" i="9" s="1"/>
  <c r="D54" i="9"/>
  <c r="F54" i="9" s="1"/>
  <c r="D55" i="9"/>
  <c r="F55" i="9" s="1"/>
  <c r="D56" i="9"/>
  <c r="E56" i="9" s="1"/>
  <c r="D57" i="9"/>
  <c r="E57" i="9" s="1"/>
  <c r="D58" i="9"/>
  <c r="E58" i="9" s="1"/>
  <c r="D59" i="9"/>
  <c r="E59" i="9" s="1"/>
  <c r="D60" i="9"/>
  <c r="E60" i="9" s="1"/>
  <c r="H60" i="9"/>
  <c r="I60" i="9" s="1"/>
  <c r="D61" i="9"/>
  <c r="E61" i="9" s="1"/>
  <c r="D62" i="9"/>
  <c r="F62" i="9" s="1"/>
  <c r="E62" i="9"/>
  <c r="G62" i="9"/>
  <c r="K62" i="9" s="1"/>
  <c r="D63" i="9"/>
  <c r="F63" i="9" s="1"/>
  <c r="D64" i="9"/>
  <c r="E64" i="9" s="1"/>
  <c r="D65" i="9"/>
  <c r="E65" i="9" s="1"/>
  <c r="D66" i="9"/>
  <c r="E66" i="9" s="1"/>
  <c r="D67" i="9"/>
  <c r="E67" i="9" s="1"/>
  <c r="D68" i="9"/>
  <c r="E68" i="9" s="1"/>
  <c r="D69" i="9"/>
  <c r="E69" i="9" s="1"/>
  <c r="D70" i="9"/>
  <c r="G70" i="9" s="1"/>
  <c r="K70" i="9" s="1"/>
  <c r="D71" i="9"/>
  <c r="F71" i="9" s="1"/>
  <c r="D72" i="9"/>
  <c r="E72" i="9" s="1"/>
  <c r="D73" i="9"/>
  <c r="E73" i="9" s="1"/>
  <c r="D74" i="9"/>
  <c r="E74" i="9" s="1"/>
  <c r="D75" i="9"/>
  <c r="E75" i="9" s="1"/>
  <c r="D76" i="9"/>
  <c r="F76" i="9" s="1"/>
  <c r="E76" i="9"/>
  <c r="D77" i="9"/>
  <c r="E77" i="9" s="1"/>
  <c r="F77" i="9"/>
  <c r="H77" i="9"/>
  <c r="I77" i="9" s="1"/>
  <c r="D78" i="9"/>
  <c r="H78" i="9" s="1"/>
  <c r="I78" i="9" s="1"/>
  <c r="D9" i="8"/>
  <c r="E9" i="8" s="1"/>
  <c r="D10" i="8"/>
  <c r="H10" i="8" s="1"/>
  <c r="I10" i="8" s="1"/>
  <c r="D11" i="8"/>
  <c r="G11" i="8" s="1"/>
  <c r="K11" i="8" s="1"/>
  <c r="D12" i="8"/>
  <c r="F12" i="8" s="1"/>
  <c r="D13" i="8"/>
  <c r="H13" i="8" s="1"/>
  <c r="I13" i="8" s="1"/>
  <c r="D14" i="8"/>
  <c r="E14" i="8" s="1"/>
  <c r="D15" i="8"/>
  <c r="G15" i="8" s="1"/>
  <c r="K15" i="8" s="1"/>
  <c r="D16" i="8"/>
  <c r="H16" i="8" s="1"/>
  <c r="I16" i="8" s="1"/>
  <c r="J16" i="8" s="1"/>
  <c r="D17" i="8"/>
  <c r="F17" i="8" s="1"/>
  <c r="D18" i="8"/>
  <c r="E18" i="8" s="1"/>
  <c r="D19" i="8"/>
  <c r="G19" i="8" s="1"/>
  <c r="K19" i="8" s="1"/>
  <c r="D20" i="8"/>
  <c r="F20" i="8" s="1"/>
  <c r="D21" i="8"/>
  <c r="H21" i="8" s="1"/>
  <c r="I21" i="8" s="1"/>
  <c r="D22" i="8"/>
  <c r="E22" i="8" s="1"/>
  <c r="D23" i="8"/>
  <c r="F23" i="8" s="1"/>
  <c r="D24" i="8"/>
  <c r="E24" i="8" s="1"/>
  <c r="D25" i="8"/>
  <c r="F25" i="8" s="1"/>
  <c r="E25" i="8"/>
  <c r="D26" i="8"/>
  <c r="E26" i="8" s="1"/>
  <c r="D27" i="8"/>
  <c r="G27" i="8" s="1"/>
  <c r="K27" i="8" s="1"/>
  <c r="D28" i="8"/>
  <c r="F28" i="8" s="1"/>
  <c r="D29" i="8"/>
  <c r="H29" i="8" s="1"/>
  <c r="I29" i="8" s="1"/>
  <c r="D30" i="8"/>
  <c r="E30" i="8" s="1"/>
  <c r="D31" i="8"/>
  <c r="E31" i="8" s="1"/>
  <c r="D32" i="8"/>
  <c r="F32" i="8" s="1"/>
  <c r="D33" i="8"/>
  <c r="F33" i="8" s="1"/>
  <c r="D34" i="8"/>
  <c r="E34" i="8" s="1"/>
  <c r="D35" i="8"/>
  <c r="G35" i="8" s="1"/>
  <c r="K35" i="8" s="1"/>
  <c r="D36" i="8"/>
  <c r="F36" i="8" s="1"/>
  <c r="D37" i="8"/>
  <c r="H37" i="8" s="1"/>
  <c r="I37" i="8" s="1"/>
  <c r="D38" i="8"/>
  <c r="E38" i="8" s="1"/>
  <c r="D39" i="8"/>
  <c r="F39" i="8" s="1"/>
  <c r="D40" i="8"/>
  <c r="E40" i="8" s="1"/>
  <c r="D41" i="8"/>
  <c r="F41" i="8" s="1"/>
  <c r="D42" i="8"/>
  <c r="E42" i="8" s="1"/>
  <c r="D43" i="8"/>
  <c r="G43" i="8" s="1"/>
  <c r="K43" i="8" s="1"/>
  <c r="D44" i="8"/>
  <c r="F44" i="8" s="1"/>
  <c r="D45" i="8"/>
  <c r="H45" i="8" s="1"/>
  <c r="I45" i="8" s="1"/>
  <c r="D46" i="8"/>
  <c r="E46" i="8" s="1"/>
  <c r="D47" i="8"/>
  <c r="H47" i="8" s="1"/>
  <c r="I47" i="8" s="1"/>
  <c r="D48" i="8"/>
  <c r="E48" i="8" s="1"/>
  <c r="D49" i="8"/>
  <c r="F49" i="8" s="1"/>
  <c r="D50" i="8"/>
  <c r="E50" i="8" s="1"/>
  <c r="D51" i="8"/>
  <c r="G51" i="8" s="1"/>
  <c r="K51" i="8" s="1"/>
  <c r="D52" i="8"/>
  <c r="F52" i="8" s="1"/>
  <c r="D53" i="8"/>
  <c r="H53" i="8" s="1"/>
  <c r="I53" i="8" s="1"/>
  <c r="D54" i="8"/>
  <c r="G54" i="8" s="1"/>
  <c r="D55" i="8"/>
  <c r="F55" i="8" s="1"/>
  <c r="D56" i="8"/>
  <c r="E56" i="8" s="1"/>
  <c r="D57" i="8"/>
  <c r="F57" i="8" s="1"/>
  <c r="D58" i="8"/>
  <c r="E58" i="8" s="1"/>
  <c r="D59" i="8"/>
  <c r="G59" i="8" s="1"/>
  <c r="K59" i="8" s="1"/>
  <c r="D60" i="8"/>
  <c r="F60" i="8" s="1"/>
  <c r="D61" i="8"/>
  <c r="H61" i="8" s="1"/>
  <c r="I61" i="8" s="1"/>
  <c r="D62" i="8"/>
  <c r="E62" i="8" s="1"/>
  <c r="D63" i="8"/>
  <c r="E63" i="8" s="1"/>
  <c r="D64" i="8"/>
  <c r="H64" i="8" s="1"/>
  <c r="I64" i="8" s="1"/>
  <c r="J64" i="8" s="1"/>
  <c r="D65" i="8"/>
  <c r="F65" i="8" s="1"/>
  <c r="D66" i="8"/>
  <c r="E66" i="8" s="1"/>
  <c r="D67" i="8"/>
  <c r="G67" i="8" s="1"/>
  <c r="K67" i="8" s="1"/>
  <c r="D68" i="8"/>
  <c r="F68" i="8" s="1"/>
  <c r="D69" i="8"/>
  <c r="H69" i="8" s="1"/>
  <c r="I69" i="8" s="1"/>
  <c r="D70" i="8"/>
  <c r="E70" i="8" s="1"/>
  <c r="D71" i="8"/>
  <c r="E71" i="8" s="1"/>
  <c r="D72" i="8"/>
  <c r="F72" i="8" s="1"/>
  <c r="D73" i="8"/>
  <c r="F73" i="8" s="1"/>
  <c r="D74" i="8"/>
  <c r="E74" i="8" s="1"/>
  <c r="D75" i="8"/>
  <c r="G75" i="8" s="1"/>
  <c r="K75" i="8" s="1"/>
  <c r="D76" i="8"/>
  <c r="F76" i="8" s="1"/>
  <c r="D77" i="8"/>
  <c r="H77" i="8" s="1"/>
  <c r="I77" i="8" s="1"/>
  <c r="D78" i="8"/>
  <c r="E78" i="8" s="1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H21" i="7" s="1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D30" i="7" s="1"/>
  <c r="B31" i="7"/>
  <c r="C31" i="7"/>
  <c r="B32" i="7"/>
  <c r="C32" i="7"/>
  <c r="B33" i="7"/>
  <c r="C33" i="7"/>
  <c r="B34" i="7"/>
  <c r="C34" i="7"/>
  <c r="B35" i="7"/>
  <c r="C35" i="7"/>
  <c r="B36" i="7"/>
  <c r="H36" i="7" s="1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D21" i="2"/>
  <c r="F21" i="2" s="1"/>
  <c r="D22" i="2"/>
  <c r="E22" i="2" s="1"/>
  <c r="D23" i="2"/>
  <c r="E23" i="2" s="1"/>
  <c r="D24" i="2"/>
  <c r="G24" i="2" s="1"/>
  <c r="K24" i="2" s="1"/>
  <c r="D25" i="2"/>
  <c r="H25" i="2" s="1"/>
  <c r="I25" i="2" s="1"/>
  <c r="D26" i="2"/>
  <c r="G26" i="2" s="1"/>
  <c r="K26" i="2" s="1"/>
  <c r="D27" i="2"/>
  <c r="E27" i="2" s="1"/>
  <c r="D28" i="2"/>
  <c r="E28" i="2" s="1"/>
  <c r="D29" i="2"/>
  <c r="F29" i="2" s="1"/>
  <c r="D30" i="2"/>
  <c r="E30" i="2" s="1"/>
  <c r="D31" i="2"/>
  <c r="E31" i="2" s="1"/>
  <c r="D32" i="2"/>
  <c r="G32" i="2" s="1"/>
  <c r="K32" i="2" s="1"/>
  <c r="D33" i="2"/>
  <c r="H33" i="2" s="1"/>
  <c r="I33" i="2" s="1"/>
  <c r="D34" i="2"/>
  <c r="G34" i="2" s="1"/>
  <c r="K34" i="2" s="1"/>
  <c r="D35" i="2"/>
  <c r="H35" i="2" s="1"/>
  <c r="I35" i="2" s="1"/>
  <c r="D36" i="2"/>
  <c r="E36" i="2" s="1"/>
  <c r="D37" i="2"/>
  <c r="F37" i="2" s="1"/>
  <c r="D38" i="2"/>
  <c r="E38" i="2" s="1"/>
  <c r="D39" i="2"/>
  <c r="E39" i="2" s="1"/>
  <c r="D40" i="2"/>
  <c r="G40" i="2" s="1"/>
  <c r="K40" i="2" s="1"/>
  <c r="D41" i="2"/>
  <c r="H41" i="2" s="1"/>
  <c r="I41" i="2" s="1"/>
  <c r="D42" i="2"/>
  <c r="G42" i="2" s="1"/>
  <c r="K42" i="2" s="1"/>
  <c r="D43" i="2"/>
  <c r="H43" i="2" s="1"/>
  <c r="I43" i="2" s="1"/>
  <c r="D44" i="2"/>
  <c r="E44" i="2" s="1"/>
  <c r="D45" i="2"/>
  <c r="F45" i="2" s="1"/>
  <c r="D46" i="2"/>
  <c r="E46" i="2" s="1"/>
  <c r="D47" i="2"/>
  <c r="E47" i="2" s="1"/>
  <c r="D48" i="2"/>
  <c r="G48" i="2" s="1"/>
  <c r="K48" i="2" s="1"/>
  <c r="D49" i="2"/>
  <c r="H49" i="2" s="1"/>
  <c r="I49" i="2" s="1"/>
  <c r="D50" i="2"/>
  <c r="G50" i="2" s="1"/>
  <c r="K50" i="2" s="1"/>
  <c r="D51" i="2"/>
  <c r="H51" i="2" s="1"/>
  <c r="I51" i="2" s="1"/>
  <c r="D52" i="2"/>
  <c r="E52" i="2" s="1"/>
  <c r="D53" i="2"/>
  <c r="F53" i="2" s="1"/>
  <c r="D54" i="2"/>
  <c r="E54" i="2" s="1"/>
  <c r="D55" i="2"/>
  <c r="E55" i="2" s="1"/>
  <c r="D56" i="2"/>
  <c r="G56" i="2" s="1"/>
  <c r="K56" i="2" s="1"/>
  <c r="D57" i="2"/>
  <c r="H57" i="2" s="1"/>
  <c r="I57" i="2" s="1"/>
  <c r="D58" i="2"/>
  <c r="G58" i="2" s="1"/>
  <c r="K58" i="2" s="1"/>
  <c r="D59" i="2"/>
  <c r="H59" i="2" s="1"/>
  <c r="I59" i="2" s="1"/>
  <c r="D60" i="2"/>
  <c r="E60" i="2" s="1"/>
  <c r="D61" i="2"/>
  <c r="F61" i="2" s="1"/>
  <c r="D62" i="2"/>
  <c r="E62" i="2" s="1"/>
  <c r="D63" i="2"/>
  <c r="E63" i="2" s="1"/>
  <c r="D64" i="2"/>
  <c r="G64" i="2" s="1"/>
  <c r="K64" i="2" s="1"/>
  <c r="D65" i="2"/>
  <c r="H65" i="2" s="1"/>
  <c r="I65" i="2" s="1"/>
  <c r="D66" i="2"/>
  <c r="G66" i="2" s="1"/>
  <c r="K66" i="2" s="1"/>
  <c r="D67" i="2"/>
  <c r="H67" i="2" s="1"/>
  <c r="I67" i="2" s="1"/>
  <c r="D68" i="2"/>
  <c r="E68" i="2" s="1"/>
  <c r="D69" i="2"/>
  <c r="F69" i="2" s="1"/>
  <c r="D70" i="2"/>
  <c r="E70" i="2" s="1"/>
  <c r="D71" i="2"/>
  <c r="E71" i="2" s="1"/>
  <c r="D72" i="2"/>
  <c r="G72" i="2" s="1"/>
  <c r="K72" i="2" s="1"/>
  <c r="D73" i="2"/>
  <c r="H73" i="2" s="1"/>
  <c r="I73" i="2" s="1"/>
  <c r="D74" i="2"/>
  <c r="G74" i="2" s="1"/>
  <c r="K74" i="2" s="1"/>
  <c r="D75" i="2"/>
  <c r="H75" i="2" s="1"/>
  <c r="I75" i="2" s="1"/>
  <c r="D76" i="2"/>
  <c r="E76" i="2" s="1"/>
  <c r="D77" i="2"/>
  <c r="F77" i="2" s="1"/>
  <c r="D78" i="2"/>
  <c r="E78" i="2" s="1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D9" i="15"/>
  <c r="E9" i="15" s="1"/>
  <c r="D10" i="15"/>
  <c r="F10" i="15" s="1"/>
  <c r="D11" i="15"/>
  <c r="E11" i="15" s="1"/>
  <c r="D12" i="15"/>
  <c r="E12" i="15" s="1"/>
  <c r="D13" i="15"/>
  <c r="E13" i="15" s="1"/>
  <c r="D14" i="15"/>
  <c r="F14" i="15" s="1"/>
  <c r="D15" i="15"/>
  <c r="F15" i="15" s="1"/>
  <c r="D16" i="15"/>
  <c r="H16" i="15" s="1"/>
  <c r="I16" i="15" s="1"/>
  <c r="F16" i="15"/>
  <c r="G16" i="15"/>
  <c r="K16" i="15" s="1"/>
  <c r="D17" i="15"/>
  <c r="E17" i="15" s="1"/>
  <c r="D18" i="15"/>
  <c r="F18" i="15" s="1"/>
  <c r="D19" i="15"/>
  <c r="E19" i="15" s="1"/>
  <c r="D20" i="15"/>
  <c r="E20" i="15" s="1"/>
  <c r="D21" i="15"/>
  <c r="E21" i="15" s="1"/>
  <c r="H21" i="15"/>
  <c r="I21" i="15" s="1"/>
  <c r="D22" i="15"/>
  <c r="F22" i="15" s="1"/>
  <c r="D23" i="15"/>
  <c r="F23" i="15" s="1"/>
  <c r="D24" i="15"/>
  <c r="H24" i="15" s="1"/>
  <c r="I24" i="15" s="1"/>
  <c r="J24" i="15" s="1"/>
  <c r="D25" i="15"/>
  <c r="E25" i="15" s="1"/>
  <c r="D26" i="15"/>
  <c r="F26" i="15" s="1"/>
  <c r="D27" i="15"/>
  <c r="E27" i="15" s="1"/>
  <c r="D28" i="15"/>
  <c r="F28" i="15" s="1"/>
  <c r="D29" i="15"/>
  <c r="E29" i="15" s="1"/>
  <c r="D30" i="15"/>
  <c r="F30" i="15" s="1"/>
  <c r="D31" i="15"/>
  <c r="F31" i="15" s="1"/>
  <c r="D32" i="15"/>
  <c r="E32" i="15" s="1"/>
  <c r="D33" i="15"/>
  <c r="E33" i="15" s="1"/>
  <c r="D34" i="15"/>
  <c r="F34" i="15" s="1"/>
  <c r="D35" i="15"/>
  <c r="E35" i="15" s="1"/>
  <c r="D36" i="15"/>
  <c r="F36" i="15" s="1"/>
  <c r="D37" i="15"/>
  <c r="E37" i="15" s="1"/>
  <c r="D38" i="15"/>
  <c r="F38" i="15" s="1"/>
  <c r="D39" i="15"/>
  <c r="F39" i="15" s="1"/>
  <c r="D40" i="15"/>
  <c r="E40" i="15" s="1"/>
  <c r="D41" i="15"/>
  <c r="E41" i="15" s="1"/>
  <c r="D42" i="15"/>
  <c r="F42" i="15" s="1"/>
  <c r="D43" i="15"/>
  <c r="E43" i="15" s="1"/>
  <c r="D44" i="15"/>
  <c r="F44" i="15" s="1"/>
  <c r="D45" i="15"/>
  <c r="E45" i="15" s="1"/>
  <c r="F45" i="15"/>
  <c r="H45" i="15"/>
  <c r="I45" i="15" s="1"/>
  <c r="D46" i="15"/>
  <c r="F46" i="15" s="1"/>
  <c r="H46" i="15"/>
  <c r="I46" i="15" s="1"/>
  <c r="J46" i="15" s="1"/>
  <c r="D47" i="15"/>
  <c r="F47" i="15" s="1"/>
  <c r="D48" i="15"/>
  <c r="H48" i="15" s="1"/>
  <c r="I48" i="15" s="1"/>
  <c r="D49" i="15"/>
  <c r="E49" i="15" s="1"/>
  <c r="D50" i="15"/>
  <c r="F50" i="15" s="1"/>
  <c r="D51" i="15"/>
  <c r="E51" i="15" s="1"/>
  <c r="D52" i="15"/>
  <c r="H52" i="15" s="1"/>
  <c r="I52" i="15" s="1"/>
  <c r="D53" i="15"/>
  <c r="E53" i="15" s="1"/>
  <c r="D54" i="15"/>
  <c r="F54" i="15" s="1"/>
  <c r="D55" i="15"/>
  <c r="F55" i="15" s="1"/>
  <c r="D56" i="15"/>
  <c r="H56" i="15" s="1"/>
  <c r="I56" i="15" s="1"/>
  <c r="D57" i="15"/>
  <c r="E57" i="15" s="1"/>
  <c r="D58" i="15"/>
  <c r="F58" i="15" s="1"/>
  <c r="D59" i="15"/>
  <c r="E59" i="15" s="1"/>
  <c r="D60" i="15"/>
  <c r="H60" i="15" s="1"/>
  <c r="I60" i="15" s="1"/>
  <c r="D61" i="15"/>
  <c r="E61" i="15" s="1"/>
  <c r="D62" i="15"/>
  <c r="F62" i="15" s="1"/>
  <c r="G62" i="15"/>
  <c r="K62" i="15" s="1"/>
  <c r="D63" i="15"/>
  <c r="F63" i="15" s="1"/>
  <c r="D64" i="15"/>
  <c r="H64" i="15" s="1"/>
  <c r="I64" i="15" s="1"/>
  <c r="D65" i="15"/>
  <c r="E65" i="15" s="1"/>
  <c r="D66" i="15"/>
  <c r="F66" i="15" s="1"/>
  <c r="D67" i="15"/>
  <c r="E67" i="15" s="1"/>
  <c r="D68" i="15"/>
  <c r="H68" i="15" s="1"/>
  <c r="I68" i="15" s="1"/>
  <c r="D69" i="15"/>
  <c r="E69" i="15" s="1"/>
  <c r="D70" i="15"/>
  <c r="F70" i="15" s="1"/>
  <c r="E70" i="15"/>
  <c r="G70" i="15"/>
  <c r="K70" i="15" s="1"/>
  <c r="H70" i="15"/>
  <c r="I70" i="15" s="1"/>
  <c r="J70" i="15" s="1"/>
  <c r="D71" i="15"/>
  <c r="F71" i="15" s="1"/>
  <c r="D72" i="15"/>
  <c r="H72" i="15" s="1"/>
  <c r="I72" i="15" s="1"/>
  <c r="G72" i="15"/>
  <c r="K72" i="15" s="1"/>
  <c r="D73" i="15"/>
  <c r="E73" i="15" s="1"/>
  <c r="D74" i="15"/>
  <c r="F74" i="15" s="1"/>
  <c r="D75" i="15"/>
  <c r="E75" i="15" s="1"/>
  <c r="H75" i="15"/>
  <c r="I75" i="15" s="1"/>
  <c r="D76" i="15"/>
  <c r="H76" i="15" s="1"/>
  <c r="I76" i="15" s="1"/>
  <c r="F76" i="15"/>
  <c r="G76" i="15"/>
  <c r="K76" i="15" s="1"/>
  <c r="D77" i="15"/>
  <c r="E77" i="15" s="1"/>
  <c r="D78" i="15"/>
  <c r="F78" i="15" s="1"/>
  <c r="D9" i="14"/>
  <c r="G9" i="14" s="1"/>
  <c r="K9" i="14" s="1"/>
  <c r="D10" i="14"/>
  <c r="E10" i="14" s="1"/>
  <c r="D11" i="14"/>
  <c r="E11" i="14" s="1"/>
  <c r="H11" i="14"/>
  <c r="I11" i="14" s="1"/>
  <c r="D12" i="14"/>
  <c r="E12" i="14" s="1"/>
  <c r="G12" i="14"/>
  <c r="K12" i="14" s="1"/>
  <c r="D13" i="14"/>
  <c r="E13" i="14" s="1"/>
  <c r="D14" i="14"/>
  <c r="F14" i="14" s="1"/>
  <c r="D15" i="14"/>
  <c r="F15" i="14" s="1"/>
  <c r="D16" i="14"/>
  <c r="E16" i="14"/>
  <c r="F16" i="14"/>
  <c r="G16" i="14"/>
  <c r="H16" i="14"/>
  <c r="I16" i="14" s="1"/>
  <c r="K16" i="14"/>
  <c r="D17" i="14"/>
  <c r="G17" i="14" s="1"/>
  <c r="K17" i="14" s="1"/>
  <c r="E17" i="14"/>
  <c r="F17" i="14"/>
  <c r="D18" i="14"/>
  <c r="E18" i="14" s="1"/>
  <c r="D19" i="14"/>
  <c r="E19" i="14" s="1"/>
  <c r="D20" i="14"/>
  <c r="E20" i="14" s="1"/>
  <c r="G20" i="14"/>
  <c r="K20" i="14" s="1"/>
  <c r="D21" i="14"/>
  <c r="G21" i="14" s="1"/>
  <c r="K21" i="14" s="1"/>
  <c r="E21" i="14"/>
  <c r="F21" i="14"/>
  <c r="H21" i="14"/>
  <c r="I21" i="14"/>
  <c r="J21" i="14" s="1"/>
  <c r="D22" i="14"/>
  <c r="F22" i="14" s="1"/>
  <c r="E22" i="14"/>
  <c r="G22" i="14"/>
  <c r="K22" i="14" s="1"/>
  <c r="H22" i="14"/>
  <c r="I22" i="14" s="1"/>
  <c r="D23" i="14"/>
  <c r="F23" i="14" s="1"/>
  <c r="D24" i="14"/>
  <c r="E24" i="14" s="1"/>
  <c r="D25" i="14"/>
  <c r="G25" i="14" s="1"/>
  <c r="K25" i="14" s="1"/>
  <c r="E25" i="14"/>
  <c r="F25" i="14"/>
  <c r="D26" i="14"/>
  <c r="E26" i="14" s="1"/>
  <c r="D27" i="14"/>
  <c r="E27" i="14" s="1"/>
  <c r="H27" i="14"/>
  <c r="I27" i="14" s="1"/>
  <c r="D28" i="14"/>
  <c r="E28" i="14" s="1"/>
  <c r="D29" i="14"/>
  <c r="G29" i="14" s="1"/>
  <c r="K29" i="14" s="1"/>
  <c r="D30" i="14"/>
  <c r="F30" i="14" s="1"/>
  <c r="E30" i="14"/>
  <c r="G30" i="14"/>
  <c r="K30" i="14" s="1"/>
  <c r="H30" i="14"/>
  <c r="I30" i="14"/>
  <c r="J30" i="14" s="1"/>
  <c r="D31" i="14"/>
  <c r="F31" i="14" s="1"/>
  <c r="D32" i="14"/>
  <c r="E32" i="14"/>
  <c r="F32" i="14"/>
  <c r="G32" i="14"/>
  <c r="H32" i="14"/>
  <c r="I32" i="14" s="1"/>
  <c r="K32" i="14"/>
  <c r="D33" i="14"/>
  <c r="G33" i="14" s="1"/>
  <c r="K33" i="14" s="1"/>
  <c r="D34" i="14"/>
  <c r="F34" i="14" s="1"/>
  <c r="D35" i="14"/>
  <c r="E35" i="14" s="1"/>
  <c r="H35" i="14"/>
  <c r="I35" i="14" s="1"/>
  <c r="D36" i="14"/>
  <c r="E36" i="14" s="1"/>
  <c r="G36" i="14"/>
  <c r="K36" i="14" s="1"/>
  <c r="D37" i="14"/>
  <c r="G37" i="14" s="1"/>
  <c r="K37" i="14" s="1"/>
  <c r="E37" i="14"/>
  <c r="F37" i="14"/>
  <c r="H37" i="14"/>
  <c r="I37" i="14"/>
  <c r="L37" i="14" s="1"/>
  <c r="J37" i="14"/>
  <c r="D38" i="14"/>
  <c r="F38" i="14" s="1"/>
  <c r="D39" i="14"/>
  <c r="F39" i="14" s="1"/>
  <c r="D40" i="14"/>
  <c r="E40" i="14"/>
  <c r="F40" i="14"/>
  <c r="G40" i="14"/>
  <c r="H40" i="14"/>
  <c r="I40" i="14" s="1"/>
  <c r="K40" i="14"/>
  <c r="D41" i="14"/>
  <c r="G41" i="14" s="1"/>
  <c r="K41" i="14" s="1"/>
  <c r="E41" i="14"/>
  <c r="F41" i="14"/>
  <c r="D42" i="14"/>
  <c r="F42" i="14" s="1"/>
  <c r="E42" i="14"/>
  <c r="D43" i="14"/>
  <c r="E43" i="14" s="1"/>
  <c r="D44" i="14"/>
  <c r="E44" i="14" s="1"/>
  <c r="D45" i="14"/>
  <c r="G45" i="14" s="1"/>
  <c r="K45" i="14" s="1"/>
  <c r="E45" i="14"/>
  <c r="F45" i="14"/>
  <c r="H45" i="14"/>
  <c r="I45" i="14"/>
  <c r="L45" i="14" s="1"/>
  <c r="J45" i="14"/>
  <c r="D46" i="14"/>
  <c r="F46" i="14" s="1"/>
  <c r="E46" i="14"/>
  <c r="G46" i="14"/>
  <c r="K46" i="14" s="1"/>
  <c r="H46" i="14"/>
  <c r="I46" i="14"/>
  <c r="J46" i="14" s="1"/>
  <c r="D47" i="14"/>
  <c r="F47" i="14" s="1"/>
  <c r="D48" i="14"/>
  <c r="E48" i="14" s="1"/>
  <c r="D49" i="14"/>
  <c r="G49" i="14" s="1"/>
  <c r="K49" i="14" s="1"/>
  <c r="D50" i="14"/>
  <c r="F50" i="14" s="1"/>
  <c r="E50" i="14"/>
  <c r="D51" i="14"/>
  <c r="E51" i="14" s="1"/>
  <c r="H51" i="14"/>
  <c r="I51" i="14" s="1"/>
  <c r="D52" i="14"/>
  <c r="E52" i="14" s="1"/>
  <c r="G52" i="14"/>
  <c r="K52" i="14" s="1"/>
  <c r="D53" i="14"/>
  <c r="G53" i="14" s="1"/>
  <c r="K53" i="14" s="1"/>
  <c r="D54" i="14"/>
  <c r="F54" i="14" s="1"/>
  <c r="E54" i="14"/>
  <c r="D55" i="14"/>
  <c r="F55" i="14" s="1"/>
  <c r="D56" i="14"/>
  <c r="G56" i="14" s="1"/>
  <c r="K56" i="14" s="1"/>
  <c r="D57" i="14"/>
  <c r="G57" i="14" s="1"/>
  <c r="K57" i="14" s="1"/>
  <c r="E57" i="14"/>
  <c r="F57" i="14"/>
  <c r="D58" i="14"/>
  <c r="F58" i="14" s="1"/>
  <c r="D59" i="14"/>
  <c r="E59" i="14" s="1"/>
  <c r="D60" i="14"/>
  <c r="E60" i="14" s="1"/>
  <c r="D61" i="14"/>
  <c r="G61" i="14" s="1"/>
  <c r="K61" i="14" s="1"/>
  <c r="D62" i="14"/>
  <c r="F62" i="14" s="1"/>
  <c r="E62" i="14"/>
  <c r="G62" i="14"/>
  <c r="K62" i="14" s="1"/>
  <c r="H62" i="14"/>
  <c r="I62" i="14"/>
  <c r="J62" i="14" s="1"/>
  <c r="D63" i="14"/>
  <c r="F63" i="14" s="1"/>
  <c r="D64" i="14"/>
  <c r="E64" i="14" s="1"/>
  <c r="D65" i="14"/>
  <c r="G65" i="14" s="1"/>
  <c r="K65" i="14" s="1"/>
  <c r="D66" i="14"/>
  <c r="F66" i="14" s="1"/>
  <c r="E66" i="14"/>
  <c r="D67" i="14"/>
  <c r="E67" i="14" s="1"/>
  <c r="H67" i="14"/>
  <c r="I67" i="14" s="1"/>
  <c r="D68" i="14"/>
  <c r="E68" i="14" s="1"/>
  <c r="D69" i="14"/>
  <c r="G69" i="14" s="1"/>
  <c r="K69" i="14" s="1"/>
  <c r="D70" i="14"/>
  <c r="F70" i="14" s="1"/>
  <c r="E70" i="14"/>
  <c r="G70" i="14"/>
  <c r="K70" i="14" s="1"/>
  <c r="H70" i="14"/>
  <c r="I70" i="14"/>
  <c r="J70" i="14" s="1"/>
  <c r="D71" i="14"/>
  <c r="F71" i="14" s="1"/>
  <c r="D72" i="14"/>
  <c r="E72" i="14"/>
  <c r="F72" i="14"/>
  <c r="G72" i="14"/>
  <c r="H72" i="14"/>
  <c r="I72" i="14" s="1"/>
  <c r="K72" i="14"/>
  <c r="D73" i="14"/>
  <c r="G73" i="14" s="1"/>
  <c r="K73" i="14" s="1"/>
  <c r="E73" i="14"/>
  <c r="D74" i="14"/>
  <c r="F74" i="14" s="1"/>
  <c r="D75" i="14"/>
  <c r="E75" i="14" s="1"/>
  <c r="D76" i="14"/>
  <c r="E76" i="14" s="1"/>
  <c r="F76" i="14"/>
  <c r="G76" i="14"/>
  <c r="K76" i="14" s="1"/>
  <c r="D77" i="14"/>
  <c r="G77" i="14" s="1"/>
  <c r="K77" i="14" s="1"/>
  <c r="E77" i="14"/>
  <c r="F77" i="14"/>
  <c r="H77" i="14"/>
  <c r="I77" i="14"/>
  <c r="L77" i="14" s="1"/>
  <c r="J77" i="14"/>
  <c r="D78" i="14"/>
  <c r="F78" i="14" s="1"/>
  <c r="D9" i="13"/>
  <c r="G9" i="13" s="1"/>
  <c r="K9" i="13" s="1"/>
  <c r="D10" i="13"/>
  <c r="E10" i="13" s="1"/>
  <c r="D11" i="13"/>
  <c r="E11" i="13" s="1"/>
  <c r="H11" i="13"/>
  <c r="I11" i="13" s="1"/>
  <c r="D12" i="13"/>
  <c r="F12" i="13" s="1"/>
  <c r="E12" i="13"/>
  <c r="G12" i="13"/>
  <c r="K12" i="13" s="1"/>
  <c r="D13" i="13"/>
  <c r="H13" i="13" s="1"/>
  <c r="I13" i="13" s="1"/>
  <c r="F13" i="13"/>
  <c r="D14" i="13"/>
  <c r="F14" i="13" s="1"/>
  <c r="D15" i="13"/>
  <c r="F15" i="13" s="1"/>
  <c r="D16" i="13"/>
  <c r="E16" i="13"/>
  <c r="F16" i="13"/>
  <c r="G16" i="13"/>
  <c r="H16" i="13"/>
  <c r="I16" i="13"/>
  <c r="J16" i="13" s="1"/>
  <c r="K16" i="13"/>
  <c r="D17" i="13"/>
  <c r="G17" i="13" s="1"/>
  <c r="K17" i="13" s="1"/>
  <c r="E17" i="13"/>
  <c r="F17" i="13"/>
  <c r="H17" i="13"/>
  <c r="I17" i="13" s="1"/>
  <c r="D18" i="13"/>
  <c r="E18" i="13" s="1"/>
  <c r="D19" i="13"/>
  <c r="E19" i="13" s="1"/>
  <c r="D20" i="13"/>
  <c r="F20" i="13" s="1"/>
  <c r="E20" i="13"/>
  <c r="G20" i="13"/>
  <c r="K20" i="13" s="1"/>
  <c r="D21" i="13"/>
  <c r="H21" i="13" s="1"/>
  <c r="I21" i="13" s="1"/>
  <c r="F21" i="13"/>
  <c r="D22" i="13"/>
  <c r="F22" i="13" s="1"/>
  <c r="E22" i="13"/>
  <c r="G22" i="13"/>
  <c r="H22" i="13"/>
  <c r="I22" i="13" s="1"/>
  <c r="K22" i="13"/>
  <c r="D23" i="13"/>
  <c r="F23" i="13" s="1"/>
  <c r="D24" i="13"/>
  <c r="E24" i="13" s="1"/>
  <c r="D25" i="13"/>
  <c r="E25" i="13"/>
  <c r="F25" i="13"/>
  <c r="G25" i="13"/>
  <c r="K25" i="13" s="1"/>
  <c r="H25" i="13"/>
  <c r="I25" i="13" s="1"/>
  <c r="D26" i="13"/>
  <c r="E26" i="13" s="1"/>
  <c r="D27" i="13"/>
  <c r="E27" i="13" s="1"/>
  <c r="H27" i="13"/>
  <c r="I27" i="13" s="1"/>
  <c r="D28" i="13"/>
  <c r="E28" i="13" s="1"/>
  <c r="D29" i="13"/>
  <c r="H29" i="13" s="1"/>
  <c r="I29" i="13" s="1"/>
  <c r="D30" i="13"/>
  <c r="F30" i="13" s="1"/>
  <c r="E30" i="13"/>
  <c r="G30" i="13"/>
  <c r="H30" i="13"/>
  <c r="I30" i="13" s="1"/>
  <c r="K30" i="13"/>
  <c r="D31" i="13"/>
  <c r="F31" i="13" s="1"/>
  <c r="D32" i="13"/>
  <c r="E32" i="13"/>
  <c r="F32" i="13"/>
  <c r="G32" i="13"/>
  <c r="H32" i="13"/>
  <c r="I32" i="13"/>
  <c r="J32" i="13" s="1"/>
  <c r="K32" i="13"/>
  <c r="D33" i="13"/>
  <c r="E33" i="13" s="1"/>
  <c r="D34" i="13"/>
  <c r="E34" i="13" s="1"/>
  <c r="D35" i="13"/>
  <c r="E35" i="13" s="1"/>
  <c r="H35" i="13"/>
  <c r="I35" i="13" s="1"/>
  <c r="D36" i="13"/>
  <c r="F36" i="13" s="1"/>
  <c r="E36" i="13"/>
  <c r="G36" i="13"/>
  <c r="K36" i="13" s="1"/>
  <c r="D37" i="13"/>
  <c r="H37" i="13" s="1"/>
  <c r="I37" i="13" s="1"/>
  <c r="F37" i="13"/>
  <c r="D38" i="13"/>
  <c r="F38" i="13" s="1"/>
  <c r="D39" i="13"/>
  <c r="F39" i="13" s="1"/>
  <c r="D40" i="13"/>
  <c r="E40" i="13"/>
  <c r="F40" i="13"/>
  <c r="G40" i="13"/>
  <c r="H40" i="13"/>
  <c r="I40" i="13"/>
  <c r="J40" i="13" s="1"/>
  <c r="K40" i="13"/>
  <c r="D41" i="13"/>
  <c r="E41" i="13"/>
  <c r="F41" i="13"/>
  <c r="G41" i="13"/>
  <c r="K41" i="13" s="1"/>
  <c r="H41" i="13"/>
  <c r="I41" i="13" s="1"/>
  <c r="D42" i="13"/>
  <c r="E42" i="13" s="1"/>
  <c r="D43" i="13"/>
  <c r="E43" i="13" s="1"/>
  <c r="D44" i="13"/>
  <c r="F44" i="13" s="1"/>
  <c r="D45" i="13"/>
  <c r="H45" i="13" s="1"/>
  <c r="I45" i="13" s="1"/>
  <c r="F45" i="13"/>
  <c r="D46" i="13"/>
  <c r="F46" i="13" s="1"/>
  <c r="E46" i="13"/>
  <c r="G46" i="13"/>
  <c r="H46" i="13"/>
  <c r="I46" i="13" s="1"/>
  <c r="K46" i="13"/>
  <c r="D47" i="13"/>
  <c r="F47" i="13" s="1"/>
  <c r="D48" i="13"/>
  <c r="E48" i="13" s="1"/>
  <c r="D49" i="13"/>
  <c r="E49" i="13" s="1"/>
  <c r="D50" i="13"/>
  <c r="E50" i="13" s="1"/>
  <c r="D51" i="13"/>
  <c r="E51" i="13" s="1"/>
  <c r="H51" i="13"/>
  <c r="I51" i="13" s="1"/>
  <c r="D52" i="13"/>
  <c r="F52" i="13" s="1"/>
  <c r="E52" i="13"/>
  <c r="G52" i="13"/>
  <c r="K52" i="13" s="1"/>
  <c r="D53" i="13"/>
  <c r="H53" i="13" s="1"/>
  <c r="I53" i="13" s="1"/>
  <c r="D54" i="13"/>
  <c r="E54" i="13" s="1"/>
  <c r="D55" i="13"/>
  <c r="F55" i="13" s="1"/>
  <c r="D56" i="13"/>
  <c r="F56" i="13" s="1"/>
  <c r="D57" i="13"/>
  <c r="E57" i="13"/>
  <c r="F57" i="13"/>
  <c r="G57" i="13"/>
  <c r="K57" i="13" s="1"/>
  <c r="H57" i="13"/>
  <c r="I57" i="13" s="1"/>
  <c r="D58" i="13"/>
  <c r="E58" i="13" s="1"/>
  <c r="D59" i="13"/>
  <c r="E59" i="13" s="1"/>
  <c r="D60" i="13"/>
  <c r="F60" i="13" s="1"/>
  <c r="D61" i="13"/>
  <c r="H61" i="13" s="1"/>
  <c r="I61" i="13" s="1"/>
  <c r="D62" i="13"/>
  <c r="E62" i="13"/>
  <c r="F62" i="13"/>
  <c r="G62" i="13"/>
  <c r="H62" i="13"/>
  <c r="I62" i="13" s="1"/>
  <c r="K62" i="13"/>
  <c r="D63" i="13"/>
  <c r="F63" i="13" s="1"/>
  <c r="D64" i="13"/>
  <c r="H64" i="13" s="1"/>
  <c r="I64" i="13" s="1"/>
  <c r="J64" i="13" s="1"/>
  <c r="D65" i="13"/>
  <c r="E65" i="13"/>
  <c r="F65" i="13"/>
  <c r="G65" i="13"/>
  <c r="K65" i="13" s="1"/>
  <c r="H65" i="13"/>
  <c r="I65" i="13" s="1"/>
  <c r="D66" i="13"/>
  <c r="E66" i="13" s="1"/>
  <c r="D67" i="13"/>
  <c r="E67" i="13" s="1"/>
  <c r="H67" i="13"/>
  <c r="I67" i="13" s="1"/>
  <c r="D68" i="13"/>
  <c r="F68" i="13" s="1"/>
  <c r="D69" i="13"/>
  <c r="H69" i="13" s="1"/>
  <c r="I69" i="13" s="1"/>
  <c r="D70" i="13"/>
  <c r="F70" i="13" s="1"/>
  <c r="E70" i="13"/>
  <c r="G70" i="13"/>
  <c r="H70" i="13"/>
  <c r="I70" i="13" s="1"/>
  <c r="K70" i="13"/>
  <c r="D71" i="13"/>
  <c r="F71" i="13" s="1"/>
  <c r="D72" i="13"/>
  <c r="E72" i="13" s="1"/>
  <c r="F72" i="13"/>
  <c r="G72" i="13"/>
  <c r="H72" i="13"/>
  <c r="I72" i="13"/>
  <c r="J72" i="13" s="1"/>
  <c r="K72" i="13"/>
  <c r="D73" i="13"/>
  <c r="G73" i="13" s="1"/>
  <c r="K73" i="13" s="1"/>
  <c r="D74" i="13"/>
  <c r="E74" i="13" s="1"/>
  <c r="D75" i="13"/>
  <c r="E75" i="13" s="1"/>
  <c r="F75" i="13"/>
  <c r="H75" i="13"/>
  <c r="I75" i="13" s="1"/>
  <c r="D76" i="13"/>
  <c r="F76" i="13" s="1"/>
  <c r="E76" i="13"/>
  <c r="G76" i="13"/>
  <c r="K76" i="13" s="1"/>
  <c r="D77" i="13"/>
  <c r="H77" i="13" s="1"/>
  <c r="I77" i="13" s="1"/>
  <c r="F77" i="13"/>
  <c r="D78" i="13"/>
  <c r="G78" i="13" s="1"/>
  <c r="K78" i="13" s="1"/>
  <c r="D9" i="12"/>
  <c r="G9" i="12" s="1"/>
  <c r="K9" i="12" s="1"/>
  <c r="D10" i="12"/>
  <c r="E10" i="12" s="1"/>
  <c r="D11" i="12"/>
  <c r="E11" i="12" s="1"/>
  <c r="H11" i="12"/>
  <c r="I11" i="12" s="1"/>
  <c r="D12" i="12"/>
  <c r="E12" i="12" s="1"/>
  <c r="F12" i="12"/>
  <c r="G12" i="12"/>
  <c r="K12" i="12" s="1"/>
  <c r="D13" i="12"/>
  <c r="G13" i="12" s="1"/>
  <c r="K13" i="12" s="1"/>
  <c r="D14" i="12"/>
  <c r="F14" i="12" s="1"/>
  <c r="D15" i="12"/>
  <c r="F15" i="12" s="1"/>
  <c r="D16" i="12"/>
  <c r="E16" i="12"/>
  <c r="F16" i="12"/>
  <c r="G16" i="12"/>
  <c r="H16" i="12"/>
  <c r="I16" i="12" s="1"/>
  <c r="K16" i="12"/>
  <c r="D17" i="12"/>
  <c r="G17" i="12" s="1"/>
  <c r="K17" i="12" s="1"/>
  <c r="E17" i="12"/>
  <c r="F17" i="12"/>
  <c r="D18" i="12"/>
  <c r="E18" i="12" s="1"/>
  <c r="D19" i="12"/>
  <c r="E19" i="12" s="1"/>
  <c r="D20" i="12"/>
  <c r="E20" i="12" s="1"/>
  <c r="F20" i="12"/>
  <c r="G20" i="12"/>
  <c r="K20" i="12" s="1"/>
  <c r="D21" i="12"/>
  <c r="G21" i="12" s="1"/>
  <c r="K21" i="12" s="1"/>
  <c r="E21" i="12"/>
  <c r="F21" i="12"/>
  <c r="H21" i="12"/>
  <c r="I21" i="12"/>
  <c r="J21" i="12" s="1"/>
  <c r="D22" i="12"/>
  <c r="F22" i="12" s="1"/>
  <c r="E22" i="12"/>
  <c r="G22" i="12"/>
  <c r="K22" i="12" s="1"/>
  <c r="H22" i="12"/>
  <c r="I22" i="12" s="1"/>
  <c r="D23" i="12"/>
  <c r="F23" i="12" s="1"/>
  <c r="D24" i="12"/>
  <c r="E24" i="12" s="1"/>
  <c r="D25" i="12"/>
  <c r="G25" i="12" s="1"/>
  <c r="K25" i="12" s="1"/>
  <c r="E25" i="12"/>
  <c r="F25" i="12"/>
  <c r="D26" i="12"/>
  <c r="E26" i="12" s="1"/>
  <c r="D27" i="12"/>
  <c r="E27" i="12" s="1"/>
  <c r="H27" i="12"/>
  <c r="I27" i="12" s="1"/>
  <c r="D28" i="12"/>
  <c r="E28" i="12" s="1"/>
  <c r="D29" i="12"/>
  <c r="G29" i="12" s="1"/>
  <c r="K29" i="12" s="1"/>
  <c r="D30" i="12"/>
  <c r="F30" i="12" s="1"/>
  <c r="E30" i="12"/>
  <c r="G30" i="12"/>
  <c r="K30" i="12" s="1"/>
  <c r="H30" i="12"/>
  <c r="I30" i="12" s="1"/>
  <c r="D31" i="12"/>
  <c r="F31" i="12" s="1"/>
  <c r="D32" i="12"/>
  <c r="E32" i="12"/>
  <c r="F32" i="12"/>
  <c r="G32" i="12"/>
  <c r="H32" i="12"/>
  <c r="I32" i="12" s="1"/>
  <c r="K32" i="12"/>
  <c r="D33" i="12"/>
  <c r="G33" i="12" s="1"/>
  <c r="K33" i="12" s="1"/>
  <c r="D34" i="12"/>
  <c r="E34" i="12" s="1"/>
  <c r="D35" i="12"/>
  <c r="E35" i="12" s="1"/>
  <c r="H35" i="12"/>
  <c r="I35" i="12" s="1"/>
  <c r="D36" i="12"/>
  <c r="E36" i="12" s="1"/>
  <c r="F36" i="12"/>
  <c r="G36" i="12"/>
  <c r="K36" i="12" s="1"/>
  <c r="D37" i="12"/>
  <c r="G37" i="12" s="1"/>
  <c r="K37" i="12" s="1"/>
  <c r="E37" i="12"/>
  <c r="F37" i="12"/>
  <c r="H37" i="12"/>
  <c r="I37" i="12"/>
  <c r="J37" i="12" s="1"/>
  <c r="D38" i="12"/>
  <c r="F38" i="12" s="1"/>
  <c r="D39" i="12"/>
  <c r="F39" i="12" s="1"/>
  <c r="D40" i="12"/>
  <c r="E40" i="12"/>
  <c r="F40" i="12"/>
  <c r="G40" i="12"/>
  <c r="H40" i="12"/>
  <c r="I40" i="12" s="1"/>
  <c r="K40" i="12"/>
  <c r="D41" i="12"/>
  <c r="G41" i="12" s="1"/>
  <c r="K41" i="12" s="1"/>
  <c r="E41" i="12"/>
  <c r="F41" i="12"/>
  <c r="D42" i="12"/>
  <c r="E42" i="12" s="1"/>
  <c r="D43" i="12"/>
  <c r="E43" i="12" s="1"/>
  <c r="D44" i="12"/>
  <c r="E44" i="12" s="1"/>
  <c r="D45" i="12"/>
  <c r="G45" i="12" s="1"/>
  <c r="K45" i="12" s="1"/>
  <c r="E45" i="12"/>
  <c r="F45" i="12"/>
  <c r="H45" i="12"/>
  <c r="I45" i="12"/>
  <c r="J45" i="12" s="1"/>
  <c r="D46" i="12"/>
  <c r="F46" i="12" s="1"/>
  <c r="E46" i="12"/>
  <c r="G46" i="12"/>
  <c r="K46" i="12" s="1"/>
  <c r="H46" i="12"/>
  <c r="I46" i="12" s="1"/>
  <c r="D47" i="12"/>
  <c r="F47" i="12" s="1"/>
  <c r="D48" i="12"/>
  <c r="E48" i="12" s="1"/>
  <c r="D49" i="12"/>
  <c r="E49" i="12" s="1"/>
  <c r="D50" i="12"/>
  <c r="E50" i="12" s="1"/>
  <c r="D51" i="12"/>
  <c r="E51" i="12" s="1"/>
  <c r="H51" i="12"/>
  <c r="I51" i="12" s="1"/>
  <c r="D52" i="12"/>
  <c r="E52" i="12" s="1"/>
  <c r="F52" i="12"/>
  <c r="G52" i="12"/>
  <c r="K52" i="12" s="1"/>
  <c r="D53" i="12"/>
  <c r="G53" i="12" s="1"/>
  <c r="K53" i="12" s="1"/>
  <c r="D54" i="12"/>
  <c r="F54" i="12" s="1"/>
  <c r="D55" i="12"/>
  <c r="F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G61" i="12" s="1"/>
  <c r="K61" i="12" s="1"/>
  <c r="D62" i="12"/>
  <c r="F62" i="12" s="1"/>
  <c r="E62" i="12"/>
  <c r="G62" i="12"/>
  <c r="K62" i="12" s="1"/>
  <c r="H62" i="12"/>
  <c r="I62" i="12" s="1"/>
  <c r="D63" i="12"/>
  <c r="F63" i="12" s="1"/>
  <c r="D64" i="12"/>
  <c r="E64" i="12" s="1"/>
  <c r="D65" i="12"/>
  <c r="E65" i="12" s="1"/>
  <c r="D66" i="12"/>
  <c r="E66" i="12" s="1"/>
  <c r="D67" i="12"/>
  <c r="E67" i="12" s="1"/>
  <c r="H67" i="12"/>
  <c r="I67" i="12" s="1"/>
  <c r="D68" i="12"/>
  <c r="E68" i="12" s="1"/>
  <c r="D69" i="12"/>
  <c r="G69" i="12" s="1"/>
  <c r="K69" i="12" s="1"/>
  <c r="D70" i="12"/>
  <c r="F70" i="12" s="1"/>
  <c r="E70" i="12"/>
  <c r="G70" i="12"/>
  <c r="K70" i="12" s="1"/>
  <c r="H70" i="12"/>
  <c r="I70" i="12" s="1"/>
  <c r="D71" i="12"/>
  <c r="F71" i="12" s="1"/>
  <c r="D72" i="12"/>
  <c r="E72" i="12"/>
  <c r="F72" i="12"/>
  <c r="G72" i="12"/>
  <c r="H72" i="12"/>
  <c r="I72" i="12" s="1"/>
  <c r="K72" i="12"/>
  <c r="D73" i="12"/>
  <c r="E73" i="12" s="1"/>
  <c r="D74" i="12"/>
  <c r="E74" i="12" s="1"/>
  <c r="D75" i="12"/>
  <c r="E75" i="12" s="1"/>
  <c r="H75" i="12"/>
  <c r="I75" i="12" s="1"/>
  <c r="D76" i="12"/>
  <c r="E76" i="12" s="1"/>
  <c r="F76" i="12"/>
  <c r="G76" i="12"/>
  <c r="K76" i="12" s="1"/>
  <c r="D77" i="12"/>
  <c r="G77" i="12" s="1"/>
  <c r="K77" i="12" s="1"/>
  <c r="E77" i="12"/>
  <c r="F77" i="12"/>
  <c r="H77" i="12"/>
  <c r="I77" i="12" s="1"/>
  <c r="D78" i="12"/>
  <c r="F78" i="12" s="1"/>
  <c r="D9" i="11"/>
  <c r="F9" i="11" s="1"/>
  <c r="D10" i="11"/>
  <c r="E10" i="11" s="1"/>
  <c r="D11" i="11"/>
  <c r="E11" i="11" s="1"/>
  <c r="F11" i="11"/>
  <c r="G11" i="11"/>
  <c r="K11" i="11"/>
  <c r="D12" i="11"/>
  <c r="G12" i="11" s="1"/>
  <c r="K12" i="11" s="1"/>
  <c r="E12" i="11"/>
  <c r="F12" i="11"/>
  <c r="H12" i="11"/>
  <c r="I12" i="11" s="1"/>
  <c r="D13" i="11"/>
  <c r="F13" i="11" s="1"/>
  <c r="E13" i="11"/>
  <c r="D14" i="11"/>
  <c r="G14" i="11" s="1"/>
  <c r="K14" i="11" s="1"/>
  <c r="D15" i="11"/>
  <c r="E15" i="11"/>
  <c r="F15" i="11"/>
  <c r="G15" i="11"/>
  <c r="K15" i="11" s="1"/>
  <c r="H15" i="11"/>
  <c r="I15" i="11"/>
  <c r="L15" i="11" s="1"/>
  <c r="J15" i="11"/>
  <c r="D16" i="11"/>
  <c r="E16" i="11" s="1"/>
  <c r="D17" i="11"/>
  <c r="F17" i="11" s="1"/>
  <c r="E17" i="11"/>
  <c r="H17" i="11"/>
  <c r="I17" i="11"/>
  <c r="L17" i="11" s="1"/>
  <c r="D18" i="11"/>
  <c r="E18" i="11" s="1"/>
  <c r="D19" i="11"/>
  <c r="H19" i="11" s="1"/>
  <c r="I19" i="11" s="1"/>
  <c r="D20" i="11"/>
  <c r="G20" i="11" s="1"/>
  <c r="K20" i="11" s="1"/>
  <c r="E20" i="11"/>
  <c r="F20" i="11"/>
  <c r="H20" i="11"/>
  <c r="I20" i="11" s="1"/>
  <c r="D21" i="11"/>
  <c r="H21" i="11" s="1"/>
  <c r="I21" i="11" s="1"/>
  <c r="E21" i="11"/>
  <c r="G21" i="11"/>
  <c r="K21" i="11" s="1"/>
  <c r="D22" i="11"/>
  <c r="G22" i="11" s="1"/>
  <c r="K22" i="11" s="1"/>
  <c r="F22" i="11"/>
  <c r="H22" i="11"/>
  <c r="I22" i="11" s="1"/>
  <c r="D23" i="11"/>
  <c r="G23" i="11" s="1"/>
  <c r="K23" i="11" s="1"/>
  <c r="D24" i="11"/>
  <c r="E24" i="11" s="1"/>
  <c r="D25" i="11"/>
  <c r="F25" i="11" s="1"/>
  <c r="E25" i="11"/>
  <c r="H25" i="11"/>
  <c r="I25" i="11"/>
  <c r="L25" i="11" s="1"/>
  <c r="D26" i="11"/>
  <c r="E26" i="11" s="1"/>
  <c r="D27" i="11"/>
  <c r="H27" i="11" s="1"/>
  <c r="I27" i="11" s="1"/>
  <c r="E27" i="11"/>
  <c r="F27" i="11"/>
  <c r="G27" i="11"/>
  <c r="K27" i="11"/>
  <c r="D28" i="11"/>
  <c r="G28" i="11" s="1"/>
  <c r="K28" i="11" s="1"/>
  <c r="D29" i="11"/>
  <c r="H29" i="11" s="1"/>
  <c r="I29" i="11" s="1"/>
  <c r="D30" i="11"/>
  <c r="G30" i="11" s="1"/>
  <c r="K30" i="11" s="1"/>
  <c r="F30" i="11"/>
  <c r="H30" i="11"/>
  <c r="I30" i="11" s="1"/>
  <c r="D31" i="11"/>
  <c r="E31" i="11"/>
  <c r="F31" i="11"/>
  <c r="G31" i="11"/>
  <c r="K31" i="11" s="1"/>
  <c r="H31" i="11"/>
  <c r="I31" i="11"/>
  <c r="L31" i="11" s="1"/>
  <c r="J31" i="11"/>
  <c r="D32" i="11"/>
  <c r="E32" i="11" s="1"/>
  <c r="D33" i="11"/>
  <c r="F33" i="11" s="1"/>
  <c r="D34" i="11"/>
  <c r="E34" i="11" s="1"/>
  <c r="D35" i="11"/>
  <c r="H35" i="11" s="1"/>
  <c r="I35" i="11" s="1"/>
  <c r="E35" i="11"/>
  <c r="F35" i="11"/>
  <c r="G35" i="11"/>
  <c r="K35" i="11"/>
  <c r="D36" i="11"/>
  <c r="G36" i="11" s="1"/>
  <c r="K36" i="11" s="1"/>
  <c r="E36" i="11"/>
  <c r="F36" i="11"/>
  <c r="H36" i="11"/>
  <c r="I36" i="11" s="1"/>
  <c r="D37" i="11"/>
  <c r="H37" i="11" s="1"/>
  <c r="I37" i="11" s="1"/>
  <c r="E37" i="11"/>
  <c r="G37" i="11"/>
  <c r="K37" i="11" s="1"/>
  <c r="D38" i="11"/>
  <c r="G38" i="11" s="1"/>
  <c r="K38" i="11" s="1"/>
  <c r="D39" i="11"/>
  <c r="H39" i="11" s="1"/>
  <c r="I39" i="11" s="1"/>
  <c r="D40" i="11"/>
  <c r="E40" i="11" s="1"/>
  <c r="D41" i="11"/>
  <c r="F41" i="11" s="1"/>
  <c r="E41" i="11"/>
  <c r="G41" i="11"/>
  <c r="H41" i="11"/>
  <c r="I41" i="11"/>
  <c r="L41" i="11" s="1"/>
  <c r="K41" i="11"/>
  <c r="D42" i="11"/>
  <c r="E42" i="11" s="1"/>
  <c r="D43" i="11"/>
  <c r="H43" i="11" s="1"/>
  <c r="I43" i="11" s="1"/>
  <c r="D44" i="11"/>
  <c r="G44" i="11" s="1"/>
  <c r="K44" i="11" s="1"/>
  <c r="D45" i="11"/>
  <c r="H45" i="11" s="1"/>
  <c r="I45" i="11" s="1"/>
  <c r="E45" i="11"/>
  <c r="G45" i="11"/>
  <c r="K45" i="11" s="1"/>
  <c r="D46" i="11"/>
  <c r="G46" i="11" s="1"/>
  <c r="K46" i="11" s="1"/>
  <c r="F46" i="11"/>
  <c r="H46" i="11"/>
  <c r="I46" i="11" s="1"/>
  <c r="D47" i="11"/>
  <c r="E47" i="11"/>
  <c r="F47" i="11"/>
  <c r="G47" i="11"/>
  <c r="K47" i="11" s="1"/>
  <c r="H47" i="11"/>
  <c r="I47" i="11"/>
  <c r="L47" i="11" s="1"/>
  <c r="J47" i="11"/>
  <c r="D48" i="11"/>
  <c r="E48" i="11" s="1"/>
  <c r="D49" i="11"/>
  <c r="F49" i="11" s="1"/>
  <c r="D50" i="11"/>
  <c r="E50" i="11" s="1"/>
  <c r="D51" i="11"/>
  <c r="H51" i="11" s="1"/>
  <c r="I51" i="11" s="1"/>
  <c r="E51" i="11"/>
  <c r="F51" i="11"/>
  <c r="G51" i="11"/>
  <c r="K51" i="11"/>
  <c r="D52" i="11"/>
  <c r="G52" i="11" s="1"/>
  <c r="K52" i="11" s="1"/>
  <c r="E52" i="11"/>
  <c r="F52" i="11"/>
  <c r="H52" i="11"/>
  <c r="I52" i="11" s="1"/>
  <c r="D53" i="11"/>
  <c r="H53" i="11" s="1"/>
  <c r="I53" i="11" s="1"/>
  <c r="G53" i="11"/>
  <c r="K53" i="11" s="1"/>
  <c r="D54" i="11"/>
  <c r="G54" i="11" s="1"/>
  <c r="K54" i="11" s="1"/>
  <c r="D55" i="11"/>
  <c r="H55" i="11" s="1"/>
  <c r="I55" i="11" s="1"/>
  <c r="D56" i="11"/>
  <c r="E56" i="11" s="1"/>
  <c r="D57" i="11"/>
  <c r="F57" i="11" s="1"/>
  <c r="D58" i="11"/>
  <c r="E58" i="11" s="1"/>
  <c r="D59" i="11"/>
  <c r="H59" i="11" s="1"/>
  <c r="I59" i="11" s="1"/>
  <c r="D60" i="11"/>
  <c r="G60" i="11" s="1"/>
  <c r="K60" i="11" s="1"/>
  <c r="E60" i="11"/>
  <c r="H60" i="11"/>
  <c r="I60" i="11" s="1"/>
  <c r="D61" i="11"/>
  <c r="H61" i="11" s="1"/>
  <c r="I61" i="11" s="1"/>
  <c r="D62" i="11"/>
  <c r="G62" i="11" s="1"/>
  <c r="K62" i="11" s="1"/>
  <c r="F62" i="11"/>
  <c r="H62" i="11"/>
  <c r="I62" i="11" s="1"/>
  <c r="D63" i="11"/>
  <c r="H63" i="11" s="1"/>
  <c r="I63" i="11" s="1"/>
  <c r="E63" i="11"/>
  <c r="D64" i="11"/>
  <c r="E64" i="11" s="1"/>
  <c r="D65" i="11"/>
  <c r="F65" i="11" s="1"/>
  <c r="E65" i="11"/>
  <c r="G65" i="11"/>
  <c r="H65" i="11"/>
  <c r="I65" i="11"/>
  <c r="L65" i="11" s="1"/>
  <c r="K65" i="11"/>
  <c r="D66" i="11"/>
  <c r="E66" i="11" s="1"/>
  <c r="D67" i="11"/>
  <c r="H67" i="11" s="1"/>
  <c r="I67" i="11" s="1"/>
  <c r="E67" i="11"/>
  <c r="F67" i="11"/>
  <c r="G67" i="11"/>
  <c r="K67" i="11"/>
  <c r="D68" i="11"/>
  <c r="G68" i="11" s="1"/>
  <c r="K68" i="11" s="1"/>
  <c r="D69" i="11"/>
  <c r="H69" i="11" s="1"/>
  <c r="I69" i="11" s="1"/>
  <c r="D70" i="11"/>
  <c r="G70" i="11" s="1"/>
  <c r="K70" i="11" s="1"/>
  <c r="F70" i="11"/>
  <c r="H70" i="11"/>
  <c r="I70" i="11" s="1"/>
  <c r="D71" i="11"/>
  <c r="H71" i="11" s="1"/>
  <c r="I71" i="11" s="1"/>
  <c r="E71" i="11"/>
  <c r="F71" i="11"/>
  <c r="G71" i="11"/>
  <c r="K71" i="11" s="1"/>
  <c r="D72" i="11"/>
  <c r="E72" i="11" s="1"/>
  <c r="D73" i="11"/>
  <c r="F73" i="11" s="1"/>
  <c r="D74" i="11"/>
  <c r="E74" i="11" s="1"/>
  <c r="D75" i="11"/>
  <c r="H75" i="11" s="1"/>
  <c r="I75" i="11" s="1"/>
  <c r="E75" i="11"/>
  <c r="F75" i="11"/>
  <c r="G75" i="11"/>
  <c r="K75" i="11"/>
  <c r="D76" i="11"/>
  <c r="G76" i="11" s="1"/>
  <c r="K76" i="11" s="1"/>
  <c r="E76" i="11"/>
  <c r="F76" i="11"/>
  <c r="H76" i="11"/>
  <c r="I76" i="11" s="1"/>
  <c r="D77" i="11"/>
  <c r="H77" i="11" s="1"/>
  <c r="I77" i="11" s="1"/>
  <c r="E77" i="11"/>
  <c r="G77" i="11"/>
  <c r="K77" i="11" s="1"/>
  <c r="D78" i="11"/>
  <c r="G78" i="11" s="1"/>
  <c r="K78" i="11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G14" i="10" s="1"/>
  <c r="K14" i="10" s="1"/>
  <c r="D15" i="10"/>
  <c r="F15" i="10" s="1"/>
  <c r="D16" i="10"/>
  <c r="E16" i="10" s="1"/>
  <c r="D17" i="10"/>
  <c r="E17" i="10" s="1"/>
  <c r="D18" i="10"/>
  <c r="E18" i="10" s="1"/>
  <c r="D19" i="10"/>
  <c r="G19" i="10" s="1"/>
  <c r="K19" i="10" s="1"/>
  <c r="D20" i="10"/>
  <c r="E20" i="10" s="1"/>
  <c r="D21" i="10"/>
  <c r="E21" i="10" s="1"/>
  <c r="D22" i="10"/>
  <c r="E22" i="10" s="1"/>
  <c r="D23" i="10"/>
  <c r="F23" i="10" s="1"/>
  <c r="D24" i="10"/>
  <c r="E24" i="10" s="1"/>
  <c r="D25" i="10"/>
  <c r="E25" i="10" s="1"/>
  <c r="G25" i="10"/>
  <c r="K25" i="10" s="1"/>
  <c r="D26" i="10"/>
  <c r="E26" i="10" s="1"/>
  <c r="D27" i="10"/>
  <c r="G27" i="10" s="1"/>
  <c r="K27" i="10" s="1"/>
  <c r="D28" i="10"/>
  <c r="E28" i="10" s="1"/>
  <c r="D29" i="10"/>
  <c r="E29" i="10" s="1"/>
  <c r="D30" i="10"/>
  <c r="F30" i="10" s="1"/>
  <c r="D31" i="10"/>
  <c r="F31" i="10" s="1"/>
  <c r="D32" i="10"/>
  <c r="E32" i="10" s="1"/>
  <c r="D33" i="10"/>
  <c r="E33" i="10" s="1"/>
  <c r="D34" i="10"/>
  <c r="E34" i="10" s="1"/>
  <c r="D35" i="10"/>
  <c r="G35" i="10" s="1"/>
  <c r="K35" i="10" s="1"/>
  <c r="D36" i="10"/>
  <c r="E36" i="10" s="1"/>
  <c r="D37" i="10"/>
  <c r="E37" i="10" s="1"/>
  <c r="D38" i="10"/>
  <c r="E38" i="10" s="1"/>
  <c r="D39" i="10"/>
  <c r="F39" i="10" s="1"/>
  <c r="D40" i="10"/>
  <c r="E40" i="10" s="1"/>
  <c r="D41" i="10"/>
  <c r="E41" i="10" s="1"/>
  <c r="D42" i="10"/>
  <c r="E42" i="10" s="1"/>
  <c r="D43" i="10"/>
  <c r="G43" i="10" s="1"/>
  <c r="K43" i="10" s="1"/>
  <c r="D44" i="10"/>
  <c r="E44" i="10" s="1"/>
  <c r="D45" i="10"/>
  <c r="E45" i="10" s="1"/>
  <c r="D46" i="10"/>
  <c r="F46" i="10" s="1"/>
  <c r="D47" i="10"/>
  <c r="F47" i="10" s="1"/>
  <c r="D48" i="10"/>
  <c r="E48" i="10" s="1"/>
  <c r="D49" i="10"/>
  <c r="E49" i="10" s="1"/>
  <c r="D50" i="10"/>
  <c r="E50" i="10" s="1"/>
  <c r="D51" i="10"/>
  <c r="G51" i="10" s="1"/>
  <c r="K51" i="10" s="1"/>
  <c r="D52" i="10"/>
  <c r="E52" i="10" s="1"/>
  <c r="D53" i="10"/>
  <c r="E53" i="10" s="1"/>
  <c r="D54" i="10"/>
  <c r="E54" i="10" s="1"/>
  <c r="D55" i="10"/>
  <c r="F55" i="10" s="1"/>
  <c r="D56" i="10"/>
  <c r="E56" i="10" s="1"/>
  <c r="D57" i="10"/>
  <c r="E57" i="10" s="1"/>
  <c r="D58" i="10"/>
  <c r="E58" i="10" s="1"/>
  <c r="D59" i="10"/>
  <c r="G59" i="10" s="1"/>
  <c r="K59" i="10" s="1"/>
  <c r="D60" i="10"/>
  <c r="E60" i="10" s="1"/>
  <c r="D61" i="10"/>
  <c r="E61" i="10" s="1"/>
  <c r="D62" i="10"/>
  <c r="F62" i="10" s="1"/>
  <c r="D63" i="10"/>
  <c r="F63" i="10" s="1"/>
  <c r="D64" i="10"/>
  <c r="E64" i="10" s="1"/>
  <c r="D65" i="10"/>
  <c r="E65" i="10" s="1"/>
  <c r="D66" i="10"/>
  <c r="E66" i="10" s="1"/>
  <c r="D67" i="10"/>
  <c r="G67" i="10" s="1"/>
  <c r="K67" i="10" s="1"/>
  <c r="D68" i="10"/>
  <c r="E68" i="10" s="1"/>
  <c r="D69" i="10"/>
  <c r="E69" i="10" s="1"/>
  <c r="D70" i="10"/>
  <c r="F70" i="10" s="1"/>
  <c r="D71" i="10"/>
  <c r="F71" i="10" s="1"/>
  <c r="D72" i="10"/>
  <c r="E72" i="10" s="1"/>
  <c r="D73" i="10"/>
  <c r="E73" i="10" s="1"/>
  <c r="D74" i="10"/>
  <c r="E74" i="10" s="1"/>
  <c r="D75" i="10"/>
  <c r="G75" i="10" s="1"/>
  <c r="K75" i="10" s="1"/>
  <c r="E75" i="10"/>
  <c r="D76" i="10"/>
  <c r="E76" i="10" s="1"/>
  <c r="G76" i="10"/>
  <c r="K76" i="10" s="1"/>
  <c r="D77" i="10"/>
  <c r="E77" i="10" s="1"/>
  <c r="F77" i="10"/>
  <c r="H77" i="10"/>
  <c r="I77" i="10" s="1"/>
  <c r="D78" i="10"/>
  <c r="E78" i="10" s="1"/>
  <c r="D9" i="5"/>
  <c r="E9" i="5" s="1"/>
  <c r="D10" i="5"/>
  <c r="E10" i="5" s="1"/>
  <c r="D11" i="5"/>
  <c r="E11" i="5" s="1"/>
  <c r="D12" i="5"/>
  <c r="E12" i="5" s="1"/>
  <c r="H12" i="5"/>
  <c r="I12" i="5" s="1"/>
  <c r="D13" i="5"/>
  <c r="E13" i="5" s="1"/>
  <c r="D14" i="5"/>
  <c r="E14" i="5" s="1"/>
  <c r="D15" i="5"/>
  <c r="F15" i="5" s="1"/>
  <c r="D16" i="5"/>
  <c r="F16" i="5" s="1"/>
  <c r="D17" i="5"/>
  <c r="E17" i="5" s="1"/>
  <c r="D18" i="5"/>
  <c r="E18" i="5" s="1"/>
  <c r="D19" i="5"/>
  <c r="E19" i="5" s="1"/>
  <c r="D20" i="5"/>
  <c r="E20" i="5" s="1"/>
  <c r="D21" i="5"/>
  <c r="E21" i="5" s="1"/>
  <c r="G21" i="5"/>
  <c r="K21" i="5" s="1"/>
  <c r="H21" i="5"/>
  <c r="I21" i="5" s="1"/>
  <c r="G20" i="7" s="1"/>
  <c r="D22" i="5"/>
  <c r="E22" i="5" s="1"/>
  <c r="D23" i="5"/>
  <c r="F23" i="5" s="1"/>
  <c r="D24" i="5"/>
  <c r="F24" i="5" s="1"/>
  <c r="D25" i="5"/>
  <c r="E25" i="5" s="1"/>
  <c r="D26" i="5"/>
  <c r="E26" i="5" s="1"/>
  <c r="D27" i="5"/>
  <c r="E27" i="5" s="1"/>
  <c r="D28" i="5"/>
  <c r="F28" i="5" s="1"/>
  <c r="D29" i="5"/>
  <c r="E29" i="5" s="1"/>
  <c r="D30" i="5"/>
  <c r="E30" i="5" s="1"/>
  <c r="D31" i="5"/>
  <c r="F31" i="5" s="1"/>
  <c r="D32" i="5"/>
  <c r="F32" i="5" s="1"/>
  <c r="E32" i="5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F39" i="5" s="1"/>
  <c r="D40" i="5"/>
  <c r="F40" i="5" s="1"/>
  <c r="D41" i="5"/>
  <c r="E41" i="5" s="1"/>
  <c r="D42" i="5"/>
  <c r="E42" i="5" s="1"/>
  <c r="D43" i="5"/>
  <c r="E43" i="5" s="1"/>
  <c r="D44" i="5"/>
  <c r="G44" i="5" s="1"/>
  <c r="K44" i="5" s="1"/>
  <c r="D45" i="5"/>
  <c r="E45" i="5" s="1"/>
  <c r="D46" i="5"/>
  <c r="E46" i="5" s="1"/>
  <c r="G46" i="5"/>
  <c r="K46" i="5" s="1"/>
  <c r="D47" i="5"/>
  <c r="F47" i="5" s="1"/>
  <c r="D48" i="5"/>
  <c r="F48" i="5" s="1"/>
  <c r="D49" i="5"/>
  <c r="E49" i="5" s="1"/>
  <c r="D50" i="5"/>
  <c r="E50" i="5" s="1"/>
  <c r="D51" i="5"/>
  <c r="E51" i="5" s="1"/>
  <c r="G51" i="5"/>
  <c r="K51" i="5" s="1"/>
  <c r="D52" i="5"/>
  <c r="G52" i="5" s="1"/>
  <c r="K52" i="5" s="1"/>
  <c r="F52" i="5"/>
  <c r="D53" i="5"/>
  <c r="E53" i="5" s="1"/>
  <c r="D54" i="5"/>
  <c r="E54" i="5" s="1"/>
  <c r="D55" i="5"/>
  <c r="F55" i="5" s="1"/>
  <c r="D56" i="5"/>
  <c r="F56" i="5" s="1"/>
  <c r="D57" i="5"/>
  <c r="E57" i="5" s="1"/>
  <c r="D58" i="5"/>
  <c r="E58" i="5" s="1"/>
  <c r="D59" i="5"/>
  <c r="E59" i="5" s="1"/>
  <c r="D60" i="5"/>
  <c r="F60" i="5" s="1"/>
  <c r="D61" i="5"/>
  <c r="E61" i="5" s="1"/>
  <c r="D62" i="5"/>
  <c r="E62" i="5" s="1"/>
  <c r="D63" i="5"/>
  <c r="F63" i="5" s="1"/>
  <c r="D64" i="5"/>
  <c r="F64" i="5" s="1"/>
  <c r="D65" i="5"/>
  <c r="E65" i="5" s="1"/>
  <c r="D66" i="5"/>
  <c r="E66" i="5" s="1"/>
  <c r="D67" i="5"/>
  <c r="E67" i="5" s="1"/>
  <c r="G67" i="5"/>
  <c r="K67" i="5" s="1"/>
  <c r="D68" i="5"/>
  <c r="E68" i="5" s="1"/>
  <c r="D69" i="5"/>
  <c r="E69" i="5" s="1"/>
  <c r="D70" i="5"/>
  <c r="F70" i="5" s="1"/>
  <c r="E70" i="5"/>
  <c r="H70" i="5"/>
  <c r="I70" i="5" s="1"/>
  <c r="G69" i="7" s="1"/>
  <c r="D71" i="5"/>
  <c r="F71" i="5" s="1"/>
  <c r="D72" i="5"/>
  <c r="F72" i="5" s="1"/>
  <c r="D73" i="5"/>
  <c r="E73" i="5" s="1"/>
  <c r="D74" i="5"/>
  <c r="E74" i="5" s="1"/>
  <c r="D75" i="5"/>
  <c r="E75" i="5" s="1"/>
  <c r="F75" i="5"/>
  <c r="H75" i="5"/>
  <c r="I75" i="5" s="1"/>
  <c r="G74" i="7" s="1"/>
  <c r="D76" i="5"/>
  <c r="G76" i="5" s="1"/>
  <c r="K76" i="5" s="1"/>
  <c r="F76" i="5"/>
  <c r="D77" i="5"/>
  <c r="E77" i="5" s="1"/>
  <c r="D78" i="5"/>
  <c r="E78" i="5" s="1"/>
  <c r="D9" i="4"/>
  <c r="G9" i="4" s="1"/>
  <c r="K9" i="4" s="1"/>
  <c r="D10" i="4"/>
  <c r="E10" i="4" s="1"/>
  <c r="D11" i="4"/>
  <c r="E11" i="4" s="1"/>
  <c r="H11" i="4"/>
  <c r="I11" i="4" s="1"/>
  <c r="G10" i="6" s="1"/>
  <c r="D12" i="4"/>
  <c r="E12" i="4" s="1"/>
  <c r="G12" i="4"/>
  <c r="K12" i="4" s="1"/>
  <c r="D13" i="4"/>
  <c r="G13" i="4" s="1"/>
  <c r="K13" i="4" s="1"/>
  <c r="D14" i="4"/>
  <c r="F14" i="4" s="1"/>
  <c r="D15" i="4"/>
  <c r="F15" i="4" s="1"/>
  <c r="D16" i="4"/>
  <c r="G16" i="4" s="1"/>
  <c r="K16" i="4" s="1"/>
  <c r="E16" i="4"/>
  <c r="F16" i="4"/>
  <c r="H16" i="4"/>
  <c r="I16" i="4" s="1"/>
  <c r="G15" i="6" s="1"/>
  <c r="D17" i="4"/>
  <c r="G17" i="4" s="1"/>
  <c r="K17" i="4" s="1"/>
  <c r="D18" i="4"/>
  <c r="E18" i="4" s="1"/>
  <c r="D19" i="4"/>
  <c r="E19" i="4" s="1"/>
  <c r="D20" i="4"/>
  <c r="E20" i="4" s="1"/>
  <c r="F20" i="4"/>
  <c r="G20" i="4"/>
  <c r="K20" i="4" s="1"/>
  <c r="D21" i="4"/>
  <c r="G21" i="4" s="1"/>
  <c r="K21" i="4" s="1"/>
  <c r="D22" i="4"/>
  <c r="F22" i="4" s="1"/>
  <c r="E22" i="4"/>
  <c r="G22" i="4"/>
  <c r="K22" i="4" s="1"/>
  <c r="H22" i="4"/>
  <c r="I22" i="4" s="1"/>
  <c r="G21" i="6" s="1"/>
  <c r="D23" i="4"/>
  <c r="F23" i="4" s="1"/>
  <c r="D24" i="4"/>
  <c r="E24" i="4" s="1"/>
  <c r="H24" i="4"/>
  <c r="I24" i="4" s="1"/>
  <c r="G23" i="6" s="1"/>
  <c r="D25" i="4"/>
  <c r="G25" i="4" s="1"/>
  <c r="K25" i="4" s="1"/>
  <c r="F25" i="4"/>
  <c r="D26" i="4"/>
  <c r="E26" i="4" s="1"/>
  <c r="D27" i="4"/>
  <c r="E27" i="4" s="1"/>
  <c r="D28" i="4"/>
  <c r="E28" i="4" s="1"/>
  <c r="D29" i="4"/>
  <c r="G29" i="4" s="1"/>
  <c r="K29" i="4" s="1"/>
  <c r="D30" i="4"/>
  <c r="F30" i="4" s="1"/>
  <c r="G30" i="4"/>
  <c r="K30" i="4" s="1"/>
  <c r="H30" i="4"/>
  <c r="I30" i="4" s="1"/>
  <c r="G29" i="6" s="1"/>
  <c r="D31" i="4"/>
  <c r="F31" i="4" s="1"/>
  <c r="D32" i="4"/>
  <c r="E32" i="4" s="1"/>
  <c r="G32" i="4"/>
  <c r="K32" i="4"/>
  <c r="D33" i="4"/>
  <c r="G33" i="4" s="1"/>
  <c r="K33" i="4" s="1"/>
  <c r="D34" i="4"/>
  <c r="E34" i="4" s="1"/>
  <c r="D35" i="4"/>
  <c r="E35" i="4" s="1"/>
  <c r="D36" i="4"/>
  <c r="E36" i="4" s="1"/>
  <c r="F36" i="4"/>
  <c r="D37" i="4"/>
  <c r="G37" i="4" s="1"/>
  <c r="K37" i="4" s="1"/>
  <c r="D38" i="4"/>
  <c r="F38" i="4" s="1"/>
  <c r="D39" i="4"/>
  <c r="F39" i="4" s="1"/>
  <c r="D40" i="4"/>
  <c r="E40" i="4"/>
  <c r="F40" i="4"/>
  <c r="G40" i="4"/>
  <c r="K40" i="4" s="1"/>
  <c r="H40" i="4"/>
  <c r="I40" i="4" s="1"/>
  <c r="G39" i="6" s="1"/>
  <c r="D41" i="4"/>
  <c r="G41" i="4" s="1"/>
  <c r="K41" i="4" s="1"/>
  <c r="E41" i="4"/>
  <c r="F41" i="4"/>
  <c r="D42" i="4"/>
  <c r="E42" i="4" s="1"/>
  <c r="D43" i="4"/>
  <c r="E43" i="4" s="1"/>
  <c r="D44" i="4"/>
  <c r="E44" i="4" s="1"/>
  <c r="D45" i="4"/>
  <c r="G45" i="4" s="1"/>
  <c r="K45" i="4" s="1"/>
  <c r="D46" i="4"/>
  <c r="F46" i="4" s="1"/>
  <c r="E46" i="4"/>
  <c r="G46" i="4"/>
  <c r="K46" i="4" s="1"/>
  <c r="H46" i="4"/>
  <c r="I46" i="4" s="1"/>
  <c r="G45" i="6" s="1"/>
  <c r="D47" i="4"/>
  <c r="F47" i="4" s="1"/>
  <c r="D48" i="4"/>
  <c r="E48" i="4" s="1"/>
  <c r="D49" i="4"/>
  <c r="G49" i="4" s="1"/>
  <c r="K49" i="4" s="1"/>
  <c r="D50" i="4"/>
  <c r="E50" i="4" s="1"/>
  <c r="D51" i="4"/>
  <c r="E51" i="4" s="1"/>
  <c r="H51" i="4"/>
  <c r="I51" i="4" s="1"/>
  <c r="G50" i="6" s="1"/>
  <c r="D52" i="4"/>
  <c r="E52" i="4" s="1"/>
  <c r="D53" i="4"/>
  <c r="G53" i="4" s="1"/>
  <c r="K53" i="4" s="1"/>
  <c r="D54" i="4"/>
  <c r="F54" i="4" s="1"/>
  <c r="D55" i="4"/>
  <c r="F55" i="4" s="1"/>
  <c r="D56" i="4"/>
  <c r="E56" i="4" s="1"/>
  <c r="D57" i="4"/>
  <c r="G57" i="4" s="1"/>
  <c r="K57" i="4" s="1"/>
  <c r="D58" i="4"/>
  <c r="E58" i="4" s="1"/>
  <c r="D59" i="4"/>
  <c r="E59" i="4" s="1"/>
  <c r="D60" i="4"/>
  <c r="E60" i="4" s="1"/>
  <c r="D61" i="4"/>
  <c r="G61" i="4" s="1"/>
  <c r="K61" i="4" s="1"/>
  <c r="D62" i="4"/>
  <c r="F62" i="4" s="1"/>
  <c r="E62" i="4"/>
  <c r="G62" i="4"/>
  <c r="K62" i="4" s="1"/>
  <c r="H62" i="4"/>
  <c r="I62" i="4" s="1"/>
  <c r="G61" i="6" s="1"/>
  <c r="D63" i="4"/>
  <c r="F63" i="4" s="1"/>
  <c r="D64" i="4"/>
  <c r="E64" i="4" s="1"/>
  <c r="D65" i="4"/>
  <c r="G65" i="4" s="1"/>
  <c r="K65" i="4" s="1"/>
  <c r="E65" i="4"/>
  <c r="F65" i="4"/>
  <c r="D66" i="4"/>
  <c r="E66" i="4" s="1"/>
  <c r="D67" i="4"/>
  <c r="E67" i="4" s="1"/>
  <c r="D68" i="4"/>
  <c r="E68" i="4" s="1"/>
  <c r="D69" i="4"/>
  <c r="G69" i="4" s="1"/>
  <c r="K69" i="4" s="1"/>
  <c r="D70" i="4"/>
  <c r="F70" i="4" s="1"/>
  <c r="E70" i="4"/>
  <c r="G70" i="4"/>
  <c r="K70" i="4" s="1"/>
  <c r="H70" i="4"/>
  <c r="I70" i="4" s="1"/>
  <c r="G69" i="6" s="1"/>
  <c r="D71" i="4"/>
  <c r="F71" i="4" s="1"/>
  <c r="D72" i="4"/>
  <c r="G72" i="4" s="1"/>
  <c r="K72" i="4" s="1"/>
  <c r="E72" i="4"/>
  <c r="F72" i="4"/>
  <c r="H72" i="4"/>
  <c r="I72" i="4" s="1"/>
  <c r="G71" i="6" s="1"/>
  <c r="D73" i="4"/>
  <c r="G73" i="4" s="1"/>
  <c r="K73" i="4" s="1"/>
  <c r="D74" i="4"/>
  <c r="E74" i="4" s="1"/>
  <c r="D75" i="4"/>
  <c r="E75" i="4" s="1"/>
  <c r="D76" i="4"/>
  <c r="E76" i="4" s="1"/>
  <c r="F76" i="4"/>
  <c r="D77" i="4"/>
  <c r="G77" i="4" s="1"/>
  <c r="K77" i="4" s="1"/>
  <c r="D78" i="4"/>
  <c r="F78" i="4" s="1"/>
  <c r="D14" i="3"/>
  <c r="F14" i="3" s="1"/>
  <c r="D15" i="3"/>
  <c r="H15" i="3" s="1"/>
  <c r="I15" i="3" s="1"/>
  <c r="J15" i="3" s="1"/>
  <c r="D16" i="3"/>
  <c r="F16" i="3" s="1"/>
  <c r="D17" i="3"/>
  <c r="E17" i="3" s="1"/>
  <c r="D18" i="3"/>
  <c r="F18" i="3" s="1"/>
  <c r="D19" i="3"/>
  <c r="H19" i="3" s="1"/>
  <c r="I19" i="3" s="1"/>
  <c r="J19" i="3" s="1"/>
  <c r="D20" i="3"/>
  <c r="F20" i="3" s="1"/>
  <c r="D21" i="3"/>
  <c r="E21" i="3" s="1"/>
  <c r="D22" i="3"/>
  <c r="F22" i="3" s="1"/>
  <c r="E22" i="3"/>
  <c r="D23" i="3"/>
  <c r="H23" i="3" s="1"/>
  <c r="I23" i="3" s="1"/>
  <c r="J23" i="3" s="1"/>
  <c r="D24" i="3"/>
  <c r="F24" i="3" s="1"/>
  <c r="D25" i="3"/>
  <c r="E25" i="3" s="1"/>
  <c r="D26" i="3"/>
  <c r="F26" i="3" s="1"/>
  <c r="D27" i="3"/>
  <c r="H27" i="3" s="1"/>
  <c r="I27" i="3" s="1"/>
  <c r="J27" i="3" s="1"/>
  <c r="D28" i="3"/>
  <c r="F28" i="3" s="1"/>
  <c r="D29" i="3"/>
  <c r="E29" i="3" s="1"/>
  <c r="D30" i="3"/>
  <c r="F30" i="3" s="1"/>
  <c r="D31" i="3"/>
  <c r="H31" i="3" s="1"/>
  <c r="I31" i="3" s="1"/>
  <c r="J31" i="3" s="1"/>
  <c r="D32" i="3"/>
  <c r="F32" i="3" s="1"/>
  <c r="H32" i="3"/>
  <c r="I32" i="3" s="1"/>
  <c r="E31" i="7" s="1"/>
  <c r="D33" i="3"/>
  <c r="E33" i="3" s="1"/>
  <c r="D34" i="3"/>
  <c r="F34" i="3" s="1"/>
  <c r="D35" i="3"/>
  <c r="H35" i="3" s="1"/>
  <c r="I35" i="3" s="1"/>
  <c r="J35" i="3" s="1"/>
  <c r="D36" i="3"/>
  <c r="F36" i="3" s="1"/>
  <c r="E36" i="3"/>
  <c r="D37" i="3"/>
  <c r="E37" i="3" s="1"/>
  <c r="D38" i="3"/>
  <c r="F38" i="3" s="1"/>
  <c r="D39" i="3"/>
  <c r="H39" i="3" s="1"/>
  <c r="I39" i="3" s="1"/>
  <c r="J39" i="3" s="1"/>
  <c r="D40" i="3"/>
  <c r="F40" i="3" s="1"/>
  <c r="D41" i="3"/>
  <c r="E41" i="3" s="1"/>
  <c r="D42" i="3"/>
  <c r="F42" i="3" s="1"/>
  <c r="D43" i="3"/>
  <c r="H43" i="3" s="1"/>
  <c r="I43" i="3" s="1"/>
  <c r="J43" i="3" s="1"/>
  <c r="D44" i="3"/>
  <c r="F44" i="3" s="1"/>
  <c r="D45" i="3"/>
  <c r="E45" i="3" s="1"/>
  <c r="D46" i="3"/>
  <c r="F46" i="3" s="1"/>
  <c r="D47" i="3"/>
  <c r="H47" i="3" s="1"/>
  <c r="I47" i="3" s="1"/>
  <c r="J47" i="3" s="1"/>
  <c r="D48" i="3"/>
  <c r="F48" i="3" s="1"/>
  <c r="D49" i="3"/>
  <c r="E49" i="3" s="1"/>
  <c r="D50" i="3"/>
  <c r="F50" i="3" s="1"/>
  <c r="D51" i="3"/>
  <c r="H51" i="3" s="1"/>
  <c r="I51" i="3" s="1"/>
  <c r="J51" i="3" s="1"/>
  <c r="D52" i="3"/>
  <c r="F52" i="3" s="1"/>
  <c r="D53" i="3"/>
  <c r="E53" i="3" s="1"/>
  <c r="D54" i="3"/>
  <c r="F54" i="3" s="1"/>
  <c r="D55" i="3"/>
  <c r="H55" i="3" s="1"/>
  <c r="I55" i="3" s="1"/>
  <c r="J55" i="3" s="1"/>
  <c r="D56" i="3"/>
  <c r="F56" i="3" s="1"/>
  <c r="D57" i="3"/>
  <c r="E57" i="3" s="1"/>
  <c r="D58" i="3"/>
  <c r="F58" i="3" s="1"/>
  <c r="D59" i="3"/>
  <c r="H59" i="3" s="1"/>
  <c r="I59" i="3" s="1"/>
  <c r="J59" i="3" s="1"/>
  <c r="D60" i="3"/>
  <c r="F60" i="3" s="1"/>
  <c r="D61" i="3"/>
  <c r="E61" i="3" s="1"/>
  <c r="D62" i="3"/>
  <c r="F62" i="3" s="1"/>
  <c r="D63" i="3"/>
  <c r="H63" i="3" s="1"/>
  <c r="I63" i="3" s="1"/>
  <c r="J63" i="3" s="1"/>
  <c r="D64" i="3"/>
  <c r="F64" i="3" s="1"/>
  <c r="D65" i="3"/>
  <c r="E65" i="3" s="1"/>
  <c r="D66" i="3"/>
  <c r="F66" i="3" s="1"/>
  <c r="D67" i="3"/>
  <c r="H67" i="3" s="1"/>
  <c r="I67" i="3" s="1"/>
  <c r="J67" i="3" s="1"/>
  <c r="D68" i="3"/>
  <c r="F68" i="3" s="1"/>
  <c r="D69" i="3"/>
  <c r="E69" i="3" s="1"/>
  <c r="D70" i="3"/>
  <c r="F70" i="3" s="1"/>
  <c r="D71" i="3"/>
  <c r="H71" i="3" s="1"/>
  <c r="I71" i="3" s="1"/>
  <c r="J71" i="3" s="1"/>
  <c r="D72" i="3"/>
  <c r="F72" i="3" s="1"/>
  <c r="D73" i="3"/>
  <c r="E73" i="3" s="1"/>
  <c r="D75" i="3"/>
  <c r="H75" i="3" s="1"/>
  <c r="I75" i="3" s="1"/>
  <c r="J75" i="3" s="1"/>
  <c r="D76" i="3"/>
  <c r="F76" i="3" s="1"/>
  <c r="D77" i="3"/>
  <c r="E77" i="3" s="1"/>
  <c r="D78" i="3"/>
  <c r="F78" i="3" s="1"/>
  <c r="D9" i="3"/>
  <c r="E9" i="3" s="1"/>
  <c r="D10" i="3"/>
  <c r="G10" i="3" s="1"/>
  <c r="K10" i="3" s="1"/>
  <c r="D11" i="3"/>
  <c r="G11" i="3" s="1"/>
  <c r="K11" i="3" s="1"/>
  <c r="D12" i="3"/>
  <c r="E12" i="3" s="1"/>
  <c r="D13" i="3"/>
  <c r="F13" i="3" s="1"/>
  <c r="F70" i="9" l="1"/>
  <c r="H61" i="9"/>
  <c r="I61" i="9" s="1"/>
  <c r="E70" i="9"/>
  <c r="E55" i="9"/>
  <c r="H51" i="9"/>
  <c r="I51" i="9" s="1"/>
  <c r="J51" i="9" s="1"/>
  <c r="F46" i="9"/>
  <c r="H21" i="9"/>
  <c r="I21" i="9" s="1"/>
  <c r="F60" i="9"/>
  <c r="H54" i="9"/>
  <c r="I54" i="9" s="1"/>
  <c r="H76" i="9"/>
  <c r="I76" i="9" s="1"/>
  <c r="L76" i="9" s="1"/>
  <c r="E71" i="9"/>
  <c r="H62" i="9"/>
  <c r="I62" i="9" s="1"/>
  <c r="E54" i="9"/>
  <c r="F37" i="9"/>
  <c r="H12" i="9"/>
  <c r="I12" i="9" s="1"/>
  <c r="H70" i="9"/>
  <c r="I70" i="9" s="1"/>
  <c r="J70" i="9" s="1"/>
  <c r="H67" i="9"/>
  <c r="I67" i="9" s="1"/>
  <c r="J67" i="9" s="1"/>
  <c r="E47" i="9"/>
  <c r="H22" i="9"/>
  <c r="I22" i="9" s="1"/>
  <c r="H75" i="9"/>
  <c r="I75" i="9" s="1"/>
  <c r="J75" i="9" s="1"/>
  <c r="G52" i="9"/>
  <c r="K52" i="9" s="1"/>
  <c r="G22" i="9"/>
  <c r="K22" i="9" s="1"/>
  <c r="H11" i="9"/>
  <c r="I11" i="9" s="1"/>
  <c r="J11" i="9" s="1"/>
  <c r="G49" i="9"/>
  <c r="K49" i="9" s="1"/>
  <c r="F49" i="9"/>
  <c r="E49" i="9"/>
  <c r="G45" i="9"/>
  <c r="K45" i="9" s="1"/>
  <c r="H44" i="9"/>
  <c r="I44" i="9" s="1"/>
  <c r="H36" i="9"/>
  <c r="I36" i="9" s="1"/>
  <c r="G36" i="9"/>
  <c r="K36" i="9" s="1"/>
  <c r="H35" i="9"/>
  <c r="I35" i="9" s="1"/>
  <c r="J35" i="9" s="1"/>
  <c r="G30" i="9"/>
  <c r="K30" i="9" s="1"/>
  <c r="H20" i="9"/>
  <c r="I20" i="9" s="1"/>
  <c r="E49" i="8"/>
  <c r="H54" i="15"/>
  <c r="I54" i="15" s="1"/>
  <c r="J54" i="15" s="1"/>
  <c r="H40" i="15"/>
  <c r="I40" i="15" s="1"/>
  <c r="J40" i="15" s="1"/>
  <c r="H30" i="15"/>
  <c r="I30" i="15" s="1"/>
  <c r="J30" i="15" s="1"/>
  <c r="G30" i="15"/>
  <c r="K30" i="15" s="1"/>
  <c r="E30" i="15"/>
  <c r="E79" i="14"/>
  <c r="H75" i="14"/>
  <c r="I75" i="14" s="1"/>
  <c r="H69" i="14"/>
  <c r="I69" i="14" s="1"/>
  <c r="L69" i="14" s="1"/>
  <c r="F65" i="14"/>
  <c r="E65" i="14"/>
  <c r="F61" i="14"/>
  <c r="F56" i="14"/>
  <c r="E56" i="14"/>
  <c r="G28" i="14"/>
  <c r="K28" i="14" s="1"/>
  <c r="H13" i="14"/>
  <c r="I13" i="14" s="1"/>
  <c r="J13" i="14" s="1"/>
  <c r="F13" i="14"/>
  <c r="H78" i="13"/>
  <c r="I78" i="13" s="1"/>
  <c r="J78" i="13" s="1"/>
  <c r="E73" i="13"/>
  <c r="H56" i="13"/>
  <c r="I56" i="13" s="1"/>
  <c r="J56" i="13" s="1"/>
  <c r="G56" i="13"/>
  <c r="K56" i="13" s="1"/>
  <c r="G78" i="12"/>
  <c r="K78" i="12" s="1"/>
  <c r="G28" i="12"/>
  <c r="K28" i="12" s="1"/>
  <c r="H24" i="12"/>
  <c r="I24" i="12" s="1"/>
  <c r="G24" i="12"/>
  <c r="K24" i="12" s="1"/>
  <c r="F13" i="12"/>
  <c r="E13" i="12"/>
  <c r="H13" i="12"/>
  <c r="I13" i="12" s="1"/>
  <c r="J13" i="12" s="1"/>
  <c r="H13" i="11"/>
  <c r="I13" i="11" s="1"/>
  <c r="J13" i="11" s="1"/>
  <c r="G13" i="11"/>
  <c r="K13" i="11" s="1"/>
  <c r="F79" i="10"/>
  <c r="E79" i="10"/>
  <c r="E79" i="5"/>
  <c r="G79" i="5"/>
  <c r="K79" i="5" s="1"/>
  <c r="F79" i="5"/>
  <c r="D52" i="7"/>
  <c r="H64" i="4"/>
  <c r="I64" i="4" s="1"/>
  <c r="G63" i="6" s="1"/>
  <c r="F64" i="4"/>
  <c r="G76" i="4"/>
  <c r="K76" i="4" s="1"/>
  <c r="G36" i="4"/>
  <c r="K36" i="4" s="1"/>
  <c r="H32" i="4"/>
  <c r="I32" i="4" s="1"/>
  <c r="G31" i="6" s="1"/>
  <c r="E30" i="4"/>
  <c r="E25" i="4"/>
  <c r="F12" i="4"/>
  <c r="H45" i="4"/>
  <c r="I45" i="4" s="1"/>
  <c r="F32" i="4"/>
  <c r="H21" i="4"/>
  <c r="I21" i="4" s="1"/>
  <c r="H75" i="4"/>
  <c r="I75" i="4" s="1"/>
  <c r="G74" i="6" s="1"/>
  <c r="H67" i="4"/>
  <c r="I67" i="4" s="1"/>
  <c r="G66" i="6" s="1"/>
  <c r="F45" i="4"/>
  <c r="H35" i="4"/>
  <c r="I35" i="4" s="1"/>
  <c r="G34" i="6" s="1"/>
  <c r="F21" i="4"/>
  <c r="F17" i="4"/>
  <c r="H78" i="6"/>
  <c r="H77" i="4"/>
  <c r="I77" i="4" s="1"/>
  <c r="G52" i="4"/>
  <c r="K52" i="4" s="1"/>
  <c r="E45" i="4"/>
  <c r="H37" i="4"/>
  <c r="I37" i="4" s="1"/>
  <c r="H27" i="4"/>
  <c r="I27" i="4" s="1"/>
  <c r="G26" i="6" s="1"/>
  <c r="E21" i="4"/>
  <c r="E17" i="4"/>
  <c r="F77" i="4"/>
  <c r="F57" i="4"/>
  <c r="F52" i="4"/>
  <c r="F37" i="4"/>
  <c r="E77" i="4"/>
  <c r="E57" i="4"/>
  <c r="E37" i="4"/>
  <c r="G24" i="4"/>
  <c r="K24" i="4" s="1"/>
  <c r="H13" i="4"/>
  <c r="I13" i="4" s="1"/>
  <c r="F13" i="4"/>
  <c r="E13" i="4"/>
  <c r="E56" i="3"/>
  <c r="F69" i="7"/>
  <c r="F45" i="7"/>
  <c r="F37" i="7"/>
  <c r="F32" i="7"/>
  <c r="H70" i="7"/>
  <c r="H50" i="7"/>
  <c r="D46" i="7"/>
  <c r="F42" i="7"/>
  <c r="E34" i="7"/>
  <c r="E32" i="3"/>
  <c r="F67" i="7"/>
  <c r="F35" i="7"/>
  <c r="H8" i="7"/>
  <c r="F27" i="7"/>
  <c r="F15" i="7"/>
  <c r="H69" i="7"/>
  <c r="H57" i="7"/>
  <c r="D49" i="7"/>
  <c r="F76" i="7"/>
  <c r="F72" i="7"/>
  <c r="F56" i="7"/>
  <c r="D22" i="7"/>
  <c r="D14" i="7"/>
  <c r="F40" i="7"/>
  <c r="F21" i="7"/>
  <c r="F9" i="7"/>
  <c r="E66" i="7"/>
  <c r="E26" i="7"/>
  <c r="E26" i="3"/>
  <c r="F75" i="7"/>
  <c r="H66" i="7"/>
  <c r="E50" i="7"/>
  <c r="H29" i="7"/>
  <c r="D26" i="7"/>
  <c r="E74" i="7"/>
  <c r="D50" i="7"/>
  <c r="E42" i="7"/>
  <c r="E22" i="7"/>
  <c r="F10" i="7"/>
  <c r="H74" i="7"/>
  <c r="D71" i="7"/>
  <c r="F65" i="7"/>
  <c r="H49" i="7"/>
  <c r="F47" i="7"/>
  <c r="D42" i="7"/>
  <c r="F25" i="7"/>
  <c r="H22" i="7"/>
  <c r="F20" i="7"/>
  <c r="F17" i="7"/>
  <c r="F14" i="7"/>
  <c r="F12" i="7"/>
  <c r="F12" i="3"/>
  <c r="G12" i="3"/>
  <c r="K12" i="3" s="1"/>
  <c r="E72" i="3"/>
  <c r="E42" i="3"/>
  <c r="E70" i="7"/>
  <c r="F49" i="7"/>
  <c r="F39" i="7"/>
  <c r="E30" i="7"/>
  <c r="E14" i="7"/>
  <c r="F46" i="7"/>
  <c r="H12" i="3"/>
  <c r="I12" i="3" s="1"/>
  <c r="E11" i="7" s="1"/>
  <c r="F64" i="7"/>
  <c r="F57" i="7"/>
  <c r="F51" i="7"/>
  <c r="E46" i="7"/>
  <c r="H41" i="7"/>
  <c r="F19" i="7"/>
  <c r="H64" i="7"/>
  <c r="H45" i="7"/>
  <c r="H73" i="7"/>
  <c r="H61" i="7"/>
  <c r="F52" i="7"/>
  <c r="H42" i="7"/>
  <c r="D41" i="7"/>
  <c r="F24" i="7"/>
  <c r="H10" i="7"/>
  <c r="H72" i="7"/>
  <c r="D64" i="7"/>
  <c r="D17" i="7"/>
  <c r="F77" i="7"/>
  <c r="F71" i="7"/>
  <c r="F53" i="7"/>
  <c r="D51" i="7"/>
  <c r="F44" i="7"/>
  <c r="F34" i="7"/>
  <c r="F31" i="7"/>
  <c r="F22" i="7"/>
  <c r="F16" i="7"/>
  <c r="H14" i="7"/>
  <c r="F11" i="7"/>
  <c r="F41" i="7"/>
  <c r="F58" i="7"/>
  <c r="H52" i="7"/>
  <c r="F43" i="7"/>
  <c r="F36" i="7"/>
  <c r="F33" i="7"/>
  <c r="H17" i="7"/>
  <c r="F25" i="6"/>
  <c r="H77" i="15"/>
  <c r="I77" i="15" s="1"/>
  <c r="G66" i="15"/>
  <c r="K66" i="15" s="1"/>
  <c r="E62" i="15"/>
  <c r="G40" i="15"/>
  <c r="K40" i="15" s="1"/>
  <c r="H11" i="15"/>
  <c r="I11" i="15" s="1"/>
  <c r="F77" i="15"/>
  <c r="G74" i="15"/>
  <c r="K74" i="15" s="1"/>
  <c r="E66" i="15"/>
  <c r="E44" i="15"/>
  <c r="H35" i="15"/>
  <c r="I35" i="15" s="1"/>
  <c r="G20" i="15"/>
  <c r="K20" i="15" s="1"/>
  <c r="G14" i="15"/>
  <c r="K14" i="15" s="1"/>
  <c r="F60" i="15"/>
  <c r="H38" i="15"/>
  <c r="I38" i="15" s="1"/>
  <c r="J38" i="15" s="1"/>
  <c r="H13" i="15"/>
  <c r="I13" i="15" s="1"/>
  <c r="E76" i="15"/>
  <c r="E72" i="15"/>
  <c r="H37" i="15"/>
  <c r="I37" i="15" s="1"/>
  <c r="H22" i="15"/>
  <c r="I22" i="15" s="1"/>
  <c r="J22" i="15" s="1"/>
  <c r="F13" i="15"/>
  <c r="H67" i="15"/>
  <c r="I67" i="15" s="1"/>
  <c r="H62" i="15"/>
  <c r="I62" i="15" s="1"/>
  <c r="J62" i="15" s="1"/>
  <c r="F37" i="15"/>
  <c r="H27" i="15"/>
  <c r="I27" i="15" s="1"/>
  <c r="J27" i="15" s="1"/>
  <c r="E79" i="15"/>
  <c r="H56" i="6"/>
  <c r="F68" i="6"/>
  <c r="E75" i="2"/>
  <c r="H64" i="6"/>
  <c r="E37" i="2"/>
  <c r="D78" i="6"/>
  <c r="G50" i="15"/>
  <c r="K50" i="15" s="1"/>
  <c r="G46" i="15"/>
  <c r="K46" i="15" s="1"/>
  <c r="F40" i="15"/>
  <c r="G22" i="15"/>
  <c r="K22" i="15" s="1"/>
  <c r="E16" i="15"/>
  <c r="G52" i="15"/>
  <c r="K52" i="15" s="1"/>
  <c r="E50" i="15"/>
  <c r="E46" i="15"/>
  <c r="E42" i="15"/>
  <c r="G36" i="15"/>
  <c r="K36" i="15" s="1"/>
  <c r="E26" i="15"/>
  <c r="E22" i="15"/>
  <c r="E18" i="15"/>
  <c r="G12" i="15"/>
  <c r="K12" i="15" s="1"/>
  <c r="F52" i="15"/>
  <c r="E36" i="15"/>
  <c r="H32" i="15"/>
  <c r="I32" i="15" s="1"/>
  <c r="J32" i="15" s="1"/>
  <c r="E52" i="15"/>
  <c r="G32" i="15"/>
  <c r="K32" i="15" s="1"/>
  <c r="F32" i="15"/>
  <c r="F21" i="15"/>
  <c r="E14" i="15"/>
  <c r="G79" i="15"/>
  <c r="K79" i="15" s="1"/>
  <c r="F72" i="15"/>
  <c r="H51" i="15"/>
  <c r="I51" i="15" s="1"/>
  <c r="J51" i="15" s="1"/>
  <c r="E10" i="15"/>
  <c r="F79" i="15"/>
  <c r="H55" i="8"/>
  <c r="I55" i="8" s="1"/>
  <c r="E41" i="8"/>
  <c r="G64" i="8"/>
  <c r="K64" i="8" s="1"/>
  <c r="E57" i="8"/>
  <c r="H56" i="8"/>
  <c r="I56" i="8" s="1"/>
  <c r="J56" i="8" s="1"/>
  <c r="G74" i="8"/>
  <c r="K74" i="8" s="1"/>
  <c r="E67" i="8"/>
  <c r="G56" i="8"/>
  <c r="K56" i="8" s="1"/>
  <c r="G50" i="8"/>
  <c r="K50" i="8" s="1"/>
  <c r="G31" i="8"/>
  <c r="K31" i="8" s="1"/>
  <c r="G17" i="8"/>
  <c r="K17" i="8" s="1"/>
  <c r="E65" i="8"/>
  <c r="H41" i="8"/>
  <c r="I41" i="8" s="1"/>
  <c r="L41" i="8" s="1"/>
  <c r="F15" i="8"/>
  <c r="G41" i="8"/>
  <c r="K41" i="8" s="1"/>
  <c r="G70" i="8"/>
  <c r="K70" i="8" s="1"/>
  <c r="F24" i="8"/>
  <c r="E39" i="8"/>
  <c r="H32" i="8"/>
  <c r="I32" i="8" s="1"/>
  <c r="J32" i="8" s="1"/>
  <c r="E27" i="8"/>
  <c r="G10" i="8"/>
  <c r="K10" i="8" s="1"/>
  <c r="H78" i="8"/>
  <c r="I78" i="8" s="1"/>
  <c r="J78" i="8" s="1"/>
  <c r="H63" i="8"/>
  <c r="I63" i="8" s="1"/>
  <c r="L63" i="8" s="1"/>
  <c r="H48" i="8"/>
  <c r="I48" i="8" s="1"/>
  <c r="J48" i="8" s="1"/>
  <c r="E32" i="8"/>
  <c r="G22" i="8"/>
  <c r="K22" i="8" s="1"/>
  <c r="E72" i="8"/>
  <c r="F48" i="8"/>
  <c r="G62" i="8"/>
  <c r="K62" i="8" s="1"/>
  <c r="E76" i="8"/>
  <c r="F62" i="8"/>
  <c r="G47" i="8"/>
  <c r="K47" i="8" s="1"/>
  <c r="H70" i="8"/>
  <c r="I70" i="8" s="1"/>
  <c r="L70" i="8" s="1"/>
  <c r="G24" i="8"/>
  <c r="K24" i="8" s="1"/>
  <c r="F64" i="8"/>
  <c r="G55" i="8"/>
  <c r="K55" i="8" s="1"/>
  <c r="E64" i="8"/>
  <c r="E55" i="8"/>
  <c r="H49" i="8"/>
  <c r="I49" i="8" s="1"/>
  <c r="L49" i="8" s="1"/>
  <c r="F46" i="8"/>
  <c r="H17" i="8"/>
  <c r="I17" i="8" s="1"/>
  <c r="J17" i="8" s="1"/>
  <c r="H14" i="8"/>
  <c r="I14" i="8" s="1"/>
  <c r="J14" i="8" s="1"/>
  <c r="F70" i="8"/>
  <c r="F63" i="8"/>
  <c r="F59" i="8"/>
  <c r="F56" i="8"/>
  <c r="E44" i="8"/>
  <c r="H30" i="8"/>
  <c r="I30" i="8" s="1"/>
  <c r="J30" i="8" s="1"/>
  <c r="G16" i="8"/>
  <c r="K16" i="8" s="1"/>
  <c r="E12" i="8"/>
  <c r="G72" i="8"/>
  <c r="K72" i="8" s="1"/>
  <c r="H62" i="8"/>
  <c r="I62" i="8" s="1"/>
  <c r="J62" i="8" s="1"/>
  <c r="F43" i="8"/>
  <c r="H39" i="8"/>
  <c r="I39" i="8" s="1"/>
  <c r="J39" i="8" s="1"/>
  <c r="H24" i="8"/>
  <c r="I24" i="8" s="1"/>
  <c r="J24" i="8" s="1"/>
  <c r="H15" i="8"/>
  <c r="I15" i="8" s="1"/>
  <c r="J15" i="8" s="1"/>
  <c r="F11" i="8"/>
  <c r="E54" i="8"/>
  <c r="L47" i="8"/>
  <c r="J47" i="8"/>
  <c r="L55" i="8"/>
  <c r="J55" i="8"/>
  <c r="L15" i="8"/>
  <c r="F51" i="8"/>
  <c r="F47" i="8"/>
  <c r="G30" i="8"/>
  <c r="K30" i="8" s="1"/>
  <c r="F22" i="8"/>
  <c r="F16" i="8"/>
  <c r="E15" i="8"/>
  <c r="E11" i="8"/>
  <c r="G66" i="8"/>
  <c r="K66" i="8" s="1"/>
  <c r="E51" i="8"/>
  <c r="E47" i="8"/>
  <c r="E36" i="8"/>
  <c r="H31" i="8"/>
  <c r="I31" i="8" s="1"/>
  <c r="F30" i="8"/>
  <c r="G26" i="8"/>
  <c r="K26" i="8" s="1"/>
  <c r="E16" i="8"/>
  <c r="H71" i="8"/>
  <c r="I71" i="8" s="1"/>
  <c r="H65" i="8"/>
  <c r="I65" i="8" s="1"/>
  <c r="J65" i="8" s="1"/>
  <c r="H57" i="8"/>
  <c r="I57" i="8" s="1"/>
  <c r="L57" i="8" s="1"/>
  <c r="H46" i="8"/>
  <c r="I46" i="8" s="1"/>
  <c r="L46" i="8" s="1"/>
  <c r="H40" i="8"/>
  <c r="I40" i="8" s="1"/>
  <c r="J40" i="8" s="1"/>
  <c r="G39" i="8"/>
  <c r="K39" i="8" s="1"/>
  <c r="F35" i="8"/>
  <c r="G32" i="8"/>
  <c r="K32" i="8" s="1"/>
  <c r="F31" i="8"/>
  <c r="H25" i="8"/>
  <c r="I25" i="8" s="1"/>
  <c r="E20" i="8"/>
  <c r="E17" i="8"/>
  <c r="F10" i="8"/>
  <c r="F54" i="8"/>
  <c r="H72" i="8"/>
  <c r="I72" i="8" s="1"/>
  <c r="J72" i="8" s="1"/>
  <c r="G71" i="8"/>
  <c r="K71" i="8" s="1"/>
  <c r="G65" i="8"/>
  <c r="K65" i="8" s="1"/>
  <c r="G57" i="8"/>
  <c r="K57" i="8" s="1"/>
  <c r="G46" i="8"/>
  <c r="K46" i="8" s="1"/>
  <c r="G42" i="8"/>
  <c r="K42" i="8" s="1"/>
  <c r="G40" i="8"/>
  <c r="K40" i="8" s="1"/>
  <c r="E35" i="8"/>
  <c r="E28" i="8"/>
  <c r="G25" i="8"/>
  <c r="K25" i="8" s="1"/>
  <c r="E10" i="8"/>
  <c r="F75" i="8"/>
  <c r="F71" i="8"/>
  <c r="F40" i="8"/>
  <c r="F19" i="8"/>
  <c r="E75" i="8"/>
  <c r="F67" i="8"/>
  <c r="G63" i="8"/>
  <c r="K63" i="8" s="1"/>
  <c r="E60" i="8"/>
  <c r="E52" i="8"/>
  <c r="G49" i="8"/>
  <c r="K49" i="8" s="1"/>
  <c r="G34" i="8"/>
  <c r="K34" i="8" s="1"/>
  <c r="F27" i="8"/>
  <c r="H22" i="8"/>
  <c r="I22" i="8" s="1"/>
  <c r="J22" i="8" s="1"/>
  <c r="E19" i="8"/>
  <c r="E59" i="8"/>
  <c r="K54" i="8"/>
  <c r="H54" i="8"/>
  <c r="I54" i="8" s="1"/>
  <c r="H19" i="9"/>
  <c r="I19" i="9" s="1"/>
  <c r="J19" i="9" s="1"/>
  <c r="G44" i="9"/>
  <c r="K44" i="9" s="1"/>
  <c r="G69" i="9"/>
  <c r="K69" i="9" s="1"/>
  <c r="F69" i="9"/>
  <c r="H79" i="9"/>
  <c r="I79" i="9" s="1"/>
  <c r="G79" i="9"/>
  <c r="K79" i="9" s="1"/>
  <c r="F79" i="9"/>
  <c r="F78" i="6"/>
  <c r="L79" i="15"/>
  <c r="J79" i="15"/>
  <c r="H79" i="14"/>
  <c r="I79" i="14" s="1"/>
  <c r="G79" i="14"/>
  <c r="K79" i="14" s="1"/>
  <c r="H79" i="13"/>
  <c r="I79" i="13" s="1"/>
  <c r="G79" i="13"/>
  <c r="K79" i="13" s="1"/>
  <c r="F79" i="13"/>
  <c r="H79" i="12"/>
  <c r="I79" i="12" s="1"/>
  <c r="G79" i="12"/>
  <c r="K79" i="12" s="1"/>
  <c r="F79" i="12"/>
  <c r="H79" i="11"/>
  <c r="I79" i="11" s="1"/>
  <c r="G79" i="11"/>
  <c r="K79" i="11" s="1"/>
  <c r="F79" i="11"/>
  <c r="H79" i="10"/>
  <c r="I79" i="10" s="1"/>
  <c r="L79" i="5"/>
  <c r="J79" i="5"/>
  <c r="H79" i="4"/>
  <c r="I79" i="4" s="1"/>
  <c r="G78" i="6" s="1"/>
  <c r="G79" i="4"/>
  <c r="K79" i="4" s="1"/>
  <c r="F79" i="4"/>
  <c r="E78" i="7"/>
  <c r="I78" i="7" s="1"/>
  <c r="E74" i="15"/>
  <c r="E74" i="14"/>
  <c r="G74" i="13"/>
  <c r="K74" i="13" s="1"/>
  <c r="F73" i="7"/>
  <c r="H69" i="15"/>
  <c r="I69" i="15" s="1"/>
  <c r="F69" i="15"/>
  <c r="F69" i="14"/>
  <c r="E69" i="14"/>
  <c r="F69" i="13"/>
  <c r="H69" i="12"/>
  <c r="I69" i="12" s="1"/>
  <c r="F69" i="12"/>
  <c r="E69" i="12"/>
  <c r="G69" i="11"/>
  <c r="K69" i="11" s="1"/>
  <c r="E69" i="11"/>
  <c r="E69" i="4"/>
  <c r="H69" i="4"/>
  <c r="I69" i="4" s="1"/>
  <c r="F69" i="4"/>
  <c r="F68" i="7"/>
  <c r="G64" i="15"/>
  <c r="K64" i="15" s="1"/>
  <c r="F64" i="15"/>
  <c r="E64" i="15"/>
  <c r="H64" i="14"/>
  <c r="I64" i="14" s="1"/>
  <c r="G64" i="14"/>
  <c r="K64" i="14" s="1"/>
  <c r="F64" i="14"/>
  <c r="G64" i="13"/>
  <c r="K64" i="13" s="1"/>
  <c r="F64" i="13"/>
  <c r="E64" i="13"/>
  <c r="H64" i="12"/>
  <c r="I64" i="12" s="1"/>
  <c r="G64" i="12"/>
  <c r="K64" i="12" s="1"/>
  <c r="F64" i="12"/>
  <c r="E64" i="5"/>
  <c r="D63" i="7"/>
  <c r="G64" i="4"/>
  <c r="K64" i="4" s="1"/>
  <c r="F63" i="7"/>
  <c r="H61" i="15"/>
  <c r="I61" i="15" s="1"/>
  <c r="F61" i="15"/>
  <c r="E61" i="14"/>
  <c r="H61" i="14"/>
  <c r="I61" i="14" s="1"/>
  <c r="F61" i="13"/>
  <c r="H61" i="12"/>
  <c r="I61" i="12" s="1"/>
  <c r="F61" i="12"/>
  <c r="E61" i="12"/>
  <c r="G61" i="11"/>
  <c r="K61" i="11" s="1"/>
  <c r="E61" i="11"/>
  <c r="D60" i="7"/>
  <c r="H61" i="4"/>
  <c r="I61" i="4" s="1"/>
  <c r="F61" i="4"/>
  <c r="E61" i="4"/>
  <c r="F60" i="7"/>
  <c r="E60" i="15"/>
  <c r="G60" i="15"/>
  <c r="K60" i="15" s="1"/>
  <c r="G60" i="14"/>
  <c r="K60" i="14" s="1"/>
  <c r="G60" i="13"/>
  <c r="K60" i="13" s="1"/>
  <c r="E60" i="13"/>
  <c r="G60" i="12"/>
  <c r="K60" i="12" s="1"/>
  <c r="F60" i="12"/>
  <c r="F60" i="11"/>
  <c r="F59" i="7"/>
  <c r="G56" i="15"/>
  <c r="K56" i="15" s="1"/>
  <c r="F56" i="15"/>
  <c r="E56" i="15"/>
  <c r="H56" i="14"/>
  <c r="I56" i="14" s="1"/>
  <c r="E56" i="13"/>
  <c r="H56" i="12"/>
  <c r="I56" i="12" s="1"/>
  <c r="G56" i="12"/>
  <c r="K56" i="12" s="1"/>
  <c r="F56" i="12"/>
  <c r="F55" i="7"/>
  <c r="H56" i="4"/>
  <c r="I56" i="4" s="1"/>
  <c r="G55" i="6" s="1"/>
  <c r="G56" i="4"/>
  <c r="K56" i="4" s="1"/>
  <c r="F56" i="4"/>
  <c r="H75" i="10"/>
  <c r="I75" i="10" s="1"/>
  <c r="J75" i="10" s="1"/>
  <c r="G57" i="10"/>
  <c r="K57" i="10" s="1"/>
  <c r="F42" i="10"/>
  <c r="G52" i="10"/>
  <c r="K52" i="10" s="1"/>
  <c r="H70" i="10"/>
  <c r="I70" i="10" s="1"/>
  <c r="G70" i="10"/>
  <c r="K70" i="10" s="1"/>
  <c r="H20" i="10"/>
  <c r="I20" i="10" s="1"/>
  <c r="E70" i="10"/>
  <c r="E62" i="10"/>
  <c r="E51" i="10"/>
  <c r="F35" i="10"/>
  <c r="G22" i="10"/>
  <c r="K22" i="10" s="1"/>
  <c r="G77" i="10"/>
  <c r="K77" i="10" s="1"/>
  <c r="F75" i="10"/>
  <c r="H37" i="10"/>
  <c r="I37" i="10" s="1"/>
  <c r="F26" i="10"/>
  <c r="H21" i="10"/>
  <c r="I21" i="10" s="1"/>
  <c r="F14" i="10"/>
  <c r="H36" i="10"/>
  <c r="I36" i="10" s="1"/>
  <c r="J36" i="10" s="1"/>
  <c r="H76" i="10"/>
  <c r="I76" i="10" s="1"/>
  <c r="F74" i="10"/>
  <c r="H62" i="10"/>
  <c r="I62" i="10" s="1"/>
  <c r="G36" i="10"/>
  <c r="K36" i="10" s="1"/>
  <c r="G62" i="10"/>
  <c r="K62" i="10" s="1"/>
  <c r="H51" i="10"/>
  <c r="I51" i="10" s="1"/>
  <c r="J51" i="10" s="1"/>
  <c r="H46" i="10"/>
  <c r="I46" i="10" s="1"/>
  <c r="F51" i="10"/>
  <c r="E46" i="10"/>
  <c r="H35" i="10"/>
  <c r="I35" i="10" s="1"/>
  <c r="J35" i="10" s="1"/>
  <c r="F69" i="10"/>
  <c r="F66" i="10"/>
  <c r="F45" i="10"/>
  <c r="E30" i="10"/>
  <c r="H22" i="10"/>
  <c r="I22" i="10" s="1"/>
  <c r="F13" i="10"/>
  <c r="G46" i="10"/>
  <c r="K46" i="10" s="1"/>
  <c r="F22" i="10"/>
  <c r="G20" i="10"/>
  <c r="K20" i="10" s="1"/>
  <c r="E15" i="10"/>
  <c r="H12" i="10"/>
  <c r="I12" i="10" s="1"/>
  <c r="G65" i="10"/>
  <c r="K65" i="10" s="1"/>
  <c r="H52" i="10"/>
  <c r="I52" i="10" s="1"/>
  <c r="F50" i="10"/>
  <c r="E31" i="10"/>
  <c r="G12" i="10"/>
  <c r="K12" i="10" s="1"/>
  <c r="H67" i="10"/>
  <c r="I67" i="10" s="1"/>
  <c r="J67" i="10" s="1"/>
  <c r="H61" i="10"/>
  <c r="I61" i="10" s="1"/>
  <c r="F67" i="10"/>
  <c r="G61" i="10"/>
  <c r="K61" i="10" s="1"/>
  <c r="G37" i="10"/>
  <c r="K37" i="10" s="1"/>
  <c r="H30" i="10"/>
  <c r="I30" i="10" s="1"/>
  <c r="J30" i="10" s="1"/>
  <c r="H27" i="10"/>
  <c r="I27" i="10" s="1"/>
  <c r="J27" i="10" s="1"/>
  <c r="H69" i="10"/>
  <c r="I69" i="10" s="1"/>
  <c r="J69" i="10" s="1"/>
  <c r="E67" i="10"/>
  <c r="F61" i="10"/>
  <c r="H45" i="10"/>
  <c r="I45" i="10" s="1"/>
  <c r="F37" i="10"/>
  <c r="E35" i="10"/>
  <c r="G30" i="10"/>
  <c r="K30" i="10" s="1"/>
  <c r="F27" i="10"/>
  <c r="G21" i="10"/>
  <c r="K21" i="10" s="1"/>
  <c r="H13" i="10"/>
  <c r="I13" i="10" s="1"/>
  <c r="L13" i="10" s="1"/>
  <c r="H11" i="10"/>
  <c r="I11" i="10" s="1"/>
  <c r="J11" i="10" s="1"/>
  <c r="E71" i="10"/>
  <c r="G69" i="10"/>
  <c r="K69" i="10" s="1"/>
  <c r="E55" i="10"/>
  <c r="E47" i="10"/>
  <c r="G45" i="10"/>
  <c r="K45" i="10" s="1"/>
  <c r="G41" i="10"/>
  <c r="K41" i="10" s="1"/>
  <c r="E27" i="10"/>
  <c r="F21" i="10"/>
  <c r="G17" i="10"/>
  <c r="K17" i="10" s="1"/>
  <c r="G13" i="10"/>
  <c r="K13" i="10" s="1"/>
  <c r="E55" i="11"/>
  <c r="G55" i="11"/>
  <c r="K55" i="11" s="1"/>
  <c r="F55" i="11"/>
  <c r="H60" i="10"/>
  <c r="I60" i="10" s="1"/>
  <c r="J60" i="10" s="1"/>
  <c r="G60" i="10"/>
  <c r="K60" i="10" s="1"/>
  <c r="E54" i="7"/>
  <c r="H54" i="7"/>
  <c r="G60" i="4"/>
  <c r="K60" i="4" s="1"/>
  <c r="F60" i="4"/>
  <c r="H49" i="13"/>
  <c r="I49" i="13" s="1"/>
  <c r="G49" i="13"/>
  <c r="K49" i="13" s="1"/>
  <c r="F49" i="13"/>
  <c r="E49" i="11"/>
  <c r="H49" i="11"/>
  <c r="I49" i="11" s="1"/>
  <c r="L49" i="11" s="1"/>
  <c r="G49" i="11"/>
  <c r="K49" i="11" s="1"/>
  <c r="G49" i="10"/>
  <c r="K49" i="10" s="1"/>
  <c r="F48" i="7"/>
  <c r="H48" i="6"/>
  <c r="F49" i="4"/>
  <c r="E49" i="4"/>
  <c r="G44" i="15"/>
  <c r="K44" i="15" s="1"/>
  <c r="G44" i="14"/>
  <c r="K44" i="14" s="1"/>
  <c r="G44" i="13"/>
  <c r="K44" i="13" s="1"/>
  <c r="E44" i="13"/>
  <c r="G44" i="12"/>
  <c r="K44" i="12" s="1"/>
  <c r="F44" i="12"/>
  <c r="H44" i="11"/>
  <c r="I44" i="11" s="1"/>
  <c r="F44" i="11"/>
  <c r="E44" i="11"/>
  <c r="H44" i="10"/>
  <c r="I44" i="10" s="1"/>
  <c r="G44" i="10"/>
  <c r="K44" i="10" s="1"/>
  <c r="H44" i="5"/>
  <c r="I44" i="5" s="1"/>
  <c r="J44" i="5" s="1"/>
  <c r="E44" i="5"/>
  <c r="E44" i="3"/>
  <c r="G44" i="4"/>
  <c r="K44" i="4" s="1"/>
  <c r="F44" i="4"/>
  <c r="G39" i="11"/>
  <c r="K39" i="11" s="1"/>
  <c r="F39" i="11"/>
  <c r="E39" i="11"/>
  <c r="E39" i="10"/>
  <c r="E38" i="7"/>
  <c r="D38" i="7"/>
  <c r="F38" i="7"/>
  <c r="E34" i="15"/>
  <c r="E34" i="14"/>
  <c r="F34" i="10"/>
  <c r="H33" i="7"/>
  <c r="D33" i="7"/>
  <c r="H29" i="15"/>
  <c r="I29" i="15" s="1"/>
  <c r="J29" i="15" s="1"/>
  <c r="F29" i="15"/>
  <c r="H29" i="14"/>
  <c r="I29" i="14" s="1"/>
  <c r="F29" i="14"/>
  <c r="E29" i="14"/>
  <c r="F29" i="13"/>
  <c r="H29" i="12"/>
  <c r="I29" i="12" s="1"/>
  <c r="J29" i="12" s="1"/>
  <c r="F29" i="12"/>
  <c r="E29" i="12"/>
  <c r="G29" i="11"/>
  <c r="K29" i="11" s="1"/>
  <c r="E29" i="11"/>
  <c r="H29" i="10"/>
  <c r="I29" i="10" s="1"/>
  <c r="J29" i="10" s="1"/>
  <c r="G29" i="10"/>
  <c r="K29" i="10" s="1"/>
  <c r="F29" i="10"/>
  <c r="F28" i="7"/>
  <c r="F28" i="6"/>
  <c r="H29" i="4"/>
  <c r="I29" i="4" s="1"/>
  <c r="F29" i="4"/>
  <c r="E29" i="4"/>
  <c r="E24" i="15"/>
  <c r="G24" i="15"/>
  <c r="K24" i="15" s="1"/>
  <c r="F24" i="15"/>
  <c r="H24" i="14"/>
  <c r="I24" i="14" s="1"/>
  <c r="G24" i="14"/>
  <c r="K24" i="14" s="1"/>
  <c r="F24" i="14"/>
  <c r="H24" i="13"/>
  <c r="I24" i="13" s="1"/>
  <c r="G24" i="13"/>
  <c r="K24" i="13" s="1"/>
  <c r="F24" i="13"/>
  <c r="F24" i="12"/>
  <c r="F23" i="7"/>
  <c r="F24" i="4"/>
  <c r="H19" i="14"/>
  <c r="I19" i="14" s="1"/>
  <c r="H19" i="13"/>
  <c r="I19" i="13" s="1"/>
  <c r="J19" i="13" s="1"/>
  <c r="H19" i="15"/>
  <c r="I19" i="15" s="1"/>
  <c r="L19" i="15" s="1"/>
  <c r="H19" i="12"/>
  <c r="I19" i="12" s="1"/>
  <c r="G19" i="11"/>
  <c r="K19" i="11" s="1"/>
  <c r="F19" i="11"/>
  <c r="E19" i="11"/>
  <c r="E19" i="10"/>
  <c r="H19" i="10"/>
  <c r="I19" i="10" s="1"/>
  <c r="J19" i="10" s="1"/>
  <c r="F19" i="10"/>
  <c r="E18" i="7"/>
  <c r="F19" i="3"/>
  <c r="E19" i="3"/>
  <c r="D18" i="7"/>
  <c r="H19" i="4"/>
  <c r="I19" i="4" s="1"/>
  <c r="G18" i="6" s="1"/>
  <c r="H14" i="15"/>
  <c r="I14" i="15" s="1"/>
  <c r="J14" i="15" s="1"/>
  <c r="E14" i="14"/>
  <c r="H14" i="14"/>
  <c r="I14" i="14" s="1"/>
  <c r="L14" i="14" s="1"/>
  <c r="G14" i="14"/>
  <c r="K14" i="14" s="1"/>
  <c r="H14" i="13"/>
  <c r="I14" i="13" s="1"/>
  <c r="G14" i="13"/>
  <c r="K14" i="13" s="1"/>
  <c r="E14" i="13"/>
  <c r="H14" i="12"/>
  <c r="I14" i="12" s="1"/>
  <c r="G14" i="12"/>
  <c r="K14" i="12" s="1"/>
  <c r="E14" i="12"/>
  <c r="H14" i="11"/>
  <c r="I14" i="11" s="1"/>
  <c r="F14" i="11"/>
  <c r="E14" i="10"/>
  <c r="H14" i="10"/>
  <c r="I14" i="10" s="1"/>
  <c r="H13" i="7"/>
  <c r="H14" i="4"/>
  <c r="I14" i="4" s="1"/>
  <c r="G13" i="6" s="1"/>
  <c r="G14" i="4"/>
  <c r="K14" i="4" s="1"/>
  <c r="E14" i="4"/>
  <c r="G14" i="9"/>
  <c r="K14" i="9" s="1"/>
  <c r="G14" i="8"/>
  <c r="K14" i="8" s="1"/>
  <c r="F14" i="8"/>
  <c r="F9" i="14"/>
  <c r="E9" i="14"/>
  <c r="H9" i="13"/>
  <c r="I9" i="13" s="1"/>
  <c r="F9" i="13"/>
  <c r="E9" i="13"/>
  <c r="F9" i="12"/>
  <c r="E9" i="12"/>
  <c r="E9" i="11"/>
  <c r="G9" i="3"/>
  <c r="K9" i="3" s="1"/>
  <c r="F8" i="7"/>
  <c r="F9" i="4"/>
  <c r="E9" i="4"/>
  <c r="G78" i="9"/>
  <c r="K78" i="9" s="1"/>
  <c r="G78" i="8"/>
  <c r="K78" i="8" s="1"/>
  <c r="F78" i="8"/>
  <c r="H73" i="8"/>
  <c r="I73" i="8" s="1"/>
  <c r="J73" i="8" s="1"/>
  <c r="G73" i="8"/>
  <c r="K73" i="8" s="1"/>
  <c r="E73" i="8"/>
  <c r="H68" i="9"/>
  <c r="I68" i="9" s="1"/>
  <c r="J68" i="9" s="1"/>
  <c r="G68" i="9"/>
  <c r="K68" i="9" s="1"/>
  <c r="F68" i="9"/>
  <c r="E68" i="8"/>
  <c r="G58" i="8"/>
  <c r="K58" i="8" s="1"/>
  <c r="F78" i="9"/>
  <c r="G76" i="9"/>
  <c r="K76" i="9" s="1"/>
  <c r="E63" i="9"/>
  <c r="G61" i="9"/>
  <c r="K61" i="9" s="1"/>
  <c r="H59" i="9"/>
  <c r="I59" i="9" s="1"/>
  <c r="J59" i="9" s="1"/>
  <c r="G54" i="9"/>
  <c r="K54" i="9" s="1"/>
  <c r="F45" i="9"/>
  <c r="E37" i="9"/>
  <c r="F30" i="9"/>
  <c r="H28" i="9"/>
  <c r="I28" i="9" s="1"/>
  <c r="J28" i="9" s="1"/>
  <c r="E23" i="9"/>
  <c r="G21" i="9"/>
  <c r="K21" i="9" s="1"/>
  <c r="F14" i="9"/>
  <c r="G12" i="9"/>
  <c r="K12" i="9" s="1"/>
  <c r="E78" i="9"/>
  <c r="H69" i="9"/>
  <c r="I69" i="9" s="1"/>
  <c r="J69" i="9" s="1"/>
  <c r="F61" i="9"/>
  <c r="H46" i="9"/>
  <c r="I46" i="9" s="1"/>
  <c r="E39" i="9"/>
  <c r="E30" i="9"/>
  <c r="F21" i="9"/>
  <c r="E14" i="9"/>
  <c r="H29" i="9"/>
  <c r="I29" i="9" s="1"/>
  <c r="J29" i="9" s="1"/>
  <c r="G77" i="9"/>
  <c r="K77" i="9" s="1"/>
  <c r="G60" i="9"/>
  <c r="K60" i="9" s="1"/>
  <c r="H53" i="9"/>
  <c r="I53" i="9" s="1"/>
  <c r="F36" i="9"/>
  <c r="E31" i="9"/>
  <c r="G29" i="9"/>
  <c r="K29" i="9" s="1"/>
  <c r="F22" i="9"/>
  <c r="G20" i="9"/>
  <c r="K20" i="9" s="1"/>
  <c r="E15" i="9"/>
  <c r="G13" i="9"/>
  <c r="K13" i="9" s="1"/>
  <c r="H37" i="9"/>
  <c r="I37" i="9" s="1"/>
  <c r="F29" i="9"/>
  <c r="F13" i="9"/>
  <c r="H52" i="9"/>
  <c r="I52" i="9" s="1"/>
  <c r="H45" i="9"/>
  <c r="I45" i="9" s="1"/>
  <c r="J45" i="9" s="1"/>
  <c r="G53" i="9"/>
  <c r="K53" i="9" s="1"/>
  <c r="F53" i="9"/>
  <c r="G48" i="8"/>
  <c r="K48" i="8" s="1"/>
  <c r="H43" i="9"/>
  <c r="I43" i="9" s="1"/>
  <c r="J43" i="9" s="1"/>
  <c r="E43" i="8"/>
  <c r="G38" i="9"/>
  <c r="K38" i="9" s="1"/>
  <c r="F38" i="9"/>
  <c r="H38" i="8"/>
  <c r="I38" i="8" s="1"/>
  <c r="J38" i="8" s="1"/>
  <c r="G38" i="8"/>
  <c r="K38" i="8" s="1"/>
  <c r="F38" i="8"/>
  <c r="H33" i="8"/>
  <c r="I33" i="8" s="1"/>
  <c r="L33" i="8" s="1"/>
  <c r="G33" i="8"/>
  <c r="K33" i="8" s="1"/>
  <c r="E33" i="8"/>
  <c r="G28" i="9"/>
  <c r="K28" i="9" s="1"/>
  <c r="E23" i="8"/>
  <c r="H23" i="8"/>
  <c r="I23" i="8" s="1"/>
  <c r="G23" i="8"/>
  <c r="K23" i="8" s="1"/>
  <c r="G18" i="8"/>
  <c r="K18" i="8" s="1"/>
  <c r="J38" i="9"/>
  <c r="L38" i="9"/>
  <c r="L28" i="9"/>
  <c r="J21" i="9"/>
  <c r="L21" i="9"/>
  <c r="J76" i="9"/>
  <c r="J61" i="9"/>
  <c r="L61" i="9"/>
  <c r="J54" i="9"/>
  <c r="L54" i="9"/>
  <c r="J12" i="9"/>
  <c r="L12" i="9"/>
  <c r="J52" i="9"/>
  <c r="L52" i="9"/>
  <c r="J36" i="9"/>
  <c r="L36" i="9"/>
  <c r="J62" i="9"/>
  <c r="L62" i="9"/>
  <c r="L29" i="9"/>
  <c r="J22" i="9"/>
  <c r="L22" i="9"/>
  <c r="J77" i="9"/>
  <c r="L77" i="9"/>
  <c r="J60" i="9"/>
  <c r="L60" i="9"/>
  <c r="J46" i="9"/>
  <c r="L46" i="9"/>
  <c r="J20" i="9"/>
  <c r="L20" i="9"/>
  <c r="J13" i="9"/>
  <c r="L13" i="9"/>
  <c r="J53" i="9"/>
  <c r="L53" i="9"/>
  <c r="J44" i="9"/>
  <c r="L44" i="9"/>
  <c r="J37" i="9"/>
  <c r="L37" i="9"/>
  <c r="J30" i="9"/>
  <c r="L30" i="9"/>
  <c r="J78" i="9"/>
  <c r="L78" i="9"/>
  <c r="J14" i="9"/>
  <c r="L14" i="9"/>
  <c r="G75" i="9"/>
  <c r="K75" i="9" s="1"/>
  <c r="H74" i="9"/>
  <c r="I74" i="9" s="1"/>
  <c r="G67" i="9"/>
  <c r="K67" i="9" s="1"/>
  <c r="H66" i="9"/>
  <c r="I66" i="9" s="1"/>
  <c r="G59" i="9"/>
  <c r="K59" i="9" s="1"/>
  <c r="H58" i="9"/>
  <c r="I58" i="9" s="1"/>
  <c r="F52" i="9"/>
  <c r="G51" i="9"/>
  <c r="K51" i="9" s="1"/>
  <c r="H50" i="9"/>
  <c r="I50" i="9" s="1"/>
  <c r="F44" i="9"/>
  <c r="G43" i="9"/>
  <c r="K43" i="9" s="1"/>
  <c r="H42" i="9"/>
  <c r="I42" i="9" s="1"/>
  <c r="G35" i="9"/>
  <c r="K35" i="9" s="1"/>
  <c r="H34" i="9"/>
  <c r="I34" i="9" s="1"/>
  <c r="F28" i="9"/>
  <c r="G27" i="9"/>
  <c r="K27" i="9" s="1"/>
  <c r="H26" i="9"/>
  <c r="I26" i="9" s="1"/>
  <c r="F20" i="9"/>
  <c r="G19" i="9"/>
  <c r="K19" i="9" s="1"/>
  <c r="H18" i="9"/>
  <c r="I18" i="9" s="1"/>
  <c r="F12" i="9"/>
  <c r="G11" i="9"/>
  <c r="K11" i="9" s="1"/>
  <c r="H10" i="9"/>
  <c r="I10" i="9" s="1"/>
  <c r="F75" i="9"/>
  <c r="G74" i="9"/>
  <c r="K74" i="9" s="1"/>
  <c r="H73" i="9"/>
  <c r="I73" i="9" s="1"/>
  <c r="F67" i="9"/>
  <c r="G66" i="9"/>
  <c r="K66" i="9" s="1"/>
  <c r="H65" i="9"/>
  <c r="I65" i="9" s="1"/>
  <c r="F59" i="9"/>
  <c r="G58" i="9"/>
  <c r="K58" i="9" s="1"/>
  <c r="H57" i="9"/>
  <c r="I57" i="9" s="1"/>
  <c r="F51" i="9"/>
  <c r="G50" i="9"/>
  <c r="K50" i="9" s="1"/>
  <c r="H49" i="9"/>
  <c r="I49" i="9" s="1"/>
  <c r="F43" i="9"/>
  <c r="G42" i="9"/>
  <c r="K42" i="9" s="1"/>
  <c r="H41" i="9"/>
  <c r="I41" i="9" s="1"/>
  <c r="F35" i="9"/>
  <c r="G34" i="9"/>
  <c r="K34" i="9" s="1"/>
  <c r="H33" i="9"/>
  <c r="I33" i="9" s="1"/>
  <c r="F27" i="9"/>
  <c r="G26" i="9"/>
  <c r="K26" i="9" s="1"/>
  <c r="H25" i="9"/>
  <c r="I25" i="9" s="1"/>
  <c r="F19" i="9"/>
  <c r="G18" i="9"/>
  <c r="K18" i="9" s="1"/>
  <c r="H17" i="9"/>
  <c r="I17" i="9" s="1"/>
  <c r="F11" i="9"/>
  <c r="G10" i="9"/>
  <c r="K10" i="9" s="1"/>
  <c r="H9" i="9"/>
  <c r="I9" i="9" s="1"/>
  <c r="F74" i="9"/>
  <c r="G73" i="9"/>
  <c r="K73" i="9" s="1"/>
  <c r="H72" i="9"/>
  <c r="I72" i="9" s="1"/>
  <c r="F66" i="9"/>
  <c r="G65" i="9"/>
  <c r="K65" i="9" s="1"/>
  <c r="H64" i="9"/>
  <c r="I64" i="9" s="1"/>
  <c r="F58" i="9"/>
  <c r="G57" i="9"/>
  <c r="K57" i="9" s="1"/>
  <c r="H56" i="9"/>
  <c r="I56" i="9" s="1"/>
  <c r="F50" i="9"/>
  <c r="H48" i="9"/>
  <c r="I48" i="9" s="1"/>
  <c r="F42" i="9"/>
  <c r="G41" i="9"/>
  <c r="K41" i="9" s="1"/>
  <c r="H40" i="9"/>
  <c r="I40" i="9" s="1"/>
  <c r="F34" i="9"/>
  <c r="G33" i="9"/>
  <c r="K33" i="9" s="1"/>
  <c r="H32" i="9"/>
  <c r="I32" i="9" s="1"/>
  <c r="F26" i="9"/>
  <c r="G25" i="9"/>
  <c r="K25" i="9" s="1"/>
  <c r="H24" i="9"/>
  <c r="I24" i="9" s="1"/>
  <c r="F18" i="9"/>
  <c r="G17" i="9"/>
  <c r="K17" i="9" s="1"/>
  <c r="H16" i="9"/>
  <c r="I16" i="9" s="1"/>
  <c r="F10" i="9"/>
  <c r="G9" i="9"/>
  <c r="K9" i="9" s="1"/>
  <c r="L75" i="9"/>
  <c r="F73" i="9"/>
  <c r="G72" i="9"/>
  <c r="K72" i="9" s="1"/>
  <c r="H71" i="9"/>
  <c r="I71" i="9" s="1"/>
  <c r="L67" i="9"/>
  <c r="F65" i="9"/>
  <c r="G64" i="9"/>
  <c r="K64" i="9" s="1"/>
  <c r="H63" i="9"/>
  <c r="I63" i="9" s="1"/>
  <c r="F57" i="9"/>
  <c r="G56" i="9"/>
  <c r="K56" i="9" s="1"/>
  <c r="H55" i="9"/>
  <c r="I55" i="9" s="1"/>
  <c r="L51" i="9"/>
  <c r="G48" i="9"/>
  <c r="K48" i="9" s="1"/>
  <c r="H47" i="9"/>
  <c r="I47" i="9" s="1"/>
  <c r="L43" i="9"/>
  <c r="F41" i="9"/>
  <c r="G40" i="9"/>
  <c r="K40" i="9" s="1"/>
  <c r="H39" i="9"/>
  <c r="I39" i="9" s="1"/>
  <c r="L35" i="9"/>
  <c r="F33" i="9"/>
  <c r="G32" i="9"/>
  <c r="K32" i="9" s="1"/>
  <c r="H31" i="9"/>
  <c r="I31" i="9" s="1"/>
  <c r="L27" i="9"/>
  <c r="F25" i="9"/>
  <c r="G24" i="9"/>
  <c r="K24" i="9" s="1"/>
  <c r="H23" i="9"/>
  <c r="I23" i="9" s="1"/>
  <c r="F17" i="9"/>
  <c r="G16" i="9"/>
  <c r="K16" i="9" s="1"/>
  <c r="H15" i="9"/>
  <c r="I15" i="9" s="1"/>
  <c r="L11" i="9"/>
  <c r="F9" i="9"/>
  <c r="F72" i="9"/>
  <c r="G71" i="9"/>
  <c r="K71" i="9" s="1"/>
  <c r="F64" i="9"/>
  <c r="G63" i="9"/>
  <c r="K63" i="9" s="1"/>
  <c r="F56" i="9"/>
  <c r="G55" i="9"/>
  <c r="K55" i="9" s="1"/>
  <c r="F48" i="9"/>
  <c r="G47" i="9"/>
  <c r="K47" i="9" s="1"/>
  <c r="F40" i="9"/>
  <c r="G39" i="9"/>
  <c r="K39" i="9" s="1"/>
  <c r="F32" i="9"/>
  <c r="G31" i="9"/>
  <c r="K31" i="9" s="1"/>
  <c r="F24" i="9"/>
  <c r="G23" i="9"/>
  <c r="K23" i="9" s="1"/>
  <c r="F16" i="9"/>
  <c r="G15" i="9"/>
  <c r="K15" i="9" s="1"/>
  <c r="L61" i="8"/>
  <c r="J61" i="8"/>
  <c r="J57" i="8"/>
  <c r="J46" i="8"/>
  <c r="J29" i="8"/>
  <c r="L29" i="8"/>
  <c r="L25" i="8"/>
  <c r="J25" i="8"/>
  <c r="J69" i="8"/>
  <c r="L69" i="8"/>
  <c r="L65" i="8"/>
  <c r="L37" i="8"/>
  <c r="J37" i="8"/>
  <c r="L77" i="8"/>
  <c r="J77" i="8"/>
  <c r="L62" i="8"/>
  <c r="J45" i="8"/>
  <c r="L45" i="8"/>
  <c r="J13" i="8"/>
  <c r="L13" i="8"/>
  <c r="L10" i="8"/>
  <c r="J10" i="8"/>
  <c r="J53" i="8"/>
  <c r="L53" i="8"/>
  <c r="J21" i="8"/>
  <c r="L21" i="8"/>
  <c r="G77" i="8"/>
  <c r="K77" i="8" s="1"/>
  <c r="H76" i="8"/>
  <c r="I76" i="8" s="1"/>
  <c r="G69" i="8"/>
  <c r="K69" i="8" s="1"/>
  <c r="H68" i="8"/>
  <c r="I68" i="8" s="1"/>
  <c r="L64" i="8"/>
  <c r="G61" i="8"/>
  <c r="K61" i="8" s="1"/>
  <c r="H60" i="8"/>
  <c r="I60" i="8" s="1"/>
  <c r="G53" i="8"/>
  <c r="K53" i="8" s="1"/>
  <c r="H52" i="8"/>
  <c r="I52" i="8" s="1"/>
  <c r="G45" i="8"/>
  <c r="K45" i="8" s="1"/>
  <c r="H44" i="8"/>
  <c r="I44" i="8" s="1"/>
  <c r="G37" i="8"/>
  <c r="K37" i="8" s="1"/>
  <c r="H36" i="8"/>
  <c r="I36" i="8" s="1"/>
  <c r="L32" i="8"/>
  <c r="G29" i="8"/>
  <c r="K29" i="8" s="1"/>
  <c r="H28" i="8"/>
  <c r="I28" i="8" s="1"/>
  <c r="G21" i="8"/>
  <c r="K21" i="8" s="1"/>
  <c r="H20" i="8"/>
  <c r="I20" i="8" s="1"/>
  <c r="L16" i="8"/>
  <c r="G13" i="8"/>
  <c r="K13" i="8" s="1"/>
  <c r="H12" i="8"/>
  <c r="I12" i="8" s="1"/>
  <c r="F77" i="8"/>
  <c r="G76" i="8"/>
  <c r="K76" i="8" s="1"/>
  <c r="H75" i="8"/>
  <c r="I75" i="8" s="1"/>
  <c r="F69" i="8"/>
  <c r="G68" i="8"/>
  <c r="K68" i="8" s="1"/>
  <c r="H67" i="8"/>
  <c r="I67" i="8" s="1"/>
  <c r="F61" i="8"/>
  <c r="G60" i="8"/>
  <c r="K60" i="8" s="1"/>
  <c r="H59" i="8"/>
  <c r="I59" i="8" s="1"/>
  <c r="F53" i="8"/>
  <c r="G52" i="8"/>
  <c r="K52" i="8" s="1"/>
  <c r="H51" i="8"/>
  <c r="I51" i="8" s="1"/>
  <c r="F45" i="8"/>
  <c r="G44" i="8"/>
  <c r="K44" i="8" s="1"/>
  <c r="H43" i="8"/>
  <c r="I43" i="8" s="1"/>
  <c r="F37" i="8"/>
  <c r="G36" i="8"/>
  <c r="K36" i="8" s="1"/>
  <c r="H35" i="8"/>
  <c r="I35" i="8" s="1"/>
  <c r="F29" i="8"/>
  <c r="G28" i="8"/>
  <c r="K28" i="8" s="1"/>
  <c r="H27" i="8"/>
  <c r="I27" i="8" s="1"/>
  <c r="F21" i="8"/>
  <c r="G20" i="8"/>
  <c r="K20" i="8" s="1"/>
  <c r="H19" i="8"/>
  <c r="I19" i="8" s="1"/>
  <c r="F13" i="8"/>
  <c r="G12" i="8"/>
  <c r="K12" i="8" s="1"/>
  <c r="H11" i="8"/>
  <c r="I11" i="8" s="1"/>
  <c r="E77" i="8"/>
  <c r="H74" i="8"/>
  <c r="I74" i="8" s="1"/>
  <c r="E69" i="8"/>
  <c r="H66" i="8"/>
  <c r="I66" i="8" s="1"/>
  <c r="E61" i="8"/>
  <c r="H58" i="8"/>
  <c r="I58" i="8" s="1"/>
  <c r="E53" i="8"/>
  <c r="H50" i="8"/>
  <c r="I50" i="8" s="1"/>
  <c r="E45" i="8"/>
  <c r="H42" i="8"/>
  <c r="I42" i="8" s="1"/>
  <c r="E37" i="8"/>
  <c r="H34" i="8"/>
  <c r="I34" i="8" s="1"/>
  <c r="E29" i="8"/>
  <c r="H26" i="8"/>
  <c r="I26" i="8" s="1"/>
  <c r="E21" i="8"/>
  <c r="H18" i="8"/>
  <c r="I18" i="8" s="1"/>
  <c r="E13" i="8"/>
  <c r="H9" i="8"/>
  <c r="I9" i="8" s="1"/>
  <c r="F74" i="8"/>
  <c r="F66" i="8"/>
  <c r="F58" i="8"/>
  <c r="F50" i="8"/>
  <c r="F42" i="8"/>
  <c r="F34" i="8"/>
  <c r="F26" i="8"/>
  <c r="F18" i="8"/>
  <c r="G9" i="8"/>
  <c r="K9" i="8" s="1"/>
  <c r="F9" i="8"/>
  <c r="H78" i="15"/>
  <c r="I78" i="15" s="1"/>
  <c r="J78" i="15" s="1"/>
  <c r="G78" i="15"/>
  <c r="K78" i="15" s="1"/>
  <c r="E78" i="15"/>
  <c r="H78" i="14"/>
  <c r="I78" i="14" s="1"/>
  <c r="J78" i="14" s="1"/>
  <c r="G78" i="14"/>
  <c r="K78" i="14" s="1"/>
  <c r="E78" i="14"/>
  <c r="E78" i="13"/>
  <c r="E78" i="12"/>
  <c r="H78" i="12"/>
  <c r="I78" i="12" s="1"/>
  <c r="J78" i="12" s="1"/>
  <c r="F78" i="11"/>
  <c r="H78" i="11"/>
  <c r="I78" i="11" s="1"/>
  <c r="H78" i="10"/>
  <c r="I78" i="10" s="1"/>
  <c r="G78" i="10"/>
  <c r="K78" i="10" s="1"/>
  <c r="F78" i="10"/>
  <c r="D77" i="7"/>
  <c r="H78" i="4"/>
  <c r="I78" i="4" s="1"/>
  <c r="G77" i="6" s="1"/>
  <c r="G78" i="4"/>
  <c r="K78" i="4" s="1"/>
  <c r="E78" i="4"/>
  <c r="H77" i="7"/>
  <c r="F73" i="14"/>
  <c r="F73" i="13"/>
  <c r="H73" i="13"/>
  <c r="I73" i="13" s="1"/>
  <c r="J73" i="13" s="1"/>
  <c r="H73" i="11"/>
  <c r="I73" i="11" s="1"/>
  <c r="L73" i="11" s="1"/>
  <c r="G73" i="11"/>
  <c r="K73" i="11" s="1"/>
  <c r="E73" i="11"/>
  <c r="G73" i="10"/>
  <c r="K73" i="10" s="1"/>
  <c r="F73" i="4"/>
  <c r="E73" i="4"/>
  <c r="G68" i="15"/>
  <c r="K68" i="15" s="1"/>
  <c r="F68" i="15"/>
  <c r="E68" i="15"/>
  <c r="G68" i="14"/>
  <c r="K68" i="14" s="1"/>
  <c r="F68" i="14"/>
  <c r="G68" i="13"/>
  <c r="K68" i="13" s="1"/>
  <c r="E68" i="13"/>
  <c r="G68" i="12"/>
  <c r="K68" i="12" s="1"/>
  <c r="F68" i="12"/>
  <c r="H68" i="11"/>
  <c r="I68" i="11" s="1"/>
  <c r="F68" i="11"/>
  <c r="E68" i="11"/>
  <c r="H68" i="10"/>
  <c r="I68" i="10" s="1"/>
  <c r="G68" i="10"/>
  <c r="K68" i="10" s="1"/>
  <c r="G68" i="4"/>
  <c r="K68" i="4" s="1"/>
  <c r="F68" i="4"/>
  <c r="E68" i="3"/>
  <c r="F63" i="11"/>
  <c r="G63" i="11"/>
  <c r="K63" i="11" s="1"/>
  <c r="E63" i="10"/>
  <c r="H77" i="5"/>
  <c r="I77" i="5" s="1"/>
  <c r="G76" i="7" s="1"/>
  <c r="E76" i="5"/>
  <c r="E60" i="5"/>
  <c r="F51" i="5"/>
  <c r="F46" i="5"/>
  <c r="G28" i="5"/>
  <c r="K28" i="5" s="1"/>
  <c r="E16" i="5"/>
  <c r="D67" i="7"/>
  <c r="G77" i="5"/>
  <c r="K77" i="5" s="1"/>
  <c r="H46" i="7"/>
  <c r="F77" i="5"/>
  <c r="H67" i="5"/>
  <c r="I67" i="5" s="1"/>
  <c r="G66" i="7" s="1"/>
  <c r="H62" i="5"/>
  <c r="I62" i="5" s="1"/>
  <c r="G61" i="7" s="1"/>
  <c r="H52" i="5"/>
  <c r="I52" i="5" s="1"/>
  <c r="J52" i="5" s="1"/>
  <c r="F45" i="5"/>
  <c r="H35" i="5"/>
  <c r="I35" i="5" s="1"/>
  <c r="G34" i="7" s="1"/>
  <c r="H30" i="5"/>
  <c r="I30" i="5" s="1"/>
  <c r="G29" i="7" s="1"/>
  <c r="F21" i="5"/>
  <c r="G12" i="5"/>
  <c r="K12" i="5" s="1"/>
  <c r="H38" i="7"/>
  <c r="D37" i="7"/>
  <c r="H34" i="7"/>
  <c r="H30" i="7"/>
  <c r="H26" i="7"/>
  <c r="D25" i="7"/>
  <c r="D21" i="7"/>
  <c r="D9" i="7"/>
  <c r="H78" i="5"/>
  <c r="I78" i="5" s="1"/>
  <c r="G77" i="7" s="1"/>
  <c r="F35" i="5"/>
  <c r="G30" i="5"/>
  <c r="K30" i="5" s="1"/>
  <c r="H14" i="5"/>
  <c r="I14" i="5" s="1"/>
  <c r="G13" i="7" s="1"/>
  <c r="F70" i="7"/>
  <c r="F30" i="7"/>
  <c r="F26" i="7"/>
  <c r="H20" i="7"/>
  <c r="H18" i="7"/>
  <c r="G78" i="5"/>
  <c r="K78" i="5" s="1"/>
  <c r="G75" i="5"/>
  <c r="K75" i="5" s="1"/>
  <c r="G70" i="5"/>
  <c r="K70" i="5" s="1"/>
  <c r="H61" i="5"/>
  <c r="I61" i="5" s="1"/>
  <c r="G60" i="7" s="1"/>
  <c r="E52" i="5"/>
  <c r="E40" i="5"/>
  <c r="F30" i="5"/>
  <c r="G14" i="5"/>
  <c r="K14" i="5" s="1"/>
  <c r="H11" i="5"/>
  <c r="I11" i="5" s="1"/>
  <c r="G10" i="7" s="1"/>
  <c r="D55" i="7"/>
  <c r="D34" i="7"/>
  <c r="F18" i="7"/>
  <c r="F78" i="5"/>
  <c r="H76" i="5"/>
  <c r="I76" i="5" s="1"/>
  <c r="G61" i="5"/>
  <c r="K61" i="5" s="1"/>
  <c r="F14" i="5"/>
  <c r="D10" i="7"/>
  <c r="F61" i="5"/>
  <c r="H51" i="5"/>
  <c r="I51" i="5" s="1"/>
  <c r="G50" i="7" s="1"/>
  <c r="H46" i="5"/>
  <c r="I46" i="5" s="1"/>
  <c r="G45" i="7" s="1"/>
  <c r="F44" i="5"/>
  <c r="F29" i="5"/>
  <c r="J12" i="5"/>
  <c r="G11" i="7"/>
  <c r="G69" i="5"/>
  <c r="K69" i="5" s="1"/>
  <c r="G37" i="5"/>
  <c r="K37" i="5" s="1"/>
  <c r="F61" i="7"/>
  <c r="F69" i="5"/>
  <c r="F37" i="5"/>
  <c r="E24" i="5"/>
  <c r="H19" i="5"/>
  <c r="I19" i="5" s="1"/>
  <c r="G18" i="7" s="1"/>
  <c r="D68" i="7"/>
  <c r="D66" i="7"/>
  <c r="D65" i="7"/>
  <c r="D56" i="7"/>
  <c r="D54" i="7"/>
  <c r="D53" i="7"/>
  <c r="D44" i="7"/>
  <c r="D35" i="7"/>
  <c r="F29" i="7"/>
  <c r="D28" i="7"/>
  <c r="D19" i="7"/>
  <c r="F13" i="7"/>
  <c r="D12" i="7"/>
  <c r="H76" i="7"/>
  <c r="D75" i="7"/>
  <c r="D61" i="7"/>
  <c r="D48" i="7"/>
  <c r="H40" i="7"/>
  <c r="D39" i="7"/>
  <c r="H37" i="7"/>
  <c r="D32" i="7"/>
  <c r="H24" i="7"/>
  <c r="D23" i="7"/>
  <c r="D16" i="7"/>
  <c r="H68" i="5"/>
  <c r="I68" i="5" s="1"/>
  <c r="L68" i="5" s="1"/>
  <c r="F67" i="5"/>
  <c r="G62" i="5"/>
  <c r="K62" i="5" s="1"/>
  <c r="H36" i="5"/>
  <c r="I36" i="5" s="1"/>
  <c r="H27" i="5"/>
  <c r="I27" i="5" s="1"/>
  <c r="G26" i="7" s="1"/>
  <c r="H22" i="5"/>
  <c r="I22" i="5" s="1"/>
  <c r="G21" i="7" s="1"/>
  <c r="D72" i="7"/>
  <c r="D70" i="7"/>
  <c r="D69" i="7"/>
  <c r="H65" i="7"/>
  <c r="H60" i="7"/>
  <c r="D59" i="7"/>
  <c r="D57" i="7"/>
  <c r="H53" i="7"/>
  <c r="F50" i="7"/>
  <c r="D45" i="7"/>
  <c r="D29" i="7"/>
  <c r="D13" i="7"/>
  <c r="G43" i="7"/>
  <c r="G68" i="5"/>
  <c r="K68" i="5" s="1"/>
  <c r="F62" i="5"/>
  <c r="H60" i="5"/>
  <c r="I60" i="5" s="1"/>
  <c r="L60" i="5" s="1"/>
  <c r="E56" i="5"/>
  <c r="G36" i="5"/>
  <c r="K36" i="5" s="1"/>
  <c r="F27" i="5"/>
  <c r="G22" i="5"/>
  <c r="K22" i="5" s="1"/>
  <c r="H13" i="5"/>
  <c r="I13" i="5" s="1"/>
  <c r="G12" i="7" s="1"/>
  <c r="F74" i="7"/>
  <c r="H68" i="7"/>
  <c r="H56" i="7"/>
  <c r="H44" i="7"/>
  <c r="D43" i="7"/>
  <c r="D36" i="7"/>
  <c r="H28" i="7"/>
  <c r="D27" i="7"/>
  <c r="H25" i="7"/>
  <c r="D20" i="7"/>
  <c r="H12" i="7"/>
  <c r="D11" i="7"/>
  <c r="H9" i="7"/>
  <c r="F68" i="5"/>
  <c r="G60" i="5"/>
  <c r="K60" i="5" s="1"/>
  <c r="H45" i="5"/>
  <c r="I45" i="5" s="1"/>
  <c r="G44" i="7" s="1"/>
  <c r="F36" i="5"/>
  <c r="H29" i="5"/>
  <c r="I29" i="5" s="1"/>
  <c r="G28" i="7" s="1"/>
  <c r="F22" i="5"/>
  <c r="H20" i="5"/>
  <c r="I20" i="5" s="1"/>
  <c r="G13" i="5"/>
  <c r="K13" i="5" s="1"/>
  <c r="E72" i="5"/>
  <c r="H69" i="5"/>
  <c r="I69" i="5" s="1"/>
  <c r="G68" i="7" s="1"/>
  <c r="G45" i="5"/>
  <c r="K45" i="5" s="1"/>
  <c r="H37" i="5"/>
  <c r="I37" i="5" s="1"/>
  <c r="G36" i="7" s="1"/>
  <c r="G29" i="5"/>
  <c r="K29" i="5" s="1"/>
  <c r="G20" i="5"/>
  <c r="K20" i="5" s="1"/>
  <c r="F13" i="5"/>
  <c r="D76" i="7"/>
  <c r="D74" i="7"/>
  <c r="D73" i="7"/>
  <c r="F66" i="7"/>
  <c r="I66" i="7" s="1"/>
  <c r="F54" i="7"/>
  <c r="H48" i="7"/>
  <c r="D47" i="7"/>
  <c r="D40" i="7"/>
  <c r="H32" i="7"/>
  <c r="D31" i="7"/>
  <c r="D24" i="7"/>
  <c r="H16" i="7"/>
  <c r="D15" i="7"/>
  <c r="D8" i="7"/>
  <c r="D62" i="7"/>
  <c r="E62" i="7"/>
  <c r="F62" i="7"/>
  <c r="H62" i="7"/>
  <c r="H59" i="10"/>
  <c r="I59" i="10" s="1"/>
  <c r="J59" i="10" s="1"/>
  <c r="H59" i="15"/>
  <c r="I59" i="15" s="1"/>
  <c r="J59" i="15" s="1"/>
  <c r="H59" i="14"/>
  <c r="I59" i="14" s="1"/>
  <c r="H59" i="13"/>
  <c r="I59" i="13" s="1"/>
  <c r="J59" i="13" s="1"/>
  <c r="H59" i="12"/>
  <c r="I59" i="12" s="1"/>
  <c r="G59" i="11"/>
  <c r="K59" i="11" s="1"/>
  <c r="F59" i="11"/>
  <c r="E59" i="11"/>
  <c r="F59" i="10"/>
  <c r="E59" i="10"/>
  <c r="F59" i="5"/>
  <c r="H59" i="5"/>
  <c r="I59" i="5" s="1"/>
  <c r="G58" i="7" s="1"/>
  <c r="G59" i="5"/>
  <c r="K59" i="5" s="1"/>
  <c r="D58" i="7"/>
  <c r="H59" i="4"/>
  <c r="I59" i="4" s="1"/>
  <c r="G58" i="6" s="1"/>
  <c r="E58" i="7"/>
  <c r="H58" i="7"/>
  <c r="I31" i="7"/>
  <c r="J31" i="7" s="1"/>
  <c r="H75" i="7"/>
  <c r="H71" i="7"/>
  <c r="H67" i="7"/>
  <c r="H63" i="7"/>
  <c r="H59" i="7"/>
  <c r="H55" i="7"/>
  <c r="H51" i="7"/>
  <c r="H47" i="7"/>
  <c r="H43" i="7"/>
  <c r="H39" i="7"/>
  <c r="H35" i="7"/>
  <c r="H31" i="7"/>
  <c r="H27" i="7"/>
  <c r="H23" i="7"/>
  <c r="H19" i="7"/>
  <c r="H15" i="7"/>
  <c r="H11" i="7"/>
  <c r="E58" i="15"/>
  <c r="G58" i="15"/>
  <c r="K58" i="15" s="1"/>
  <c r="E58" i="14"/>
  <c r="H57" i="11"/>
  <c r="I57" i="11" s="1"/>
  <c r="L57" i="11" s="1"/>
  <c r="G57" i="11"/>
  <c r="K57" i="11" s="1"/>
  <c r="E57" i="11"/>
  <c r="F58" i="10"/>
  <c r="L32" i="3"/>
  <c r="J32" i="3"/>
  <c r="E60" i="3"/>
  <c r="E40" i="3"/>
  <c r="E34" i="3"/>
  <c r="E30" i="3"/>
  <c r="H17" i="3"/>
  <c r="I17" i="3" s="1"/>
  <c r="E52" i="3"/>
  <c r="H24" i="3"/>
  <c r="I24" i="3" s="1"/>
  <c r="E23" i="7" s="1"/>
  <c r="H20" i="3"/>
  <c r="I20" i="3" s="1"/>
  <c r="E19" i="7" s="1"/>
  <c r="E64" i="3"/>
  <c r="E24" i="3"/>
  <c r="E20" i="3"/>
  <c r="E76" i="3"/>
  <c r="G54" i="15"/>
  <c r="K54" i="15" s="1"/>
  <c r="E54" i="15"/>
  <c r="H54" i="14"/>
  <c r="I54" i="14" s="1"/>
  <c r="J54" i="14" s="1"/>
  <c r="G54" i="14"/>
  <c r="K54" i="14" s="1"/>
  <c r="H54" i="13"/>
  <c r="I54" i="13" s="1"/>
  <c r="J54" i="13" s="1"/>
  <c r="G54" i="13"/>
  <c r="K54" i="13" s="1"/>
  <c r="F54" i="13"/>
  <c r="H54" i="12"/>
  <c r="I54" i="12" s="1"/>
  <c r="J54" i="12" s="1"/>
  <c r="G54" i="12"/>
  <c r="K54" i="12" s="1"/>
  <c r="E54" i="12"/>
  <c r="H54" i="11"/>
  <c r="I54" i="11" s="1"/>
  <c r="F54" i="11"/>
  <c r="H54" i="10"/>
  <c r="I54" i="10" s="1"/>
  <c r="G54" i="10"/>
  <c r="K54" i="10" s="1"/>
  <c r="F54" i="10"/>
  <c r="H54" i="5"/>
  <c r="I54" i="5" s="1"/>
  <c r="G53" i="7" s="1"/>
  <c r="G54" i="5"/>
  <c r="K54" i="5" s="1"/>
  <c r="F54" i="5"/>
  <c r="H54" i="4"/>
  <c r="I54" i="4" s="1"/>
  <c r="G53" i="6" s="1"/>
  <c r="G54" i="4"/>
  <c r="K54" i="4" s="1"/>
  <c r="E54" i="4"/>
  <c r="F58" i="2"/>
  <c r="E64" i="2"/>
  <c r="H42" i="2"/>
  <c r="I42" i="2" s="1"/>
  <c r="F65" i="6"/>
  <c r="F41" i="6"/>
  <c r="F10" i="6"/>
  <c r="G35" i="2"/>
  <c r="K35" i="2" s="1"/>
  <c r="F20" i="6"/>
  <c r="H54" i="6"/>
  <c r="F63" i="6"/>
  <c r="F53" i="15"/>
  <c r="H53" i="15"/>
  <c r="I53" i="15" s="1"/>
  <c r="J53" i="15" s="1"/>
  <c r="H53" i="14"/>
  <c r="I53" i="14" s="1"/>
  <c r="F53" i="14"/>
  <c r="E53" i="14"/>
  <c r="F49" i="14"/>
  <c r="E49" i="14"/>
  <c r="F53" i="13"/>
  <c r="H53" i="12"/>
  <c r="I53" i="12" s="1"/>
  <c r="J53" i="12" s="1"/>
  <c r="F53" i="12"/>
  <c r="E53" i="12"/>
  <c r="E53" i="11"/>
  <c r="H53" i="10"/>
  <c r="I53" i="10" s="1"/>
  <c r="G53" i="10"/>
  <c r="K53" i="10" s="1"/>
  <c r="F53" i="10"/>
  <c r="F53" i="5"/>
  <c r="H53" i="5"/>
  <c r="I53" i="5" s="1"/>
  <c r="G52" i="7" s="1"/>
  <c r="G53" i="5"/>
  <c r="K53" i="5" s="1"/>
  <c r="H53" i="4"/>
  <c r="I53" i="4" s="1"/>
  <c r="F53" i="4"/>
  <c r="E53" i="4"/>
  <c r="H50" i="6"/>
  <c r="H33" i="6"/>
  <c r="G25" i="2"/>
  <c r="K25" i="2" s="1"/>
  <c r="F73" i="6"/>
  <c r="D46" i="6"/>
  <c r="F42" i="2"/>
  <c r="H66" i="2"/>
  <c r="I66" i="2" s="1"/>
  <c r="E65" i="6" s="1"/>
  <c r="H40" i="2"/>
  <c r="I40" i="2" s="1"/>
  <c r="J40" i="2" s="1"/>
  <c r="F69" i="6"/>
  <c r="F61" i="6"/>
  <c r="H53" i="6"/>
  <c r="F66" i="2"/>
  <c r="H60" i="6"/>
  <c r="H52" i="6"/>
  <c r="D50" i="6"/>
  <c r="D54" i="6"/>
  <c r="F13" i="6"/>
  <c r="D43" i="6"/>
  <c r="F22" i="6"/>
  <c r="F71" i="6"/>
  <c r="F50" i="6"/>
  <c r="F8" i="6"/>
  <c r="F52" i="6"/>
  <c r="F48" i="15"/>
  <c r="E48" i="15"/>
  <c r="G48" i="15"/>
  <c r="K48" i="15" s="1"/>
  <c r="H48" i="14"/>
  <c r="I48" i="14" s="1"/>
  <c r="L48" i="14" s="1"/>
  <c r="G48" i="14"/>
  <c r="K48" i="14" s="1"/>
  <c r="F48" i="14"/>
  <c r="H48" i="13"/>
  <c r="I48" i="13" s="1"/>
  <c r="J48" i="13" s="1"/>
  <c r="G48" i="13"/>
  <c r="K48" i="13" s="1"/>
  <c r="F48" i="13"/>
  <c r="H48" i="12"/>
  <c r="I48" i="12" s="1"/>
  <c r="G48" i="12"/>
  <c r="K48" i="12" s="1"/>
  <c r="F48" i="12"/>
  <c r="E48" i="5"/>
  <c r="H48" i="4"/>
  <c r="I48" i="4" s="1"/>
  <c r="G47" i="6" s="1"/>
  <c r="G48" i="4"/>
  <c r="K48" i="4" s="1"/>
  <c r="F48" i="4"/>
  <c r="E48" i="3"/>
  <c r="G43" i="11"/>
  <c r="K43" i="11" s="1"/>
  <c r="F43" i="11"/>
  <c r="H43" i="15"/>
  <c r="I43" i="15" s="1"/>
  <c r="J43" i="15" s="1"/>
  <c r="H43" i="14"/>
  <c r="I43" i="14" s="1"/>
  <c r="H43" i="13"/>
  <c r="I43" i="13" s="1"/>
  <c r="J43" i="13" s="1"/>
  <c r="H43" i="12"/>
  <c r="I43" i="12" s="1"/>
  <c r="E43" i="11"/>
  <c r="H43" i="10"/>
  <c r="I43" i="10" s="1"/>
  <c r="J43" i="10" s="1"/>
  <c r="F43" i="10"/>
  <c r="E43" i="10"/>
  <c r="H43" i="5"/>
  <c r="I43" i="5" s="1"/>
  <c r="G42" i="7" s="1"/>
  <c r="G43" i="5"/>
  <c r="K43" i="5" s="1"/>
  <c r="F43" i="5"/>
  <c r="H43" i="4"/>
  <c r="I43" i="4" s="1"/>
  <c r="G42" i="6" s="1"/>
  <c r="F62" i="6"/>
  <c r="D45" i="6"/>
  <c r="F40" i="6"/>
  <c r="F37" i="6"/>
  <c r="F29" i="6"/>
  <c r="D10" i="6"/>
  <c r="F47" i="2"/>
  <c r="F31" i="2"/>
  <c r="H69" i="6"/>
  <c r="D42" i="6"/>
  <c r="D34" i="6"/>
  <c r="D23" i="6"/>
  <c r="H20" i="6"/>
  <c r="F40" i="2"/>
  <c r="D66" i="6"/>
  <c r="F58" i="6"/>
  <c r="F53" i="6"/>
  <c r="F51" i="6"/>
  <c r="G67" i="2"/>
  <c r="K67" i="2" s="1"/>
  <c r="F50" i="2"/>
  <c r="F34" i="2"/>
  <c r="H70" i="6"/>
  <c r="H30" i="6"/>
  <c r="D21" i="6"/>
  <c r="H72" i="2"/>
  <c r="I72" i="2" s="1"/>
  <c r="L72" i="2" s="1"/>
  <c r="E61" i="2"/>
  <c r="F55" i="2"/>
  <c r="H73" i="6"/>
  <c r="H68" i="6"/>
  <c r="D44" i="6"/>
  <c r="H36" i="6"/>
  <c r="D12" i="6"/>
  <c r="G51" i="2"/>
  <c r="K51" i="2" s="1"/>
  <c r="H48" i="2"/>
  <c r="I48" i="2" s="1"/>
  <c r="E47" i="6" s="1"/>
  <c r="H27" i="2"/>
  <c r="I27" i="2" s="1"/>
  <c r="J27" i="2" s="1"/>
  <c r="F33" i="6"/>
  <c r="D14" i="6"/>
  <c r="F51" i="2"/>
  <c r="F48" i="2"/>
  <c r="E43" i="2"/>
  <c r="E40" i="2"/>
  <c r="E35" i="2"/>
  <c r="G27" i="2"/>
  <c r="K27" i="2" s="1"/>
  <c r="G23" i="2"/>
  <c r="K23" i="2" s="1"/>
  <c r="F67" i="6"/>
  <c r="H65" i="6"/>
  <c r="F24" i="6"/>
  <c r="F21" i="6"/>
  <c r="E69" i="2"/>
  <c r="E65" i="2"/>
  <c r="G55" i="2"/>
  <c r="K55" i="2" s="1"/>
  <c r="E51" i="2"/>
  <c r="G31" i="2"/>
  <c r="K31" i="2" s="1"/>
  <c r="F27" i="2"/>
  <c r="F23" i="2"/>
  <c r="H29" i="6"/>
  <c r="H26" i="6"/>
  <c r="H13" i="6"/>
  <c r="F72" i="2"/>
  <c r="G33" i="2"/>
  <c r="K33" i="2" s="1"/>
  <c r="H77" i="6"/>
  <c r="H66" i="6"/>
  <c r="F47" i="6"/>
  <c r="D18" i="6"/>
  <c r="E72" i="2"/>
  <c r="G57" i="2"/>
  <c r="K57" i="2" s="1"/>
  <c r="E49" i="2"/>
  <c r="E45" i="2"/>
  <c r="E33" i="2"/>
  <c r="E57" i="2"/>
  <c r="F24" i="2"/>
  <c r="G38" i="15"/>
  <c r="K38" i="15" s="1"/>
  <c r="E38" i="15"/>
  <c r="H38" i="14"/>
  <c r="I38" i="14" s="1"/>
  <c r="J38" i="14" s="1"/>
  <c r="G38" i="14"/>
  <c r="K38" i="14" s="1"/>
  <c r="E38" i="14"/>
  <c r="H38" i="13"/>
  <c r="I38" i="13" s="1"/>
  <c r="J38" i="13" s="1"/>
  <c r="G38" i="13"/>
  <c r="K38" i="13" s="1"/>
  <c r="E38" i="13"/>
  <c r="H38" i="12"/>
  <c r="I38" i="12" s="1"/>
  <c r="G38" i="12"/>
  <c r="K38" i="12" s="1"/>
  <c r="E38" i="12"/>
  <c r="H38" i="11"/>
  <c r="I38" i="11" s="1"/>
  <c r="J38" i="11" s="1"/>
  <c r="F38" i="11"/>
  <c r="H38" i="10"/>
  <c r="I38" i="10" s="1"/>
  <c r="J38" i="10" s="1"/>
  <c r="G38" i="10"/>
  <c r="K38" i="10" s="1"/>
  <c r="F38" i="10"/>
  <c r="H38" i="5"/>
  <c r="I38" i="5" s="1"/>
  <c r="G38" i="5"/>
  <c r="K38" i="5" s="1"/>
  <c r="F38" i="5"/>
  <c r="H38" i="4"/>
  <c r="I38" i="4" s="1"/>
  <c r="G37" i="6" s="1"/>
  <c r="G38" i="4"/>
  <c r="K38" i="4" s="1"/>
  <c r="E38" i="4"/>
  <c r="E38" i="3"/>
  <c r="E33" i="14"/>
  <c r="F33" i="14"/>
  <c r="F33" i="13"/>
  <c r="H33" i="13"/>
  <c r="I33" i="13" s="1"/>
  <c r="J33" i="13" s="1"/>
  <c r="G33" i="13"/>
  <c r="K33" i="13" s="1"/>
  <c r="F33" i="12"/>
  <c r="E33" i="12"/>
  <c r="H33" i="11"/>
  <c r="I33" i="11" s="1"/>
  <c r="L33" i="11" s="1"/>
  <c r="E33" i="11"/>
  <c r="G33" i="10"/>
  <c r="K33" i="10" s="1"/>
  <c r="F33" i="4"/>
  <c r="E33" i="4"/>
  <c r="D32" i="6"/>
  <c r="D58" i="6"/>
  <c r="D49" i="6"/>
  <c r="F35" i="6"/>
  <c r="F26" i="6"/>
  <c r="H24" i="6"/>
  <c r="F19" i="6"/>
  <c r="D15" i="6"/>
  <c r="H74" i="2"/>
  <c r="I74" i="2" s="1"/>
  <c r="E73" i="6" s="1"/>
  <c r="E25" i="2"/>
  <c r="H74" i="6"/>
  <c r="H8" i="6"/>
  <c r="D76" i="6"/>
  <c r="F66" i="6"/>
  <c r="D65" i="6"/>
  <c r="F60" i="6"/>
  <c r="D55" i="6"/>
  <c r="F46" i="6"/>
  <c r="D37" i="6"/>
  <c r="F31" i="6"/>
  <c r="F11" i="6"/>
  <c r="E77" i="2"/>
  <c r="F74" i="2"/>
  <c r="G65" i="2"/>
  <c r="K65" i="2" s="1"/>
  <c r="H63" i="2"/>
  <c r="I63" i="2" s="1"/>
  <c r="J63" i="2" s="1"/>
  <c r="G59" i="2"/>
  <c r="K59" i="2" s="1"/>
  <c r="H61" i="6"/>
  <c r="D73" i="6"/>
  <c r="F57" i="6"/>
  <c r="F39" i="6"/>
  <c r="G63" i="2"/>
  <c r="K63" i="2" s="1"/>
  <c r="F59" i="2"/>
  <c r="H50" i="2"/>
  <c r="I50" i="2" s="1"/>
  <c r="J50" i="2" s="1"/>
  <c r="E48" i="2"/>
  <c r="G39" i="2"/>
  <c r="K39" i="2" s="1"/>
  <c r="F35" i="2"/>
  <c r="H24" i="2"/>
  <c r="I24" i="2" s="1"/>
  <c r="L24" i="2" s="1"/>
  <c r="E21" i="2"/>
  <c r="F34" i="6"/>
  <c r="F18" i="6"/>
  <c r="D9" i="6"/>
  <c r="G73" i="2"/>
  <c r="K73" i="2" s="1"/>
  <c r="G71" i="2"/>
  <c r="K71" i="2" s="1"/>
  <c r="F67" i="2"/>
  <c r="F63" i="2"/>
  <c r="E59" i="2"/>
  <c r="H56" i="2"/>
  <c r="I56" i="2" s="1"/>
  <c r="L56" i="2" s="1"/>
  <c r="E53" i="2"/>
  <c r="G41" i="2"/>
  <c r="K41" i="2" s="1"/>
  <c r="F39" i="2"/>
  <c r="H32" i="2"/>
  <c r="I32" i="2" s="1"/>
  <c r="E31" i="6" s="1"/>
  <c r="D75" i="6"/>
  <c r="D62" i="6"/>
  <c r="D48" i="6"/>
  <c r="H32" i="6"/>
  <c r="F30" i="6"/>
  <c r="H28" i="6"/>
  <c r="D16" i="6"/>
  <c r="F14" i="6"/>
  <c r="G75" i="2"/>
  <c r="K75" i="2" s="1"/>
  <c r="E73" i="2"/>
  <c r="F71" i="2"/>
  <c r="E67" i="2"/>
  <c r="H64" i="2"/>
  <c r="I64" i="2" s="1"/>
  <c r="J64" i="2" s="1"/>
  <c r="F56" i="2"/>
  <c r="G43" i="2"/>
  <c r="K43" i="2" s="1"/>
  <c r="E41" i="2"/>
  <c r="F32" i="2"/>
  <c r="E29" i="2"/>
  <c r="H26" i="2"/>
  <c r="I26" i="2" s="1"/>
  <c r="E25" i="6" s="1"/>
  <c r="E24" i="2"/>
  <c r="D77" i="6"/>
  <c r="F72" i="6"/>
  <c r="D64" i="6"/>
  <c r="D59" i="6"/>
  <c r="F56" i="6"/>
  <c r="H45" i="6"/>
  <c r="H41" i="6"/>
  <c r="D38" i="6"/>
  <c r="F36" i="6"/>
  <c r="H25" i="6"/>
  <c r="F75" i="2"/>
  <c r="F64" i="2"/>
  <c r="H58" i="2"/>
  <c r="I58" i="2" s="1"/>
  <c r="J58" i="2" s="1"/>
  <c r="E56" i="2"/>
  <c r="G49" i="2"/>
  <c r="K49" i="2" s="1"/>
  <c r="G47" i="2"/>
  <c r="K47" i="2" s="1"/>
  <c r="F43" i="2"/>
  <c r="H34" i="2"/>
  <c r="I34" i="2" s="1"/>
  <c r="E33" i="6" s="1"/>
  <c r="E32" i="2"/>
  <c r="F26" i="2"/>
  <c r="D72" i="6"/>
  <c r="D57" i="6"/>
  <c r="D51" i="6"/>
  <c r="F49" i="6"/>
  <c r="D40" i="6"/>
  <c r="H38" i="6"/>
  <c r="D30" i="6"/>
  <c r="D26" i="6"/>
  <c r="F77" i="6"/>
  <c r="F75" i="6"/>
  <c r="D68" i="6"/>
  <c r="F64" i="6"/>
  <c r="H62" i="6"/>
  <c r="F54" i="6"/>
  <c r="D53" i="6"/>
  <c r="D47" i="6"/>
  <c r="F45" i="6"/>
  <c r="F43" i="6"/>
  <c r="H37" i="6"/>
  <c r="D36" i="6"/>
  <c r="H34" i="6"/>
  <c r="F32" i="6"/>
  <c r="H21" i="6"/>
  <c r="D20" i="6"/>
  <c r="F16" i="6"/>
  <c r="D13" i="6"/>
  <c r="H10" i="6"/>
  <c r="D71" i="6"/>
  <c r="D60" i="6"/>
  <c r="H58" i="6"/>
  <c r="D39" i="6"/>
  <c r="D28" i="6"/>
  <c r="D24" i="6"/>
  <c r="H18" i="6"/>
  <c r="H12" i="6"/>
  <c r="D11" i="6"/>
  <c r="H9" i="6"/>
  <c r="H76" i="6"/>
  <c r="F74" i="6"/>
  <c r="D67" i="6"/>
  <c r="H57" i="6"/>
  <c r="D56" i="6"/>
  <c r="H44" i="6"/>
  <c r="F42" i="6"/>
  <c r="D41" i="6"/>
  <c r="D35" i="6"/>
  <c r="H14" i="6"/>
  <c r="F9" i="6"/>
  <c r="D8" i="6"/>
  <c r="D74" i="6"/>
  <c r="H72" i="6"/>
  <c r="F70" i="6"/>
  <c r="D69" i="6"/>
  <c r="D63" i="6"/>
  <c r="F59" i="6"/>
  <c r="D52" i="6"/>
  <c r="F48" i="6"/>
  <c r="H46" i="6"/>
  <c r="H40" i="6"/>
  <c r="F38" i="6"/>
  <c r="D33" i="6"/>
  <c r="D31" i="6"/>
  <c r="D27" i="6"/>
  <c r="F23" i="6"/>
  <c r="D19" i="6"/>
  <c r="F17" i="6"/>
  <c r="F15" i="6"/>
  <c r="F76" i="6"/>
  <c r="D70" i="6"/>
  <c r="D61" i="6"/>
  <c r="F55" i="6"/>
  <c r="H49" i="6"/>
  <c r="F44" i="6"/>
  <c r="H42" i="6"/>
  <c r="D29" i="6"/>
  <c r="D25" i="6"/>
  <c r="H16" i="6"/>
  <c r="F12" i="6"/>
  <c r="G28" i="15"/>
  <c r="K28" i="15" s="1"/>
  <c r="E28" i="15"/>
  <c r="G28" i="13"/>
  <c r="K28" i="13" s="1"/>
  <c r="F28" i="12"/>
  <c r="H28" i="11"/>
  <c r="I28" i="11" s="1"/>
  <c r="L28" i="11" s="1"/>
  <c r="F28" i="11"/>
  <c r="E28" i="11"/>
  <c r="H28" i="10"/>
  <c r="I28" i="10" s="1"/>
  <c r="G28" i="10"/>
  <c r="K28" i="10" s="1"/>
  <c r="H28" i="5"/>
  <c r="I28" i="5" s="1"/>
  <c r="E28" i="5"/>
  <c r="F28" i="4"/>
  <c r="G28" i="4"/>
  <c r="K28" i="4" s="1"/>
  <c r="H28" i="3"/>
  <c r="I28" i="3" s="1"/>
  <c r="E27" i="7" s="1"/>
  <c r="E28" i="3"/>
  <c r="F27" i="6"/>
  <c r="E48" i="6"/>
  <c r="J49" i="2"/>
  <c r="L49" i="2"/>
  <c r="E42" i="6"/>
  <c r="J43" i="2"/>
  <c r="L43" i="2"/>
  <c r="E41" i="6"/>
  <c r="J42" i="2"/>
  <c r="L42" i="2"/>
  <c r="J65" i="2"/>
  <c r="E64" i="6"/>
  <c r="L65" i="2"/>
  <c r="E56" i="6"/>
  <c r="J57" i="2"/>
  <c r="L57" i="2"/>
  <c r="E50" i="6"/>
  <c r="I50" i="6" s="1"/>
  <c r="J51" i="2"/>
  <c r="L51" i="2"/>
  <c r="E24" i="6"/>
  <c r="J25" i="2"/>
  <c r="L25" i="2"/>
  <c r="J73" i="2"/>
  <c r="L73" i="2"/>
  <c r="E72" i="6"/>
  <c r="E66" i="6"/>
  <c r="J67" i="2"/>
  <c r="L67" i="2"/>
  <c r="J59" i="2"/>
  <c r="E58" i="6"/>
  <c r="L59" i="2"/>
  <c r="J33" i="2"/>
  <c r="E32" i="6"/>
  <c r="L33" i="2"/>
  <c r="L58" i="2"/>
  <c r="E74" i="6"/>
  <c r="J75" i="2"/>
  <c r="L75" i="2"/>
  <c r="J41" i="2"/>
  <c r="L41" i="2"/>
  <c r="E40" i="6"/>
  <c r="J35" i="2"/>
  <c r="E34" i="6"/>
  <c r="L35" i="2"/>
  <c r="E74" i="2"/>
  <c r="F73" i="2"/>
  <c r="H71" i="2"/>
  <c r="I71" i="2" s="1"/>
  <c r="E66" i="2"/>
  <c r="F65" i="2"/>
  <c r="E58" i="2"/>
  <c r="F57" i="2"/>
  <c r="H55" i="2"/>
  <c r="I55" i="2" s="1"/>
  <c r="E50" i="2"/>
  <c r="F49" i="2"/>
  <c r="H47" i="2"/>
  <c r="I47" i="2" s="1"/>
  <c r="E42" i="2"/>
  <c r="F41" i="2"/>
  <c r="H39" i="2"/>
  <c r="I39" i="2" s="1"/>
  <c r="E34" i="2"/>
  <c r="F33" i="2"/>
  <c r="H31" i="2"/>
  <c r="I31" i="2" s="1"/>
  <c r="E26" i="2"/>
  <c r="F25" i="2"/>
  <c r="H23" i="2"/>
  <c r="I23" i="2" s="1"/>
  <c r="H78" i="2"/>
  <c r="I78" i="2" s="1"/>
  <c r="H70" i="2"/>
  <c r="I70" i="2" s="1"/>
  <c r="H62" i="2"/>
  <c r="I62" i="2" s="1"/>
  <c r="H54" i="2"/>
  <c r="I54" i="2" s="1"/>
  <c r="H46" i="2"/>
  <c r="I46" i="2" s="1"/>
  <c r="H38" i="2"/>
  <c r="I38" i="2" s="1"/>
  <c r="H30" i="2"/>
  <c r="I30" i="2" s="1"/>
  <c r="H22" i="2"/>
  <c r="I22" i="2" s="1"/>
  <c r="G78" i="2"/>
  <c r="K78" i="2" s="1"/>
  <c r="H77" i="2"/>
  <c r="I77" i="2" s="1"/>
  <c r="G70" i="2"/>
  <c r="K70" i="2" s="1"/>
  <c r="H69" i="2"/>
  <c r="I69" i="2" s="1"/>
  <c r="G62" i="2"/>
  <c r="K62" i="2" s="1"/>
  <c r="H61" i="2"/>
  <c r="I61" i="2" s="1"/>
  <c r="G54" i="2"/>
  <c r="K54" i="2" s="1"/>
  <c r="H53" i="2"/>
  <c r="I53" i="2" s="1"/>
  <c r="G46" i="2"/>
  <c r="K46" i="2" s="1"/>
  <c r="H45" i="2"/>
  <c r="I45" i="2" s="1"/>
  <c r="G38" i="2"/>
  <c r="K38" i="2" s="1"/>
  <c r="H37" i="2"/>
  <c r="I37" i="2" s="1"/>
  <c r="G30" i="2"/>
  <c r="K30" i="2" s="1"/>
  <c r="H29" i="2"/>
  <c r="I29" i="2" s="1"/>
  <c r="G22" i="2"/>
  <c r="K22" i="2" s="1"/>
  <c r="H21" i="2"/>
  <c r="I21" i="2" s="1"/>
  <c r="F78" i="2"/>
  <c r="G77" i="2"/>
  <c r="K77" i="2" s="1"/>
  <c r="H76" i="2"/>
  <c r="I76" i="2" s="1"/>
  <c r="F70" i="2"/>
  <c r="G69" i="2"/>
  <c r="K69" i="2" s="1"/>
  <c r="H68" i="2"/>
  <c r="I68" i="2" s="1"/>
  <c r="F62" i="2"/>
  <c r="G61" i="2"/>
  <c r="K61" i="2" s="1"/>
  <c r="H60" i="2"/>
  <c r="I60" i="2" s="1"/>
  <c r="F54" i="2"/>
  <c r="G53" i="2"/>
  <c r="K53" i="2" s="1"/>
  <c r="H52" i="2"/>
  <c r="I52" i="2" s="1"/>
  <c r="F46" i="2"/>
  <c r="G45" i="2"/>
  <c r="K45" i="2" s="1"/>
  <c r="H44" i="2"/>
  <c r="I44" i="2" s="1"/>
  <c r="F38" i="2"/>
  <c r="G37" i="2"/>
  <c r="K37" i="2" s="1"/>
  <c r="H36" i="2"/>
  <c r="I36" i="2" s="1"/>
  <c r="F30" i="2"/>
  <c r="G29" i="2"/>
  <c r="K29" i="2" s="1"/>
  <c r="H28" i="2"/>
  <c r="I28" i="2" s="1"/>
  <c r="F22" i="2"/>
  <c r="G21" i="2"/>
  <c r="K21" i="2" s="1"/>
  <c r="G76" i="2"/>
  <c r="K76" i="2" s="1"/>
  <c r="G68" i="2"/>
  <c r="K68" i="2" s="1"/>
  <c r="G60" i="2"/>
  <c r="K60" i="2" s="1"/>
  <c r="G52" i="2"/>
  <c r="K52" i="2" s="1"/>
  <c r="G44" i="2"/>
  <c r="K44" i="2" s="1"/>
  <c r="G36" i="2"/>
  <c r="K36" i="2" s="1"/>
  <c r="G28" i="2"/>
  <c r="K28" i="2" s="1"/>
  <c r="F76" i="2"/>
  <c r="F68" i="2"/>
  <c r="F60" i="2"/>
  <c r="F52" i="2"/>
  <c r="F44" i="2"/>
  <c r="F36" i="2"/>
  <c r="F28" i="2"/>
  <c r="F23" i="11"/>
  <c r="E23" i="11"/>
  <c r="H23" i="11"/>
  <c r="I23" i="11" s="1"/>
  <c r="E23" i="10"/>
  <c r="D22" i="6"/>
  <c r="H22" i="6"/>
  <c r="E23" i="3"/>
  <c r="F18" i="10"/>
  <c r="J12" i="3"/>
  <c r="L12" i="3"/>
  <c r="F11" i="3"/>
  <c r="H77" i="3"/>
  <c r="I77" i="3" s="1"/>
  <c r="E76" i="7" s="1"/>
  <c r="H73" i="3"/>
  <c r="I73" i="3" s="1"/>
  <c r="E72" i="7" s="1"/>
  <c r="H69" i="3"/>
  <c r="I69" i="3" s="1"/>
  <c r="E68" i="7" s="1"/>
  <c r="H65" i="3"/>
  <c r="I65" i="3" s="1"/>
  <c r="E64" i="7" s="1"/>
  <c r="H61" i="3"/>
  <c r="I61" i="3" s="1"/>
  <c r="E60" i="7" s="1"/>
  <c r="H57" i="3"/>
  <c r="I57" i="3" s="1"/>
  <c r="E56" i="7" s="1"/>
  <c r="H53" i="3"/>
  <c r="I53" i="3" s="1"/>
  <c r="E52" i="7" s="1"/>
  <c r="H49" i="3"/>
  <c r="I49" i="3" s="1"/>
  <c r="E48" i="7" s="1"/>
  <c r="H45" i="3"/>
  <c r="I45" i="3" s="1"/>
  <c r="E44" i="7" s="1"/>
  <c r="H41" i="3"/>
  <c r="I41" i="3" s="1"/>
  <c r="E40" i="7" s="1"/>
  <c r="H37" i="3"/>
  <c r="I37" i="3" s="1"/>
  <c r="E36" i="7" s="1"/>
  <c r="H33" i="3"/>
  <c r="I33" i="3" s="1"/>
  <c r="E32" i="7" s="1"/>
  <c r="H29" i="3"/>
  <c r="I29" i="3" s="1"/>
  <c r="E28" i="7" s="1"/>
  <c r="H25" i="3"/>
  <c r="I25" i="3" s="1"/>
  <c r="E24" i="7" s="1"/>
  <c r="H21" i="3"/>
  <c r="I21" i="3" s="1"/>
  <c r="E20" i="7" s="1"/>
  <c r="G17" i="3"/>
  <c r="K17" i="3" s="1"/>
  <c r="G15" i="3"/>
  <c r="K15" i="3" s="1"/>
  <c r="E13" i="3"/>
  <c r="F10" i="3"/>
  <c r="H11" i="3"/>
  <c r="I11" i="3" s="1"/>
  <c r="E10" i="7" s="1"/>
  <c r="G77" i="3"/>
  <c r="K77" i="3" s="1"/>
  <c r="G75" i="3"/>
  <c r="K75" i="3" s="1"/>
  <c r="G73" i="3"/>
  <c r="K73" i="3" s="1"/>
  <c r="G71" i="3"/>
  <c r="K71" i="3" s="1"/>
  <c r="G69" i="3"/>
  <c r="K69" i="3" s="1"/>
  <c r="G67" i="3"/>
  <c r="K67" i="3" s="1"/>
  <c r="G65" i="3"/>
  <c r="K65" i="3" s="1"/>
  <c r="G63" i="3"/>
  <c r="K63" i="3" s="1"/>
  <c r="G61" i="3"/>
  <c r="K61" i="3" s="1"/>
  <c r="G59" i="3"/>
  <c r="K59" i="3" s="1"/>
  <c r="G57" i="3"/>
  <c r="K57" i="3" s="1"/>
  <c r="G55" i="3"/>
  <c r="K55" i="3" s="1"/>
  <c r="G53" i="3"/>
  <c r="K53" i="3" s="1"/>
  <c r="G51" i="3"/>
  <c r="K51" i="3" s="1"/>
  <c r="G49" i="3"/>
  <c r="K49" i="3" s="1"/>
  <c r="G47" i="3"/>
  <c r="K47" i="3" s="1"/>
  <c r="G45" i="3"/>
  <c r="K45" i="3" s="1"/>
  <c r="G43" i="3"/>
  <c r="K43" i="3" s="1"/>
  <c r="G41" i="3"/>
  <c r="K41" i="3" s="1"/>
  <c r="G39" i="3"/>
  <c r="K39" i="3" s="1"/>
  <c r="G37" i="3"/>
  <c r="K37" i="3" s="1"/>
  <c r="G35" i="3"/>
  <c r="K35" i="3" s="1"/>
  <c r="G33" i="3"/>
  <c r="K33" i="3" s="1"/>
  <c r="G31" i="3"/>
  <c r="K31" i="3" s="1"/>
  <c r="G29" i="3"/>
  <c r="K29" i="3" s="1"/>
  <c r="G27" i="3"/>
  <c r="K27" i="3" s="1"/>
  <c r="G25" i="3"/>
  <c r="K25" i="3" s="1"/>
  <c r="G23" i="3"/>
  <c r="K23" i="3" s="1"/>
  <c r="G21" i="3"/>
  <c r="K21" i="3" s="1"/>
  <c r="G19" i="3"/>
  <c r="K19" i="3" s="1"/>
  <c r="F17" i="3"/>
  <c r="F15" i="3"/>
  <c r="L75" i="3"/>
  <c r="L67" i="3"/>
  <c r="L59" i="3"/>
  <c r="L51" i="3"/>
  <c r="L43" i="3"/>
  <c r="L35" i="3"/>
  <c r="L27" i="3"/>
  <c r="L19" i="3"/>
  <c r="F9" i="3"/>
  <c r="H10" i="3"/>
  <c r="I10" i="3" s="1"/>
  <c r="E9" i="7" s="1"/>
  <c r="F77" i="3"/>
  <c r="F75" i="3"/>
  <c r="F73" i="3"/>
  <c r="F71" i="3"/>
  <c r="F69" i="3"/>
  <c r="F67" i="3"/>
  <c r="F65" i="3"/>
  <c r="F63" i="3"/>
  <c r="F61" i="3"/>
  <c r="F59" i="3"/>
  <c r="F57" i="3"/>
  <c r="F55" i="3"/>
  <c r="F53" i="3"/>
  <c r="F51" i="3"/>
  <c r="F49" i="3"/>
  <c r="F47" i="3"/>
  <c r="F45" i="3"/>
  <c r="F43" i="3"/>
  <c r="F41" i="3"/>
  <c r="F39" i="3"/>
  <c r="F37" i="3"/>
  <c r="F35" i="3"/>
  <c r="F33" i="3"/>
  <c r="F31" i="3"/>
  <c r="F29" i="3"/>
  <c r="F27" i="3"/>
  <c r="F25" i="3"/>
  <c r="F23" i="3"/>
  <c r="F21" i="3"/>
  <c r="E15" i="3"/>
  <c r="E11" i="3"/>
  <c r="G13" i="3"/>
  <c r="K13" i="3" s="1"/>
  <c r="H9" i="3"/>
  <c r="I9" i="3" s="1"/>
  <c r="E8" i="7" s="1"/>
  <c r="E75" i="3"/>
  <c r="E71" i="3"/>
  <c r="E67" i="3"/>
  <c r="E63" i="3"/>
  <c r="E59" i="3"/>
  <c r="E55" i="3"/>
  <c r="E51" i="3"/>
  <c r="E47" i="3"/>
  <c r="E43" i="3"/>
  <c r="E39" i="3"/>
  <c r="E35" i="3"/>
  <c r="E31" i="3"/>
  <c r="E27" i="3"/>
  <c r="E10" i="3"/>
  <c r="H13" i="3"/>
  <c r="I13" i="3" s="1"/>
  <c r="E12" i="7" s="1"/>
  <c r="H16" i="3"/>
  <c r="I16" i="3" s="1"/>
  <c r="E15" i="7" s="1"/>
  <c r="E14" i="3"/>
  <c r="L15" i="3"/>
  <c r="E78" i="3"/>
  <c r="H76" i="3"/>
  <c r="I76" i="3" s="1"/>
  <c r="E75" i="7" s="1"/>
  <c r="H72" i="3"/>
  <c r="I72" i="3" s="1"/>
  <c r="E71" i="7" s="1"/>
  <c r="E70" i="3"/>
  <c r="H68" i="3"/>
  <c r="I68" i="3" s="1"/>
  <c r="E67" i="7" s="1"/>
  <c r="E66" i="3"/>
  <c r="H64" i="3"/>
  <c r="I64" i="3" s="1"/>
  <c r="E63" i="7" s="1"/>
  <c r="E62" i="3"/>
  <c r="H60" i="3"/>
  <c r="I60" i="3" s="1"/>
  <c r="E59" i="7" s="1"/>
  <c r="E58" i="3"/>
  <c r="H56" i="3"/>
  <c r="I56" i="3" s="1"/>
  <c r="E55" i="7" s="1"/>
  <c r="E54" i="3"/>
  <c r="H52" i="3"/>
  <c r="I52" i="3" s="1"/>
  <c r="E51" i="7" s="1"/>
  <c r="E50" i="3"/>
  <c r="H48" i="3"/>
  <c r="I48" i="3" s="1"/>
  <c r="E47" i="7" s="1"/>
  <c r="E46" i="3"/>
  <c r="H44" i="3"/>
  <c r="I44" i="3" s="1"/>
  <c r="E43" i="7" s="1"/>
  <c r="H40" i="3"/>
  <c r="I40" i="3" s="1"/>
  <c r="E39" i="7" s="1"/>
  <c r="H36" i="3"/>
  <c r="I36" i="3" s="1"/>
  <c r="E35" i="7" s="1"/>
  <c r="G16" i="3"/>
  <c r="K16" i="3" s="1"/>
  <c r="L71" i="3"/>
  <c r="L63" i="3"/>
  <c r="L55" i="3"/>
  <c r="L47" i="3"/>
  <c r="L39" i="3"/>
  <c r="L31" i="3"/>
  <c r="L23" i="3"/>
  <c r="G76" i="3"/>
  <c r="K76" i="3" s="1"/>
  <c r="G72" i="3"/>
  <c r="K72" i="3" s="1"/>
  <c r="G68" i="3"/>
  <c r="K68" i="3" s="1"/>
  <c r="G64" i="3"/>
  <c r="K64" i="3" s="1"/>
  <c r="G60" i="3"/>
  <c r="K60" i="3" s="1"/>
  <c r="G56" i="3"/>
  <c r="K56" i="3" s="1"/>
  <c r="G52" i="3"/>
  <c r="K52" i="3" s="1"/>
  <c r="G48" i="3"/>
  <c r="K48" i="3" s="1"/>
  <c r="G44" i="3"/>
  <c r="K44" i="3" s="1"/>
  <c r="G40" i="3"/>
  <c r="K40" i="3" s="1"/>
  <c r="G36" i="3"/>
  <c r="K36" i="3" s="1"/>
  <c r="G32" i="3"/>
  <c r="K32" i="3" s="1"/>
  <c r="G28" i="3"/>
  <c r="K28" i="3" s="1"/>
  <c r="G24" i="3"/>
  <c r="K24" i="3" s="1"/>
  <c r="G20" i="3"/>
  <c r="K20" i="3" s="1"/>
  <c r="E16" i="3"/>
  <c r="E18" i="3"/>
  <c r="H17" i="6"/>
  <c r="D17" i="6"/>
  <c r="H75" i="6"/>
  <c r="H71" i="6"/>
  <c r="H67" i="6"/>
  <c r="H63" i="6"/>
  <c r="H59" i="6"/>
  <c r="H55" i="6"/>
  <c r="H51" i="6"/>
  <c r="H47" i="6"/>
  <c r="H43" i="6"/>
  <c r="H39" i="6"/>
  <c r="H35" i="6"/>
  <c r="H31" i="6"/>
  <c r="H27" i="6"/>
  <c r="H23" i="6"/>
  <c r="H19" i="6"/>
  <c r="H15" i="6"/>
  <c r="H11" i="6"/>
  <c r="J56" i="15"/>
  <c r="L56" i="15"/>
  <c r="J45" i="15"/>
  <c r="L45" i="15"/>
  <c r="J37" i="15"/>
  <c r="L37" i="15"/>
  <c r="J21" i="15"/>
  <c r="L21" i="15"/>
  <c r="J48" i="15"/>
  <c r="L48" i="15"/>
  <c r="J76" i="15"/>
  <c r="L76" i="15"/>
  <c r="J75" i="15"/>
  <c r="L75" i="15"/>
  <c r="J68" i="15"/>
  <c r="L68" i="15"/>
  <c r="J16" i="15"/>
  <c r="L16" i="15"/>
  <c r="J11" i="15"/>
  <c r="L11" i="15"/>
  <c r="J77" i="15"/>
  <c r="L77" i="15"/>
  <c r="J67" i="15"/>
  <c r="L67" i="15"/>
  <c r="J60" i="15"/>
  <c r="L60" i="15"/>
  <c r="J69" i="15"/>
  <c r="L69" i="15"/>
  <c r="J52" i="15"/>
  <c r="L52" i="15"/>
  <c r="J72" i="15"/>
  <c r="L72" i="15"/>
  <c r="J61" i="15"/>
  <c r="L61" i="15"/>
  <c r="J35" i="15"/>
  <c r="L35" i="15"/>
  <c r="J13" i="15"/>
  <c r="L13" i="15"/>
  <c r="J64" i="15"/>
  <c r="L64" i="15"/>
  <c r="G77" i="15"/>
  <c r="K77" i="15" s="1"/>
  <c r="E71" i="15"/>
  <c r="G69" i="15"/>
  <c r="K69" i="15" s="1"/>
  <c r="E63" i="15"/>
  <c r="G61" i="15"/>
  <c r="K61" i="15" s="1"/>
  <c r="E55" i="15"/>
  <c r="G53" i="15"/>
  <c r="K53" i="15" s="1"/>
  <c r="E47" i="15"/>
  <c r="G45" i="15"/>
  <c r="K45" i="15" s="1"/>
  <c r="H44" i="15"/>
  <c r="I44" i="15" s="1"/>
  <c r="E39" i="15"/>
  <c r="G37" i="15"/>
  <c r="K37" i="15" s="1"/>
  <c r="H36" i="15"/>
  <c r="I36" i="15" s="1"/>
  <c r="E31" i="15"/>
  <c r="G29" i="15"/>
  <c r="K29" i="15" s="1"/>
  <c r="H28" i="15"/>
  <c r="I28" i="15" s="1"/>
  <c r="L24" i="15"/>
  <c r="E23" i="15"/>
  <c r="G21" i="15"/>
  <c r="K21" i="15" s="1"/>
  <c r="H20" i="15"/>
  <c r="I20" i="15" s="1"/>
  <c r="E15" i="15"/>
  <c r="G13" i="15"/>
  <c r="K13" i="15" s="1"/>
  <c r="H12" i="15"/>
  <c r="I12" i="15" s="1"/>
  <c r="G75" i="15"/>
  <c r="K75" i="15" s="1"/>
  <c r="H74" i="15"/>
  <c r="I74" i="15" s="1"/>
  <c r="L70" i="15"/>
  <c r="G67" i="15"/>
  <c r="K67" i="15" s="1"/>
  <c r="H66" i="15"/>
  <c r="I66" i="15" s="1"/>
  <c r="L62" i="15"/>
  <c r="G59" i="15"/>
  <c r="K59" i="15" s="1"/>
  <c r="H58" i="15"/>
  <c r="I58" i="15" s="1"/>
  <c r="L54" i="15"/>
  <c r="G51" i="15"/>
  <c r="K51" i="15" s="1"/>
  <c r="H50" i="15"/>
  <c r="I50" i="15" s="1"/>
  <c r="L46" i="15"/>
  <c r="G43" i="15"/>
  <c r="K43" i="15" s="1"/>
  <c r="H42" i="15"/>
  <c r="I42" i="15" s="1"/>
  <c r="L38" i="15"/>
  <c r="G35" i="15"/>
  <c r="K35" i="15" s="1"/>
  <c r="H34" i="15"/>
  <c r="I34" i="15" s="1"/>
  <c r="L30" i="15"/>
  <c r="G27" i="15"/>
  <c r="K27" i="15" s="1"/>
  <c r="H26" i="15"/>
  <c r="I26" i="15" s="1"/>
  <c r="L22" i="15"/>
  <c r="F20" i="15"/>
  <c r="G19" i="15"/>
  <c r="K19" i="15" s="1"/>
  <c r="H18" i="15"/>
  <c r="I18" i="15" s="1"/>
  <c r="L14" i="15"/>
  <c r="F12" i="15"/>
  <c r="G11" i="15"/>
  <c r="K11" i="15" s="1"/>
  <c r="H10" i="15"/>
  <c r="I10" i="15" s="1"/>
  <c r="F75" i="15"/>
  <c r="H73" i="15"/>
  <c r="I73" i="15" s="1"/>
  <c r="F67" i="15"/>
  <c r="H65" i="15"/>
  <c r="I65" i="15" s="1"/>
  <c r="F59" i="15"/>
  <c r="H57" i="15"/>
  <c r="I57" i="15" s="1"/>
  <c r="F51" i="15"/>
  <c r="H49" i="15"/>
  <c r="I49" i="15" s="1"/>
  <c r="F43" i="15"/>
  <c r="G42" i="15"/>
  <c r="K42" i="15" s="1"/>
  <c r="H41" i="15"/>
  <c r="I41" i="15" s="1"/>
  <c r="F35" i="15"/>
  <c r="G34" i="15"/>
  <c r="K34" i="15" s="1"/>
  <c r="H33" i="15"/>
  <c r="I33" i="15" s="1"/>
  <c r="F27" i="15"/>
  <c r="G26" i="15"/>
  <c r="K26" i="15" s="1"/>
  <c r="H25" i="15"/>
  <c r="I25" i="15" s="1"/>
  <c r="F19" i="15"/>
  <c r="G18" i="15"/>
  <c r="K18" i="15" s="1"/>
  <c r="H17" i="15"/>
  <c r="I17" i="15" s="1"/>
  <c r="F11" i="15"/>
  <c r="G10" i="15"/>
  <c r="K10" i="15" s="1"/>
  <c r="H9" i="15"/>
  <c r="I9" i="15" s="1"/>
  <c r="G73" i="15"/>
  <c r="K73" i="15" s="1"/>
  <c r="G65" i="15"/>
  <c r="K65" i="15" s="1"/>
  <c r="G57" i="15"/>
  <c r="K57" i="15" s="1"/>
  <c r="G49" i="15"/>
  <c r="K49" i="15" s="1"/>
  <c r="G41" i="15"/>
  <c r="K41" i="15" s="1"/>
  <c r="G33" i="15"/>
  <c r="K33" i="15" s="1"/>
  <c r="G25" i="15"/>
  <c r="K25" i="15" s="1"/>
  <c r="G17" i="15"/>
  <c r="K17" i="15" s="1"/>
  <c r="G9" i="15"/>
  <c r="K9" i="15" s="1"/>
  <c r="F73" i="15"/>
  <c r="H71" i="15"/>
  <c r="I71" i="15" s="1"/>
  <c r="F65" i="15"/>
  <c r="H63" i="15"/>
  <c r="I63" i="15" s="1"/>
  <c r="F57" i="15"/>
  <c r="H55" i="15"/>
  <c r="I55" i="15" s="1"/>
  <c r="F49" i="15"/>
  <c r="H47" i="15"/>
  <c r="I47" i="15" s="1"/>
  <c r="F41" i="15"/>
  <c r="H39" i="15"/>
  <c r="I39" i="15" s="1"/>
  <c r="F33" i="15"/>
  <c r="H31" i="15"/>
  <c r="I31" i="15" s="1"/>
  <c r="F25" i="15"/>
  <c r="H23" i="15"/>
  <c r="I23" i="15" s="1"/>
  <c r="F17" i="15"/>
  <c r="H15" i="15"/>
  <c r="I15" i="15" s="1"/>
  <c r="F9" i="15"/>
  <c r="G71" i="15"/>
  <c r="K71" i="15" s="1"/>
  <c r="G63" i="15"/>
  <c r="K63" i="15" s="1"/>
  <c r="G55" i="15"/>
  <c r="K55" i="15" s="1"/>
  <c r="G47" i="15"/>
  <c r="K47" i="15" s="1"/>
  <c r="G39" i="15"/>
  <c r="K39" i="15" s="1"/>
  <c r="G31" i="15"/>
  <c r="K31" i="15" s="1"/>
  <c r="G23" i="15"/>
  <c r="K23" i="15" s="1"/>
  <c r="G15" i="15"/>
  <c r="K15" i="15" s="1"/>
  <c r="J14" i="14"/>
  <c r="J32" i="14"/>
  <c r="L32" i="14"/>
  <c r="J51" i="14"/>
  <c r="L51" i="14"/>
  <c r="J24" i="14"/>
  <c r="L24" i="14"/>
  <c r="J16" i="14"/>
  <c r="L16" i="14"/>
  <c r="J11" i="14"/>
  <c r="L11" i="14"/>
  <c r="J27" i="14"/>
  <c r="L27" i="14"/>
  <c r="J19" i="14"/>
  <c r="L19" i="14"/>
  <c r="J75" i="14"/>
  <c r="L75" i="14"/>
  <c r="J67" i="14"/>
  <c r="L67" i="14"/>
  <c r="J64" i="14"/>
  <c r="L64" i="14"/>
  <c r="J43" i="14"/>
  <c r="L43" i="14"/>
  <c r="J40" i="14"/>
  <c r="L40" i="14"/>
  <c r="J72" i="14"/>
  <c r="L72" i="14"/>
  <c r="J35" i="14"/>
  <c r="L35" i="14"/>
  <c r="J22" i="14"/>
  <c r="L22" i="14"/>
  <c r="J59" i="14"/>
  <c r="L59" i="14"/>
  <c r="J56" i="14"/>
  <c r="L56" i="14"/>
  <c r="H76" i="14"/>
  <c r="I76" i="14" s="1"/>
  <c r="E71" i="14"/>
  <c r="H68" i="14"/>
  <c r="I68" i="14" s="1"/>
  <c r="E63" i="14"/>
  <c r="H60" i="14"/>
  <c r="I60" i="14" s="1"/>
  <c r="E55" i="14"/>
  <c r="H52" i="14"/>
  <c r="I52" i="14" s="1"/>
  <c r="E47" i="14"/>
  <c r="H44" i="14"/>
  <c r="I44" i="14" s="1"/>
  <c r="E39" i="14"/>
  <c r="H36" i="14"/>
  <c r="I36" i="14" s="1"/>
  <c r="E31" i="14"/>
  <c r="H28" i="14"/>
  <c r="I28" i="14" s="1"/>
  <c r="E23" i="14"/>
  <c r="H20" i="14"/>
  <c r="I20" i="14" s="1"/>
  <c r="E15" i="14"/>
  <c r="G13" i="14"/>
  <c r="K13" i="14" s="1"/>
  <c r="H12" i="14"/>
  <c r="I12" i="14" s="1"/>
  <c r="G75" i="14"/>
  <c r="K75" i="14" s="1"/>
  <c r="H74" i="14"/>
  <c r="I74" i="14" s="1"/>
  <c r="L70" i="14"/>
  <c r="G67" i="14"/>
  <c r="K67" i="14" s="1"/>
  <c r="H66" i="14"/>
  <c r="I66" i="14" s="1"/>
  <c r="L62" i="14"/>
  <c r="F60" i="14"/>
  <c r="G59" i="14"/>
  <c r="K59" i="14" s="1"/>
  <c r="H58" i="14"/>
  <c r="I58" i="14" s="1"/>
  <c r="L54" i="14"/>
  <c r="F52" i="14"/>
  <c r="G51" i="14"/>
  <c r="K51" i="14" s="1"/>
  <c r="H50" i="14"/>
  <c r="I50" i="14" s="1"/>
  <c r="L46" i="14"/>
  <c r="F44" i="14"/>
  <c r="G43" i="14"/>
  <c r="K43" i="14" s="1"/>
  <c r="H42" i="14"/>
  <c r="I42" i="14" s="1"/>
  <c r="L38" i="14"/>
  <c r="F36" i="14"/>
  <c r="G35" i="14"/>
  <c r="K35" i="14" s="1"/>
  <c r="H34" i="14"/>
  <c r="I34" i="14" s="1"/>
  <c r="L30" i="14"/>
  <c r="F28" i="14"/>
  <c r="G27" i="14"/>
  <c r="K27" i="14" s="1"/>
  <c r="H26" i="14"/>
  <c r="I26" i="14" s="1"/>
  <c r="F20" i="14"/>
  <c r="G19" i="14"/>
  <c r="K19" i="14" s="1"/>
  <c r="H18" i="14"/>
  <c r="I18" i="14" s="1"/>
  <c r="F12" i="14"/>
  <c r="G11" i="14"/>
  <c r="K11" i="14" s="1"/>
  <c r="H10" i="14"/>
  <c r="I10" i="14" s="1"/>
  <c r="F75" i="14"/>
  <c r="G74" i="14"/>
  <c r="K74" i="14" s="1"/>
  <c r="H73" i="14"/>
  <c r="I73" i="14" s="1"/>
  <c r="F67" i="14"/>
  <c r="G66" i="14"/>
  <c r="K66" i="14" s="1"/>
  <c r="H65" i="14"/>
  <c r="I65" i="14" s="1"/>
  <c r="F59" i="14"/>
  <c r="G58" i="14"/>
  <c r="K58" i="14" s="1"/>
  <c r="H57" i="14"/>
  <c r="I57" i="14" s="1"/>
  <c r="F51" i="14"/>
  <c r="G50" i="14"/>
  <c r="K50" i="14" s="1"/>
  <c r="H49" i="14"/>
  <c r="I49" i="14" s="1"/>
  <c r="F43" i="14"/>
  <c r="G42" i="14"/>
  <c r="K42" i="14" s="1"/>
  <c r="H41" i="14"/>
  <c r="I41" i="14" s="1"/>
  <c r="F35" i="14"/>
  <c r="G34" i="14"/>
  <c r="K34" i="14" s="1"/>
  <c r="H33" i="14"/>
  <c r="I33" i="14" s="1"/>
  <c r="F27" i="14"/>
  <c r="G26" i="14"/>
  <c r="K26" i="14" s="1"/>
  <c r="H25" i="14"/>
  <c r="I25" i="14" s="1"/>
  <c r="L21" i="14"/>
  <c r="F19" i="14"/>
  <c r="G18" i="14"/>
  <c r="K18" i="14" s="1"/>
  <c r="H17" i="14"/>
  <c r="I17" i="14" s="1"/>
  <c r="L13" i="14"/>
  <c r="F11" i="14"/>
  <c r="G10" i="14"/>
  <c r="K10" i="14" s="1"/>
  <c r="H9" i="14"/>
  <c r="I9" i="14" s="1"/>
  <c r="F26" i="14"/>
  <c r="F18" i="14"/>
  <c r="F10" i="14"/>
  <c r="H71" i="14"/>
  <c r="I71" i="14" s="1"/>
  <c r="H63" i="14"/>
  <c r="I63" i="14" s="1"/>
  <c r="H55" i="14"/>
  <c r="I55" i="14" s="1"/>
  <c r="H47" i="14"/>
  <c r="I47" i="14" s="1"/>
  <c r="H39" i="14"/>
  <c r="I39" i="14" s="1"/>
  <c r="H31" i="14"/>
  <c r="I31" i="14" s="1"/>
  <c r="H23" i="14"/>
  <c r="I23" i="14" s="1"/>
  <c r="H15" i="14"/>
  <c r="I15" i="14" s="1"/>
  <c r="G71" i="14"/>
  <c r="K71" i="14" s="1"/>
  <c r="G63" i="14"/>
  <c r="K63" i="14" s="1"/>
  <c r="G55" i="14"/>
  <c r="K55" i="14" s="1"/>
  <c r="G47" i="14"/>
  <c r="K47" i="14" s="1"/>
  <c r="G39" i="14"/>
  <c r="K39" i="14" s="1"/>
  <c r="G31" i="14"/>
  <c r="K31" i="14" s="1"/>
  <c r="G23" i="14"/>
  <c r="K23" i="14" s="1"/>
  <c r="G15" i="14"/>
  <c r="K15" i="14" s="1"/>
  <c r="J69" i="13"/>
  <c r="L69" i="13"/>
  <c r="L54" i="13"/>
  <c r="J45" i="13"/>
  <c r="L45" i="13"/>
  <c r="J24" i="13"/>
  <c r="L24" i="13"/>
  <c r="J14" i="13"/>
  <c r="L14" i="13"/>
  <c r="L78" i="13"/>
  <c r="J75" i="13"/>
  <c r="L75" i="13"/>
  <c r="J11" i="13"/>
  <c r="L11" i="13"/>
  <c r="L57" i="13"/>
  <c r="J57" i="13"/>
  <c r="J51" i="13"/>
  <c r="L51" i="13"/>
  <c r="J37" i="13"/>
  <c r="L37" i="13"/>
  <c r="L25" i="13"/>
  <c r="J25" i="13"/>
  <c r="J70" i="13"/>
  <c r="L70" i="13"/>
  <c r="J61" i="13"/>
  <c r="L61" i="13"/>
  <c r="J46" i="13"/>
  <c r="L46" i="13"/>
  <c r="L17" i="13"/>
  <c r="J17" i="13"/>
  <c r="J67" i="13"/>
  <c r="L67" i="13"/>
  <c r="J29" i="13"/>
  <c r="L29" i="13"/>
  <c r="J21" i="13"/>
  <c r="L21" i="13"/>
  <c r="L9" i="13"/>
  <c r="J9" i="13"/>
  <c r="J77" i="13"/>
  <c r="L77" i="13"/>
  <c r="J62" i="13"/>
  <c r="L62" i="13"/>
  <c r="L49" i="13"/>
  <c r="J49" i="13"/>
  <c r="J13" i="13"/>
  <c r="L13" i="13"/>
  <c r="L73" i="13"/>
  <c r="J53" i="13"/>
  <c r="L53" i="13"/>
  <c r="J35" i="13"/>
  <c r="L35" i="13"/>
  <c r="L65" i="13"/>
  <c r="J65" i="13"/>
  <c r="L41" i="13"/>
  <c r="J41" i="13"/>
  <c r="J30" i="13"/>
  <c r="L30" i="13"/>
  <c r="J27" i="13"/>
  <c r="L27" i="13"/>
  <c r="J22" i="13"/>
  <c r="L22" i="13"/>
  <c r="F78" i="13"/>
  <c r="G77" i="13"/>
  <c r="K77" i="13" s="1"/>
  <c r="H76" i="13"/>
  <c r="I76" i="13" s="1"/>
  <c r="L72" i="13"/>
  <c r="E71" i="13"/>
  <c r="G69" i="13"/>
  <c r="K69" i="13" s="1"/>
  <c r="H68" i="13"/>
  <c r="I68" i="13" s="1"/>
  <c r="L64" i="13"/>
  <c r="E63" i="13"/>
  <c r="G61" i="13"/>
  <c r="K61" i="13" s="1"/>
  <c r="H60" i="13"/>
  <c r="I60" i="13" s="1"/>
  <c r="L56" i="13"/>
  <c r="E55" i="13"/>
  <c r="G53" i="13"/>
  <c r="K53" i="13" s="1"/>
  <c r="H52" i="13"/>
  <c r="I52" i="13" s="1"/>
  <c r="L48" i="13"/>
  <c r="E47" i="13"/>
  <c r="G45" i="13"/>
  <c r="K45" i="13" s="1"/>
  <c r="H44" i="13"/>
  <c r="I44" i="13" s="1"/>
  <c r="L40" i="13"/>
  <c r="E39" i="13"/>
  <c r="G37" i="13"/>
  <c r="K37" i="13" s="1"/>
  <c r="H36" i="13"/>
  <c r="I36" i="13" s="1"/>
  <c r="L32" i="13"/>
  <c r="E31" i="13"/>
  <c r="G29" i="13"/>
  <c r="K29" i="13" s="1"/>
  <c r="H28" i="13"/>
  <c r="I28" i="13" s="1"/>
  <c r="E23" i="13"/>
  <c r="G21" i="13"/>
  <c r="K21" i="13" s="1"/>
  <c r="H20" i="13"/>
  <c r="I20" i="13" s="1"/>
  <c r="L16" i="13"/>
  <c r="E15" i="13"/>
  <c r="G13" i="13"/>
  <c r="K13" i="13" s="1"/>
  <c r="H12" i="13"/>
  <c r="I12" i="13" s="1"/>
  <c r="E77" i="13"/>
  <c r="G75" i="13"/>
  <c r="K75" i="13" s="1"/>
  <c r="H74" i="13"/>
  <c r="I74" i="13" s="1"/>
  <c r="E69" i="13"/>
  <c r="G67" i="13"/>
  <c r="K67" i="13" s="1"/>
  <c r="H66" i="13"/>
  <c r="I66" i="13" s="1"/>
  <c r="E61" i="13"/>
  <c r="G59" i="13"/>
  <c r="K59" i="13" s="1"/>
  <c r="H58" i="13"/>
  <c r="I58" i="13" s="1"/>
  <c r="E53" i="13"/>
  <c r="G51" i="13"/>
  <c r="K51" i="13" s="1"/>
  <c r="H50" i="13"/>
  <c r="I50" i="13" s="1"/>
  <c r="E45" i="13"/>
  <c r="G43" i="13"/>
  <c r="K43" i="13" s="1"/>
  <c r="H42" i="13"/>
  <c r="I42" i="13" s="1"/>
  <c r="E37" i="13"/>
  <c r="G35" i="13"/>
  <c r="K35" i="13" s="1"/>
  <c r="H34" i="13"/>
  <c r="I34" i="13" s="1"/>
  <c r="E29" i="13"/>
  <c r="F28" i="13"/>
  <c r="G27" i="13"/>
  <c r="K27" i="13" s="1"/>
  <c r="H26" i="13"/>
  <c r="I26" i="13" s="1"/>
  <c r="E21" i="13"/>
  <c r="G19" i="13"/>
  <c r="K19" i="13" s="1"/>
  <c r="H18" i="13"/>
  <c r="I18" i="13" s="1"/>
  <c r="E13" i="13"/>
  <c r="G11" i="13"/>
  <c r="K11" i="13" s="1"/>
  <c r="H10" i="13"/>
  <c r="I10" i="13" s="1"/>
  <c r="F67" i="13"/>
  <c r="G66" i="13"/>
  <c r="K66" i="13" s="1"/>
  <c r="F59" i="13"/>
  <c r="G58" i="13"/>
  <c r="K58" i="13" s="1"/>
  <c r="F51" i="13"/>
  <c r="G50" i="13"/>
  <c r="K50" i="13" s="1"/>
  <c r="F43" i="13"/>
  <c r="G42" i="13"/>
  <c r="K42" i="13" s="1"/>
  <c r="F35" i="13"/>
  <c r="G34" i="13"/>
  <c r="K34" i="13" s="1"/>
  <c r="F27" i="13"/>
  <c r="G26" i="13"/>
  <c r="K26" i="13" s="1"/>
  <c r="F19" i="13"/>
  <c r="G18" i="13"/>
  <c r="K18" i="13" s="1"/>
  <c r="F11" i="13"/>
  <c r="G10" i="13"/>
  <c r="K10" i="13" s="1"/>
  <c r="F74" i="13"/>
  <c r="F66" i="13"/>
  <c r="F58" i="13"/>
  <c r="F50" i="13"/>
  <c r="F42" i="13"/>
  <c r="F34" i="13"/>
  <c r="F26" i="13"/>
  <c r="F18" i="13"/>
  <c r="F10" i="13"/>
  <c r="H71" i="13"/>
  <c r="I71" i="13" s="1"/>
  <c r="H63" i="13"/>
  <c r="I63" i="13" s="1"/>
  <c r="H55" i="13"/>
  <c r="I55" i="13" s="1"/>
  <c r="H47" i="13"/>
  <c r="I47" i="13" s="1"/>
  <c r="H39" i="13"/>
  <c r="I39" i="13" s="1"/>
  <c r="H31" i="13"/>
  <c r="I31" i="13" s="1"/>
  <c r="H23" i="13"/>
  <c r="I23" i="13" s="1"/>
  <c r="H15" i="13"/>
  <c r="I15" i="13" s="1"/>
  <c r="G71" i="13"/>
  <c r="K71" i="13" s="1"/>
  <c r="G63" i="13"/>
  <c r="K63" i="13" s="1"/>
  <c r="G55" i="13"/>
  <c r="K55" i="13" s="1"/>
  <c r="G47" i="13"/>
  <c r="K47" i="13" s="1"/>
  <c r="G39" i="13"/>
  <c r="K39" i="13" s="1"/>
  <c r="G31" i="13"/>
  <c r="K31" i="13" s="1"/>
  <c r="G23" i="13"/>
  <c r="K23" i="13" s="1"/>
  <c r="G15" i="13"/>
  <c r="K15" i="13" s="1"/>
  <c r="J70" i="12"/>
  <c r="L70" i="12"/>
  <c r="J64" i="12"/>
  <c r="L64" i="12"/>
  <c r="J27" i="12"/>
  <c r="L27" i="12"/>
  <c r="J16" i="12"/>
  <c r="L16" i="12"/>
  <c r="J59" i="12"/>
  <c r="L59" i="12"/>
  <c r="J19" i="12"/>
  <c r="L19" i="12"/>
  <c r="J72" i="12"/>
  <c r="L72" i="12"/>
  <c r="J61" i="12"/>
  <c r="L61" i="12"/>
  <c r="J46" i="12"/>
  <c r="L46" i="12"/>
  <c r="J11" i="12"/>
  <c r="L11" i="12"/>
  <c r="J67" i="12"/>
  <c r="L67" i="12"/>
  <c r="J38" i="12"/>
  <c r="L38" i="12"/>
  <c r="J69" i="12"/>
  <c r="L69" i="12"/>
  <c r="J48" i="12"/>
  <c r="L48" i="12"/>
  <c r="J30" i="12"/>
  <c r="L30" i="12"/>
  <c r="J75" i="12"/>
  <c r="L75" i="12"/>
  <c r="J40" i="12"/>
  <c r="L40" i="12"/>
  <c r="J22" i="12"/>
  <c r="L22" i="12"/>
  <c r="J77" i="12"/>
  <c r="L77" i="12"/>
  <c r="J62" i="12"/>
  <c r="L62" i="12"/>
  <c r="J56" i="12"/>
  <c r="L56" i="12"/>
  <c r="J43" i="12"/>
  <c r="L43" i="12"/>
  <c r="J32" i="12"/>
  <c r="L32" i="12"/>
  <c r="J14" i="12"/>
  <c r="L14" i="12"/>
  <c r="J51" i="12"/>
  <c r="L51" i="12"/>
  <c r="J35" i="12"/>
  <c r="L35" i="12"/>
  <c r="J24" i="12"/>
  <c r="L24" i="12"/>
  <c r="H76" i="12"/>
  <c r="I76" i="12" s="1"/>
  <c r="E71" i="12"/>
  <c r="H68" i="12"/>
  <c r="I68" i="12" s="1"/>
  <c r="E63" i="12"/>
  <c r="H60" i="12"/>
  <c r="I60" i="12" s="1"/>
  <c r="E55" i="12"/>
  <c r="H52" i="12"/>
  <c r="I52" i="12" s="1"/>
  <c r="E47" i="12"/>
  <c r="H44" i="12"/>
  <c r="I44" i="12" s="1"/>
  <c r="E39" i="12"/>
  <c r="H36" i="12"/>
  <c r="I36" i="12" s="1"/>
  <c r="E31" i="12"/>
  <c r="H28" i="12"/>
  <c r="I28" i="12" s="1"/>
  <c r="E23" i="12"/>
  <c r="H20" i="12"/>
  <c r="I20" i="12" s="1"/>
  <c r="E15" i="12"/>
  <c r="H12" i="12"/>
  <c r="I12" i="12" s="1"/>
  <c r="G75" i="12"/>
  <c r="K75" i="12" s="1"/>
  <c r="H74" i="12"/>
  <c r="I74" i="12" s="1"/>
  <c r="G67" i="12"/>
  <c r="K67" i="12" s="1"/>
  <c r="H66" i="12"/>
  <c r="I66" i="12" s="1"/>
  <c r="G59" i="12"/>
  <c r="K59" i="12" s="1"/>
  <c r="H58" i="12"/>
  <c r="I58" i="12" s="1"/>
  <c r="G51" i="12"/>
  <c r="K51" i="12" s="1"/>
  <c r="H50" i="12"/>
  <c r="I50" i="12" s="1"/>
  <c r="G43" i="12"/>
  <c r="K43" i="12" s="1"/>
  <c r="H42" i="12"/>
  <c r="I42" i="12" s="1"/>
  <c r="G35" i="12"/>
  <c r="K35" i="12" s="1"/>
  <c r="H34" i="12"/>
  <c r="I34" i="12" s="1"/>
  <c r="G27" i="12"/>
  <c r="K27" i="12" s="1"/>
  <c r="H26" i="12"/>
  <c r="I26" i="12" s="1"/>
  <c r="G19" i="12"/>
  <c r="K19" i="12" s="1"/>
  <c r="H18" i="12"/>
  <c r="I18" i="12" s="1"/>
  <c r="G11" i="12"/>
  <c r="K11" i="12" s="1"/>
  <c r="H10" i="12"/>
  <c r="I10" i="12" s="1"/>
  <c r="F75" i="12"/>
  <c r="G74" i="12"/>
  <c r="K74" i="12" s="1"/>
  <c r="H73" i="12"/>
  <c r="I73" i="12" s="1"/>
  <c r="F67" i="12"/>
  <c r="G66" i="12"/>
  <c r="K66" i="12" s="1"/>
  <c r="H65" i="12"/>
  <c r="I65" i="12" s="1"/>
  <c r="F59" i="12"/>
  <c r="G58" i="12"/>
  <c r="K58" i="12" s="1"/>
  <c r="H57" i="12"/>
  <c r="I57" i="12" s="1"/>
  <c r="F51" i="12"/>
  <c r="G50" i="12"/>
  <c r="K50" i="12" s="1"/>
  <c r="H49" i="12"/>
  <c r="I49" i="12" s="1"/>
  <c r="L45" i="12"/>
  <c r="F43" i="12"/>
  <c r="G42" i="12"/>
  <c r="K42" i="12" s="1"/>
  <c r="H41" i="12"/>
  <c r="I41" i="12" s="1"/>
  <c r="L37" i="12"/>
  <c r="F35" i="12"/>
  <c r="G34" i="12"/>
  <c r="K34" i="12" s="1"/>
  <c r="H33" i="12"/>
  <c r="I33" i="12" s="1"/>
  <c r="L29" i="12"/>
  <c r="F27" i="12"/>
  <c r="G26" i="12"/>
  <c r="K26" i="12" s="1"/>
  <c r="H25" i="12"/>
  <c r="I25" i="12" s="1"/>
  <c r="L21" i="12"/>
  <c r="F19" i="12"/>
  <c r="G18" i="12"/>
  <c r="K18" i="12" s="1"/>
  <c r="H17" i="12"/>
  <c r="I17" i="12" s="1"/>
  <c r="L13" i="12"/>
  <c r="F11" i="12"/>
  <c r="G10" i="12"/>
  <c r="K10" i="12" s="1"/>
  <c r="H9" i="12"/>
  <c r="I9" i="12" s="1"/>
  <c r="F74" i="12"/>
  <c r="G73" i="12"/>
  <c r="K73" i="12" s="1"/>
  <c r="F66" i="12"/>
  <c r="G65" i="12"/>
  <c r="K65" i="12" s="1"/>
  <c r="F58" i="12"/>
  <c r="G57" i="12"/>
  <c r="K57" i="12" s="1"/>
  <c r="F50" i="12"/>
  <c r="G49" i="12"/>
  <c r="K49" i="12" s="1"/>
  <c r="F42" i="12"/>
  <c r="F34" i="12"/>
  <c r="F26" i="12"/>
  <c r="F18" i="12"/>
  <c r="F10" i="12"/>
  <c r="F73" i="12"/>
  <c r="H71" i="12"/>
  <c r="I71" i="12" s="1"/>
  <c r="F65" i="12"/>
  <c r="H63" i="12"/>
  <c r="I63" i="12" s="1"/>
  <c r="F57" i="12"/>
  <c r="H55" i="12"/>
  <c r="I55" i="12" s="1"/>
  <c r="F49" i="12"/>
  <c r="H47" i="12"/>
  <c r="I47" i="12" s="1"/>
  <c r="H39" i="12"/>
  <c r="I39" i="12" s="1"/>
  <c r="H31" i="12"/>
  <c r="I31" i="12" s="1"/>
  <c r="H23" i="12"/>
  <c r="I23" i="12" s="1"/>
  <c r="H15" i="12"/>
  <c r="I15" i="12" s="1"/>
  <c r="G71" i="12"/>
  <c r="K71" i="12" s="1"/>
  <c r="G63" i="12"/>
  <c r="K63" i="12" s="1"/>
  <c r="G55" i="12"/>
  <c r="K55" i="12" s="1"/>
  <c r="G47" i="12"/>
  <c r="K47" i="12" s="1"/>
  <c r="G39" i="12"/>
  <c r="K39" i="12" s="1"/>
  <c r="G31" i="12"/>
  <c r="K31" i="12" s="1"/>
  <c r="G23" i="12"/>
  <c r="K23" i="12" s="1"/>
  <c r="G15" i="12"/>
  <c r="K15" i="12" s="1"/>
  <c r="J68" i="11"/>
  <c r="L68" i="11"/>
  <c r="J67" i="11"/>
  <c r="L67" i="11"/>
  <c r="J54" i="11"/>
  <c r="L54" i="11"/>
  <c r="J39" i="11"/>
  <c r="L39" i="11"/>
  <c r="J71" i="11"/>
  <c r="L71" i="11"/>
  <c r="L38" i="11"/>
  <c r="J22" i="11"/>
  <c r="L22" i="11"/>
  <c r="J70" i="11"/>
  <c r="L70" i="11"/>
  <c r="J61" i="11"/>
  <c r="L61" i="11"/>
  <c r="J29" i="11"/>
  <c r="L29" i="11"/>
  <c r="J60" i="11"/>
  <c r="L60" i="11"/>
  <c r="J59" i="11"/>
  <c r="L59" i="11"/>
  <c r="J45" i="11"/>
  <c r="L45" i="11"/>
  <c r="J28" i="11"/>
  <c r="J27" i="11"/>
  <c r="L27" i="11"/>
  <c r="J77" i="11"/>
  <c r="L77" i="11"/>
  <c r="J63" i="11"/>
  <c r="L63" i="11"/>
  <c r="J44" i="11"/>
  <c r="L44" i="11"/>
  <c r="J43" i="11"/>
  <c r="L43" i="11"/>
  <c r="J76" i="11"/>
  <c r="L76" i="11"/>
  <c r="J75" i="11"/>
  <c r="L75" i="11"/>
  <c r="J62" i="11"/>
  <c r="L62" i="11"/>
  <c r="J53" i="11"/>
  <c r="L53" i="11"/>
  <c r="J30" i="11"/>
  <c r="L30" i="11"/>
  <c r="J14" i="11"/>
  <c r="L14" i="11"/>
  <c r="J12" i="11"/>
  <c r="L12" i="11"/>
  <c r="J52" i="11"/>
  <c r="L52" i="11"/>
  <c r="J51" i="11"/>
  <c r="L51" i="11"/>
  <c r="J46" i="11"/>
  <c r="L46" i="11"/>
  <c r="J37" i="11"/>
  <c r="L37" i="11"/>
  <c r="J21" i="11"/>
  <c r="L21" i="11"/>
  <c r="J78" i="11"/>
  <c r="L78" i="11"/>
  <c r="J69" i="11"/>
  <c r="L69" i="11"/>
  <c r="J55" i="11"/>
  <c r="L55" i="11"/>
  <c r="J36" i="11"/>
  <c r="L36" i="11"/>
  <c r="J35" i="11"/>
  <c r="L35" i="11"/>
  <c r="J20" i="11"/>
  <c r="L20" i="11"/>
  <c r="J19" i="11"/>
  <c r="L19" i="11"/>
  <c r="E78" i="11"/>
  <c r="F77" i="11"/>
  <c r="J73" i="11"/>
  <c r="E70" i="11"/>
  <c r="F69" i="11"/>
  <c r="J65" i="11"/>
  <c r="E62" i="11"/>
  <c r="F61" i="11"/>
  <c r="J57" i="11"/>
  <c r="E54" i="11"/>
  <c r="F53" i="11"/>
  <c r="E46" i="11"/>
  <c r="F45" i="11"/>
  <c r="J41" i="11"/>
  <c r="E38" i="11"/>
  <c r="F37" i="11"/>
  <c r="E30" i="11"/>
  <c r="F29" i="11"/>
  <c r="J25" i="11"/>
  <c r="E22" i="11"/>
  <c r="F21" i="11"/>
  <c r="J17" i="11"/>
  <c r="E14" i="11"/>
  <c r="H11" i="11"/>
  <c r="I11" i="11" s="1"/>
  <c r="H74" i="11"/>
  <c r="I74" i="11" s="1"/>
  <c r="H66" i="11"/>
  <c r="I66" i="11" s="1"/>
  <c r="H58" i="11"/>
  <c r="I58" i="11" s="1"/>
  <c r="H50" i="11"/>
  <c r="I50" i="11" s="1"/>
  <c r="H42" i="11"/>
  <c r="I42" i="11" s="1"/>
  <c r="H34" i="11"/>
  <c r="I34" i="11" s="1"/>
  <c r="H26" i="11"/>
  <c r="I26" i="11" s="1"/>
  <c r="H18" i="11"/>
  <c r="I18" i="11" s="1"/>
  <c r="H10" i="11"/>
  <c r="I10" i="11" s="1"/>
  <c r="G74" i="11"/>
  <c r="K74" i="11" s="1"/>
  <c r="G66" i="11"/>
  <c r="K66" i="11" s="1"/>
  <c r="G58" i="11"/>
  <c r="K58" i="11" s="1"/>
  <c r="G50" i="11"/>
  <c r="K50" i="11" s="1"/>
  <c r="G42" i="11"/>
  <c r="K42" i="11" s="1"/>
  <c r="G34" i="11"/>
  <c r="K34" i="11" s="1"/>
  <c r="G26" i="11"/>
  <c r="K26" i="11" s="1"/>
  <c r="G18" i="11"/>
  <c r="K18" i="11" s="1"/>
  <c r="L13" i="11"/>
  <c r="G10" i="11"/>
  <c r="K10" i="11" s="1"/>
  <c r="H9" i="11"/>
  <c r="I9" i="11" s="1"/>
  <c r="F74" i="11"/>
  <c r="H72" i="11"/>
  <c r="I72" i="11" s="1"/>
  <c r="F66" i="11"/>
  <c r="H64" i="11"/>
  <c r="I64" i="11" s="1"/>
  <c r="F58" i="11"/>
  <c r="H56" i="11"/>
  <c r="I56" i="11" s="1"/>
  <c r="F50" i="11"/>
  <c r="H48" i="11"/>
  <c r="I48" i="11" s="1"/>
  <c r="F42" i="11"/>
  <c r="H40" i="11"/>
  <c r="I40" i="11" s="1"/>
  <c r="F34" i="11"/>
  <c r="G33" i="11"/>
  <c r="K33" i="11" s="1"/>
  <c r="H32" i="11"/>
  <c r="I32" i="11" s="1"/>
  <c r="F26" i="11"/>
  <c r="G25" i="11"/>
  <c r="K25" i="11" s="1"/>
  <c r="H24" i="11"/>
  <c r="I24" i="11" s="1"/>
  <c r="F18" i="11"/>
  <c r="G17" i="11"/>
  <c r="K17" i="11" s="1"/>
  <c r="H16" i="11"/>
  <c r="I16" i="11" s="1"/>
  <c r="F10" i="11"/>
  <c r="G9" i="11"/>
  <c r="K9" i="11" s="1"/>
  <c r="G72" i="11"/>
  <c r="K72" i="11" s="1"/>
  <c r="G64" i="11"/>
  <c r="K64" i="11" s="1"/>
  <c r="G56" i="11"/>
  <c r="K56" i="11" s="1"/>
  <c r="G48" i="11"/>
  <c r="K48" i="11" s="1"/>
  <c r="G40" i="11"/>
  <c r="K40" i="11" s="1"/>
  <c r="G32" i="11"/>
  <c r="K32" i="11" s="1"/>
  <c r="G24" i="11"/>
  <c r="K24" i="11" s="1"/>
  <c r="G16" i="11"/>
  <c r="K16" i="11" s="1"/>
  <c r="F72" i="11"/>
  <c r="F64" i="11"/>
  <c r="F56" i="11"/>
  <c r="F48" i="11"/>
  <c r="F40" i="11"/>
  <c r="F32" i="11"/>
  <c r="F24" i="11"/>
  <c r="F16" i="11"/>
  <c r="J76" i="10"/>
  <c r="L76" i="10"/>
  <c r="J70" i="10"/>
  <c r="L70" i="10"/>
  <c r="J45" i="10"/>
  <c r="L45" i="10"/>
  <c r="J12" i="10"/>
  <c r="L12" i="10"/>
  <c r="J68" i="10"/>
  <c r="L68" i="10"/>
  <c r="J62" i="10"/>
  <c r="L62" i="10"/>
  <c r="J37" i="10"/>
  <c r="L37" i="10"/>
  <c r="L60" i="10"/>
  <c r="J54" i="10"/>
  <c r="L54" i="10"/>
  <c r="J52" i="10"/>
  <c r="L52" i="10"/>
  <c r="J46" i="10"/>
  <c r="L46" i="10"/>
  <c r="J21" i="10"/>
  <c r="L21" i="10"/>
  <c r="J77" i="10"/>
  <c r="L77" i="10"/>
  <c r="J44" i="10"/>
  <c r="L44" i="10"/>
  <c r="L38" i="10"/>
  <c r="J13" i="10"/>
  <c r="J61" i="10"/>
  <c r="L61" i="10"/>
  <c r="J28" i="10"/>
  <c r="L28" i="10"/>
  <c r="J22" i="10"/>
  <c r="L22" i="10"/>
  <c r="J78" i="10"/>
  <c r="L78" i="10"/>
  <c r="J53" i="10"/>
  <c r="L53" i="10"/>
  <c r="J20" i="10"/>
  <c r="L20" i="10"/>
  <c r="J14" i="10"/>
  <c r="L14" i="10"/>
  <c r="F76" i="10"/>
  <c r="H74" i="10"/>
  <c r="I74" i="10" s="1"/>
  <c r="F68" i="10"/>
  <c r="H66" i="10"/>
  <c r="I66" i="10" s="1"/>
  <c r="F60" i="10"/>
  <c r="H58" i="10"/>
  <c r="I58" i="10" s="1"/>
  <c r="F52" i="10"/>
  <c r="H50" i="10"/>
  <c r="I50" i="10" s="1"/>
  <c r="F44" i="10"/>
  <c r="H42" i="10"/>
  <c r="I42" i="10" s="1"/>
  <c r="F36" i="10"/>
  <c r="H34" i="10"/>
  <c r="I34" i="10" s="1"/>
  <c r="F28" i="10"/>
  <c r="H26" i="10"/>
  <c r="I26" i="10" s="1"/>
  <c r="F20" i="10"/>
  <c r="H18" i="10"/>
  <c r="I18" i="10" s="1"/>
  <c r="F12" i="10"/>
  <c r="G11" i="10"/>
  <c r="K11" i="10" s="1"/>
  <c r="H10" i="10"/>
  <c r="I10" i="10" s="1"/>
  <c r="G74" i="10"/>
  <c r="K74" i="10" s="1"/>
  <c r="H73" i="10"/>
  <c r="I73" i="10" s="1"/>
  <c r="G66" i="10"/>
  <c r="K66" i="10" s="1"/>
  <c r="H65" i="10"/>
  <c r="I65" i="10" s="1"/>
  <c r="G58" i="10"/>
  <c r="K58" i="10" s="1"/>
  <c r="H57" i="10"/>
  <c r="I57" i="10" s="1"/>
  <c r="G50" i="10"/>
  <c r="K50" i="10" s="1"/>
  <c r="H49" i="10"/>
  <c r="I49" i="10" s="1"/>
  <c r="G42" i="10"/>
  <c r="K42" i="10" s="1"/>
  <c r="H41" i="10"/>
  <c r="I41" i="10" s="1"/>
  <c r="G34" i="10"/>
  <c r="K34" i="10" s="1"/>
  <c r="H33" i="10"/>
  <c r="I33" i="10" s="1"/>
  <c r="G26" i="10"/>
  <c r="K26" i="10" s="1"/>
  <c r="H25" i="10"/>
  <c r="I25" i="10" s="1"/>
  <c r="G18" i="10"/>
  <c r="K18" i="10" s="1"/>
  <c r="H17" i="10"/>
  <c r="I17" i="10" s="1"/>
  <c r="F11" i="10"/>
  <c r="G10" i="10"/>
  <c r="K10" i="10" s="1"/>
  <c r="H9" i="10"/>
  <c r="I9" i="10" s="1"/>
  <c r="H72" i="10"/>
  <c r="I72" i="10" s="1"/>
  <c r="H64" i="10"/>
  <c r="I64" i="10" s="1"/>
  <c r="H56" i="10"/>
  <c r="I56" i="10" s="1"/>
  <c r="H48" i="10"/>
  <c r="I48" i="10" s="1"/>
  <c r="H40" i="10"/>
  <c r="I40" i="10" s="1"/>
  <c r="H32" i="10"/>
  <c r="I32" i="10" s="1"/>
  <c r="H24" i="10"/>
  <c r="I24" i="10" s="1"/>
  <c r="H16" i="10"/>
  <c r="I16" i="10" s="1"/>
  <c r="F10" i="10"/>
  <c r="G9" i="10"/>
  <c r="K9" i="10" s="1"/>
  <c r="L75" i="10"/>
  <c r="F73" i="10"/>
  <c r="G72" i="10"/>
  <c r="K72" i="10" s="1"/>
  <c r="H71" i="10"/>
  <c r="I71" i="10" s="1"/>
  <c r="L67" i="10"/>
  <c r="F65" i="10"/>
  <c r="G64" i="10"/>
  <c r="K64" i="10" s="1"/>
  <c r="H63" i="10"/>
  <c r="I63" i="10" s="1"/>
  <c r="L59" i="10"/>
  <c r="F57" i="10"/>
  <c r="G56" i="10"/>
  <c r="K56" i="10" s="1"/>
  <c r="H55" i="10"/>
  <c r="I55" i="10" s="1"/>
  <c r="L51" i="10"/>
  <c r="F49" i="10"/>
  <c r="G48" i="10"/>
  <c r="K48" i="10" s="1"/>
  <c r="H47" i="10"/>
  <c r="I47" i="10" s="1"/>
  <c r="L43" i="10"/>
  <c r="F41" i="10"/>
  <c r="G40" i="10"/>
  <c r="K40" i="10" s="1"/>
  <c r="H39" i="10"/>
  <c r="I39" i="10" s="1"/>
  <c r="L35" i="10"/>
  <c r="F33" i="10"/>
  <c r="G32" i="10"/>
  <c r="K32" i="10" s="1"/>
  <c r="H31" i="10"/>
  <c r="I31" i="10" s="1"/>
  <c r="F25" i="10"/>
  <c r="G24" i="10"/>
  <c r="K24" i="10" s="1"/>
  <c r="H23" i="10"/>
  <c r="I23" i="10" s="1"/>
  <c r="L19" i="10"/>
  <c r="F17" i="10"/>
  <c r="G16" i="10"/>
  <c r="K16" i="10" s="1"/>
  <c r="H15" i="10"/>
  <c r="I15" i="10" s="1"/>
  <c r="L11" i="10"/>
  <c r="F9" i="10"/>
  <c r="F72" i="10"/>
  <c r="G71" i="10"/>
  <c r="K71" i="10" s="1"/>
  <c r="F64" i="10"/>
  <c r="G63" i="10"/>
  <c r="K63" i="10" s="1"/>
  <c r="F56" i="10"/>
  <c r="G55" i="10"/>
  <c r="K55" i="10" s="1"/>
  <c r="F48" i="10"/>
  <c r="G47" i="10"/>
  <c r="K47" i="10" s="1"/>
  <c r="F40" i="10"/>
  <c r="G39" i="10"/>
  <c r="K39" i="10" s="1"/>
  <c r="F32" i="10"/>
  <c r="G31" i="10"/>
  <c r="K31" i="10" s="1"/>
  <c r="F24" i="10"/>
  <c r="G23" i="10"/>
  <c r="K23" i="10" s="1"/>
  <c r="F16" i="10"/>
  <c r="G15" i="10"/>
  <c r="K15" i="10" s="1"/>
  <c r="L78" i="5"/>
  <c r="J75" i="5"/>
  <c r="L75" i="5"/>
  <c r="J53" i="5"/>
  <c r="L53" i="5"/>
  <c r="J61" i="5"/>
  <c r="L61" i="5"/>
  <c r="J70" i="5"/>
  <c r="L70" i="5"/>
  <c r="J67" i="5"/>
  <c r="L67" i="5"/>
  <c r="J45" i="5"/>
  <c r="L45" i="5"/>
  <c r="J29" i="5"/>
  <c r="L29" i="5"/>
  <c r="J19" i="5"/>
  <c r="L19" i="5"/>
  <c r="J62" i="5"/>
  <c r="L62" i="5"/>
  <c r="J27" i="5"/>
  <c r="L27" i="5"/>
  <c r="J22" i="5"/>
  <c r="L22" i="5"/>
  <c r="J21" i="5"/>
  <c r="L21" i="5"/>
  <c r="J54" i="5"/>
  <c r="L54" i="5"/>
  <c r="J51" i="5"/>
  <c r="L51" i="5"/>
  <c r="L13" i="5"/>
  <c r="L11" i="5"/>
  <c r="J46" i="5"/>
  <c r="L46" i="5"/>
  <c r="J43" i="5"/>
  <c r="L43" i="5"/>
  <c r="J35" i="5"/>
  <c r="L35" i="5"/>
  <c r="J30" i="5"/>
  <c r="L30" i="5"/>
  <c r="J77" i="5"/>
  <c r="L77" i="5"/>
  <c r="L69" i="5"/>
  <c r="J14" i="5"/>
  <c r="L14" i="5"/>
  <c r="E71" i="5"/>
  <c r="E63" i="5"/>
  <c r="E55" i="5"/>
  <c r="E47" i="5"/>
  <c r="E39" i="5"/>
  <c r="E31" i="5"/>
  <c r="E23" i="5"/>
  <c r="E15" i="5"/>
  <c r="H74" i="5"/>
  <c r="I74" i="5" s="1"/>
  <c r="G73" i="7" s="1"/>
  <c r="H66" i="5"/>
  <c r="I66" i="5" s="1"/>
  <c r="G65" i="7" s="1"/>
  <c r="H58" i="5"/>
  <c r="I58" i="5" s="1"/>
  <c r="G57" i="7" s="1"/>
  <c r="H50" i="5"/>
  <c r="I50" i="5" s="1"/>
  <c r="G49" i="7" s="1"/>
  <c r="H42" i="5"/>
  <c r="I42" i="5" s="1"/>
  <c r="G41" i="7" s="1"/>
  <c r="G35" i="5"/>
  <c r="K35" i="5" s="1"/>
  <c r="H34" i="5"/>
  <c r="I34" i="5" s="1"/>
  <c r="G33" i="7" s="1"/>
  <c r="G27" i="5"/>
  <c r="K27" i="5" s="1"/>
  <c r="H26" i="5"/>
  <c r="I26" i="5" s="1"/>
  <c r="G25" i="7" s="1"/>
  <c r="F20" i="5"/>
  <c r="G19" i="5"/>
  <c r="K19" i="5" s="1"/>
  <c r="H18" i="5"/>
  <c r="I18" i="5" s="1"/>
  <c r="G17" i="7" s="1"/>
  <c r="F12" i="5"/>
  <c r="G11" i="5"/>
  <c r="K11" i="5" s="1"/>
  <c r="H10" i="5"/>
  <c r="I10" i="5" s="1"/>
  <c r="G9" i="7" s="1"/>
  <c r="G74" i="5"/>
  <c r="K74" i="5" s="1"/>
  <c r="H73" i="5"/>
  <c r="I73" i="5" s="1"/>
  <c r="G72" i="7" s="1"/>
  <c r="G66" i="5"/>
  <c r="K66" i="5" s="1"/>
  <c r="H65" i="5"/>
  <c r="I65" i="5" s="1"/>
  <c r="G64" i="7" s="1"/>
  <c r="G58" i="5"/>
  <c r="K58" i="5" s="1"/>
  <c r="H57" i="5"/>
  <c r="I57" i="5" s="1"/>
  <c r="G56" i="7" s="1"/>
  <c r="G50" i="5"/>
  <c r="K50" i="5" s="1"/>
  <c r="H49" i="5"/>
  <c r="I49" i="5" s="1"/>
  <c r="G48" i="7" s="1"/>
  <c r="G42" i="5"/>
  <c r="K42" i="5" s="1"/>
  <c r="H41" i="5"/>
  <c r="I41" i="5" s="1"/>
  <c r="G40" i="7" s="1"/>
  <c r="G34" i="5"/>
  <c r="K34" i="5" s="1"/>
  <c r="H33" i="5"/>
  <c r="I33" i="5" s="1"/>
  <c r="G32" i="7" s="1"/>
  <c r="G26" i="5"/>
  <c r="K26" i="5" s="1"/>
  <c r="H25" i="5"/>
  <c r="I25" i="5" s="1"/>
  <c r="G24" i="7" s="1"/>
  <c r="F19" i="5"/>
  <c r="G18" i="5"/>
  <c r="K18" i="5" s="1"/>
  <c r="H17" i="5"/>
  <c r="I17" i="5" s="1"/>
  <c r="G16" i="7" s="1"/>
  <c r="F11" i="5"/>
  <c r="G10" i="5"/>
  <c r="K10" i="5" s="1"/>
  <c r="H9" i="5"/>
  <c r="I9" i="5" s="1"/>
  <c r="G8" i="7" s="1"/>
  <c r="L76" i="5"/>
  <c r="F74" i="5"/>
  <c r="G73" i="5"/>
  <c r="K73" i="5" s="1"/>
  <c r="H72" i="5"/>
  <c r="I72" i="5" s="1"/>
  <c r="G71" i="7" s="1"/>
  <c r="F66" i="5"/>
  <c r="G65" i="5"/>
  <c r="K65" i="5" s="1"/>
  <c r="H64" i="5"/>
  <c r="I64" i="5" s="1"/>
  <c r="G63" i="7" s="1"/>
  <c r="F58" i="5"/>
  <c r="G57" i="5"/>
  <c r="K57" i="5" s="1"/>
  <c r="H56" i="5"/>
  <c r="I56" i="5" s="1"/>
  <c r="G55" i="7" s="1"/>
  <c r="F50" i="5"/>
  <c r="G49" i="5"/>
  <c r="K49" i="5" s="1"/>
  <c r="H48" i="5"/>
  <c r="I48" i="5" s="1"/>
  <c r="G47" i="7" s="1"/>
  <c r="L44" i="5"/>
  <c r="F42" i="5"/>
  <c r="G41" i="5"/>
  <c r="K41" i="5" s="1"/>
  <c r="H40" i="5"/>
  <c r="I40" i="5" s="1"/>
  <c r="G39" i="7" s="1"/>
  <c r="L36" i="5"/>
  <c r="F34" i="5"/>
  <c r="G33" i="5"/>
  <c r="K33" i="5" s="1"/>
  <c r="H32" i="5"/>
  <c r="I32" i="5" s="1"/>
  <c r="G31" i="7" s="1"/>
  <c r="F26" i="5"/>
  <c r="G25" i="5"/>
  <c r="K25" i="5" s="1"/>
  <c r="H24" i="5"/>
  <c r="I24" i="5" s="1"/>
  <c r="G23" i="7" s="1"/>
  <c r="L20" i="5"/>
  <c r="F18" i="5"/>
  <c r="G17" i="5"/>
  <c r="K17" i="5" s="1"/>
  <c r="H16" i="5"/>
  <c r="I16" i="5" s="1"/>
  <c r="G15" i="7" s="1"/>
  <c r="L12" i="5"/>
  <c r="F10" i="5"/>
  <c r="G9" i="5"/>
  <c r="K9" i="5" s="1"/>
  <c r="F73" i="5"/>
  <c r="G72" i="5"/>
  <c r="K72" i="5" s="1"/>
  <c r="H71" i="5"/>
  <c r="I71" i="5" s="1"/>
  <c r="G70" i="7" s="1"/>
  <c r="F65" i="5"/>
  <c r="G64" i="5"/>
  <c r="K64" i="5" s="1"/>
  <c r="H63" i="5"/>
  <c r="I63" i="5" s="1"/>
  <c r="G62" i="7" s="1"/>
  <c r="F57" i="5"/>
  <c r="G56" i="5"/>
  <c r="K56" i="5" s="1"/>
  <c r="H55" i="5"/>
  <c r="I55" i="5" s="1"/>
  <c r="G54" i="7" s="1"/>
  <c r="F49" i="5"/>
  <c r="G48" i="5"/>
  <c r="K48" i="5" s="1"/>
  <c r="H47" i="5"/>
  <c r="I47" i="5" s="1"/>
  <c r="G46" i="7" s="1"/>
  <c r="F41" i="5"/>
  <c r="G40" i="5"/>
  <c r="K40" i="5" s="1"/>
  <c r="H39" i="5"/>
  <c r="I39" i="5" s="1"/>
  <c r="G38" i="7" s="1"/>
  <c r="F33" i="5"/>
  <c r="G32" i="5"/>
  <c r="K32" i="5" s="1"/>
  <c r="H31" i="5"/>
  <c r="I31" i="5" s="1"/>
  <c r="G30" i="7" s="1"/>
  <c r="F25" i="5"/>
  <c r="G24" i="5"/>
  <c r="K24" i="5" s="1"/>
  <c r="H23" i="5"/>
  <c r="I23" i="5" s="1"/>
  <c r="G22" i="7" s="1"/>
  <c r="F17" i="5"/>
  <c r="G16" i="5"/>
  <c r="K16" i="5" s="1"/>
  <c r="H15" i="5"/>
  <c r="I15" i="5" s="1"/>
  <c r="G14" i="7" s="1"/>
  <c r="F9" i="5"/>
  <c r="G71" i="5"/>
  <c r="K71" i="5" s="1"/>
  <c r="G63" i="5"/>
  <c r="K63" i="5" s="1"/>
  <c r="G55" i="5"/>
  <c r="K55" i="5" s="1"/>
  <c r="G47" i="5"/>
  <c r="K47" i="5" s="1"/>
  <c r="G39" i="5"/>
  <c r="K39" i="5" s="1"/>
  <c r="G31" i="5"/>
  <c r="K31" i="5" s="1"/>
  <c r="G23" i="5"/>
  <c r="K23" i="5" s="1"/>
  <c r="G15" i="5"/>
  <c r="K15" i="5" s="1"/>
  <c r="J62" i="4"/>
  <c r="L62" i="4"/>
  <c r="J27" i="4"/>
  <c r="L27" i="4"/>
  <c r="J16" i="4"/>
  <c r="L16" i="4"/>
  <c r="J72" i="4"/>
  <c r="L72" i="4"/>
  <c r="J19" i="4"/>
  <c r="J75" i="4"/>
  <c r="L75" i="4"/>
  <c r="J64" i="4"/>
  <c r="L64" i="4"/>
  <c r="J46" i="4"/>
  <c r="L46" i="4"/>
  <c r="J11" i="4"/>
  <c r="L11" i="4"/>
  <c r="J67" i="4"/>
  <c r="L67" i="4"/>
  <c r="J56" i="4"/>
  <c r="L56" i="4"/>
  <c r="J59" i="4"/>
  <c r="L59" i="4"/>
  <c r="J30" i="4"/>
  <c r="L30" i="4"/>
  <c r="J51" i="4"/>
  <c r="L51" i="4"/>
  <c r="J40" i="4"/>
  <c r="L40" i="4"/>
  <c r="J22" i="4"/>
  <c r="L22" i="4"/>
  <c r="J78" i="4"/>
  <c r="L78" i="4"/>
  <c r="J43" i="4"/>
  <c r="L43" i="4"/>
  <c r="J32" i="4"/>
  <c r="L32" i="4"/>
  <c r="J14" i="4"/>
  <c r="L14" i="4"/>
  <c r="J70" i="4"/>
  <c r="L70" i="4"/>
  <c r="J35" i="4"/>
  <c r="L35" i="4"/>
  <c r="J24" i="4"/>
  <c r="L24" i="4"/>
  <c r="H76" i="4"/>
  <c r="I76" i="4" s="1"/>
  <c r="G75" i="6" s="1"/>
  <c r="E71" i="4"/>
  <c r="H68" i="4"/>
  <c r="I68" i="4" s="1"/>
  <c r="G67" i="6" s="1"/>
  <c r="E63" i="4"/>
  <c r="H60" i="4"/>
  <c r="I60" i="4" s="1"/>
  <c r="G59" i="6" s="1"/>
  <c r="E55" i="4"/>
  <c r="H52" i="4"/>
  <c r="I52" i="4" s="1"/>
  <c r="G51" i="6" s="1"/>
  <c r="E47" i="4"/>
  <c r="H44" i="4"/>
  <c r="I44" i="4" s="1"/>
  <c r="G43" i="6" s="1"/>
  <c r="E39" i="4"/>
  <c r="H36" i="4"/>
  <c r="I36" i="4" s="1"/>
  <c r="G35" i="6" s="1"/>
  <c r="E31" i="4"/>
  <c r="H28" i="4"/>
  <c r="I28" i="4" s="1"/>
  <c r="G27" i="6" s="1"/>
  <c r="E23" i="4"/>
  <c r="H20" i="4"/>
  <c r="I20" i="4" s="1"/>
  <c r="G19" i="6" s="1"/>
  <c r="E15" i="4"/>
  <c r="H12" i="4"/>
  <c r="I12" i="4" s="1"/>
  <c r="G11" i="6" s="1"/>
  <c r="G75" i="4"/>
  <c r="K75" i="4" s="1"/>
  <c r="H74" i="4"/>
  <c r="I74" i="4" s="1"/>
  <c r="G73" i="6" s="1"/>
  <c r="G67" i="4"/>
  <c r="K67" i="4" s="1"/>
  <c r="H66" i="4"/>
  <c r="I66" i="4" s="1"/>
  <c r="G65" i="6" s="1"/>
  <c r="G59" i="4"/>
  <c r="K59" i="4" s="1"/>
  <c r="H58" i="4"/>
  <c r="I58" i="4" s="1"/>
  <c r="G57" i="6" s="1"/>
  <c r="G51" i="4"/>
  <c r="K51" i="4" s="1"/>
  <c r="H50" i="4"/>
  <c r="I50" i="4" s="1"/>
  <c r="G49" i="6" s="1"/>
  <c r="G43" i="4"/>
  <c r="K43" i="4" s="1"/>
  <c r="H42" i="4"/>
  <c r="I42" i="4" s="1"/>
  <c r="G41" i="6" s="1"/>
  <c r="G35" i="4"/>
  <c r="K35" i="4" s="1"/>
  <c r="H34" i="4"/>
  <c r="I34" i="4" s="1"/>
  <c r="G33" i="6" s="1"/>
  <c r="G27" i="4"/>
  <c r="K27" i="4" s="1"/>
  <c r="H26" i="4"/>
  <c r="I26" i="4" s="1"/>
  <c r="G25" i="6" s="1"/>
  <c r="G19" i="4"/>
  <c r="K19" i="4" s="1"/>
  <c r="H18" i="4"/>
  <c r="I18" i="4" s="1"/>
  <c r="G17" i="6" s="1"/>
  <c r="G11" i="4"/>
  <c r="K11" i="4" s="1"/>
  <c r="H10" i="4"/>
  <c r="I10" i="4" s="1"/>
  <c r="G9" i="6" s="1"/>
  <c r="L77" i="4"/>
  <c r="F75" i="4"/>
  <c r="G74" i="4"/>
  <c r="K74" i="4" s="1"/>
  <c r="H73" i="4"/>
  <c r="I73" i="4" s="1"/>
  <c r="G72" i="6" s="1"/>
  <c r="L69" i="4"/>
  <c r="F67" i="4"/>
  <c r="G66" i="4"/>
  <c r="K66" i="4" s="1"/>
  <c r="H65" i="4"/>
  <c r="I65" i="4" s="1"/>
  <c r="G64" i="6" s="1"/>
  <c r="L61" i="4"/>
  <c r="F59" i="4"/>
  <c r="G58" i="4"/>
  <c r="K58" i="4" s="1"/>
  <c r="H57" i="4"/>
  <c r="I57" i="4" s="1"/>
  <c r="G56" i="6" s="1"/>
  <c r="L53" i="4"/>
  <c r="F51" i="4"/>
  <c r="G50" i="4"/>
  <c r="K50" i="4" s="1"/>
  <c r="H49" i="4"/>
  <c r="I49" i="4" s="1"/>
  <c r="G48" i="6" s="1"/>
  <c r="L45" i="4"/>
  <c r="F43" i="4"/>
  <c r="G42" i="4"/>
  <c r="K42" i="4" s="1"/>
  <c r="H41" i="4"/>
  <c r="I41" i="4" s="1"/>
  <c r="G40" i="6" s="1"/>
  <c r="L37" i="4"/>
  <c r="F35" i="4"/>
  <c r="G34" i="4"/>
  <c r="K34" i="4" s="1"/>
  <c r="H33" i="4"/>
  <c r="I33" i="4" s="1"/>
  <c r="G32" i="6" s="1"/>
  <c r="L29" i="4"/>
  <c r="F27" i="4"/>
  <c r="G26" i="4"/>
  <c r="K26" i="4" s="1"/>
  <c r="H25" i="4"/>
  <c r="I25" i="4" s="1"/>
  <c r="G24" i="6" s="1"/>
  <c r="L21" i="4"/>
  <c r="F19" i="4"/>
  <c r="G18" i="4"/>
  <c r="K18" i="4" s="1"/>
  <c r="H17" i="4"/>
  <c r="I17" i="4" s="1"/>
  <c r="G16" i="6" s="1"/>
  <c r="L13" i="4"/>
  <c r="F11" i="4"/>
  <c r="G10" i="4"/>
  <c r="K10" i="4" s="1"/>
  <c r="H9" i="4"/>
  <c r="I9" i="4" s="1"/>
  <c r="G8" i="6" s="1"/>
  <c r="F74" i="4"/>
  <c r="F66" i="4"/>
  <c r="F58" i="4"/>
  <c r="F50" i="4"/>
  <c r="F42" i="4"/>
  <c r="F34" i="4"/>
  <c r="F26" i="4"/>
  <c r="F18" i="4"/>
  <c r="F10" i="4"/>
  <c r="H71" i="4"/>
  <c r="I71" i="4" s="1"/>
  <c r="G70" i="6" s="1"/>
  <c r="H63" i="4"/>
  <c r="I63" i="4" s="1"/>
  <c r="G62" i="6" s="1"/>
  <c r="H55" i="4"/>
  <c r="I55" i="4" s="1"/>
  <c r="G54" i="6" s="1"/>
  <c r="H47" i="4"/>
  <c r="I47" i="4" s="1"/>
  <c r="G46" i="6" s="1"/>
  <c r="H39" i="4"/>
  <c r="I39" i="4" s="1"/>
  <c r="G38" i="6" s="1"/>
  <c r="H31" i="4"/>
  <c r="I31" i="4" s="1"/>
  <c r="G30" i="6" s="1"/>
  <c r="H23" i="4"/>
  <c r="I23" i="4" s="1"/>
  <c r="G22" i="6" s="1"/>
  <c r="H15" i="4"/>
  <c r="I15" i="4" s="1"/>
  <c r="G14" i="6" s="1"/>
  <c r="G71" i="4"/>
  <c r="K71" i="4" s="1"/>
  <c r="G63" i="4"/>
  <c r="K63" i="4" s="1"/>
  <c r="G55" i="4"/>
  <c r="K55" i="4" s="1"/>
  <c r="G47" i="4"/>
  <c r="K47" i="4" s="1"/>
  <c r="G39" i="4"/>
  <c r="K39" i="4" s="1"/>
  <c r="G31" i="4"/>
  <c r="K31" i="4" s="1"/>
  <c r="G23" i="4"/>
  <c r="K23" i="4" s="1"/>
  <c r="G15" i="4"/>
  <c r="K15" i="4" s="1"/>
  <c r="H78" i="3"/>
  <c r="I78" i="3" s="1"/>
  <c r="E77" i="7" s="1"/>
  <c r="E73" i="7"/>
  <c r="H70" i="3"/>
  <c r="I70" i="3" s="1"/>
  <c r="E69" i="7" s="1"/>
  <c r="I69" i="7" s="1"/>
  <c r="H66" i="3"/>
  <c r="I66" i="3" s="1"/>
  <c r="E65" i="7" s="1"/>
  <c r="H62" i="3"/>
  <c r="I62" i="3" s="1"/>
  <c r="E61" i="7" s="1"/>
  <c r="H58" i="3"/>
  <c r="I58" i="3" s="1"/>
  <c r="E57" i="7" s="1"/>
  <c r="H54" i="3"/>
  <c r="I54" i="3" s="1"/>
  <c r="E53" i="7" s="1"/>
  <c r="H50" i="3"/>
  <c r="I50" i="3" s="1"/>
  <c r="E49" i="7" s="1"/>
  <c r="H46" i="3"/>
  <c r="I46" i="3" s="1"/>
  <c r="E45" i="7" s="1"/>
  <c r="H42" i="3"/>
  <c r="I42" i="3" s="1"/>
  <c r="E41" i="7" s="1"/>
  <c r="H38" i="3"/>
  <c r="I38" i="3" s="1"/>
  <c r="E37" i="7" s="1"/>
  <c r="H34" i="3"/>
  <c r="I34" i="3" s="1"/>
  <c r="E33" i="7" s="1"/>
  <c r="H30" i="3"/>
  <c r="I30" i="3" s="1"/>
  <c r="E29" i="7" s="1"/>
  <c r="H26" i="3"/>
  <c r="I26" i="3" s="1"/>
  <c r="E25" i="7" s="1"/>
  <c r="H22" i="3"/>
  <c r="I22" i="3" s="1"/>
  <c r="E21" i="7" s="1"/>
  <c r="I21" i="7" s="1"/>
  <c r="H18" i="3"/>
  <c r="I18" i="3" s="1"/>
  <c r="E17" i="7" s="1"/>
  <c r="H14" i="3"/>
  <c r="I14" i="3" s="1"/>
  <c r="E13" i="7" s="1"/>
  <c r="G78" i="3"/>
  <c r="K78" i="3" s="1"/>
  <c r="G70" i="3"/>
  <c r="K70" i="3" s="1"/>
  <c r="G66" i="3"/>
  <c r="K66" i="3" s="1"/>
  <c r="G62" i="3"/>
  <c r="K62" i="3" s="1"/>
  <c r="G58" i="3"/>
  <c r="K58" i="3" s="1"/>
  <c r="G54" i="3"/>
  <c r="K54" i="3" s="1"/>
  <c r="G50" i="3"/>
  <c r="K50" i="3" s="1"/>
  <c r="G46" i="3"/>
  <c r="K46" i="3" s="1"/>
  <c r="G42" i="3"/>
  <c r="K42" i="3" s="1"/>
  <c r="G38" i="3"/>
  <c r="K38" i="3" s="1"/>
  <c r="G34" i="3"/>
  <c r="K34" i="3" s="1"/>
  <c r="G30" i="3"/>
  <c r="K30" i="3" s="1"/>
  <c r="G26" i="3"/>
  <c r="K26" i="3" s="1"/>
  <c r="G22" i="3"/>
  <c r="K22" i="3" s="1"/>
  <c r="G18" i="3"/>
  <c r="K18" i="3" s="1"/>
  <c r="G14" i="3"/>
  <c r="K14" i="3" s="1"/>
  <c r="L59" i="9" l="1"/>
  <c r="L68" i="9"/>
  <c r="L70" i="9"/>
  <c r="L49" i="9"/>
  <c r="J49" i="9"/>
  <c r="L19" i="9"/>
  <c r="L39" i="8"/>
  <c r="L53" i="15"/>
  <c r="L43" i="15"/>
  <c r="L40" i="15"/>
  <c r="J19" i="15"/>
  <c r="J69" i="14"/>
  <c r="J48" i="14"/>
  <c r="L59" i="13"/>
  <c r="L38" i="13"/>
  <c r="L19" i="13"/>
  <c r="L78" i="12"/>
  <c r="L54" i="12"/>
  <c r="L53" i="12"/>
  <c r="J49" i="11"/>
  <c r="L69" i="10"/>
  <c r="J69" i="5"/>
  <c r="J45" i="4"/>
  <c r="G44" i="6"/>
  <c r="J37" i="4"/>
  <c r="G36" i="6"/>
  <c r="L38" i="4"/>
  <c r="J38" i="4"/>
  <c r="J77" i="4"/>
  <c r="G76" i="6"/>
  <c r="J21" i="4"/>
  <c r="G20" i="6"/>
  <c r="J13" i="4"/>
  <c r="G12" i="6"/>
  <c r="I8" i="7"/>
  <c r="J8" i="7" s="1"/>
  <c r="I45" i="7"/>
  <c r="I64" i="7"/>
  <c r="I57" i="7"/>
  <c r="J57" i="7" s="1"/>
  <c r="I11" i="7"/>
  <c r="J11" i="7" s="1"/>
  <c r="I76" i="7"/>
  <c r="I74" i="7"/>
  <c r="K74" i="7" s="1"/>
  <c r="I46" i="7"/>
  <c r="I30" i="7"/>
  <c r="K30" i="7" s="1"/>
  <c r="I24" i="7"/>
  <c r="J24" i="7" s="1"/>
  <c r="I41" i="7"/>
  <c r="J41" i="7" s="1"/>
  <c r="I49" i="7"/>
  <c r="K49" i="7" s="1"/>
  <c r="I9" i="7"/>
  <c r="J9" i="7" s="1"/>
  <c r="I29" i="7"/>
  <c r="K29" i="7" s="1"/>
  <c r="I10" i="7"/>
  <c r="J10" i="7" s="1"/>
  <c r="I44" i="7"/>
  <c r="J44" i="7" s="1"/>
  <c r="I20" i="7"/>
  <c r="I22" i="7"/>
  <c r="K22" i="7" s="1"/>
  <c r="J17" i="3"/>
  <c r="E16" i="7"/>
  <c r="I16" i="7" s="1"/>
  <c r="J16" i="7" s="1"/>
  <c r="I36" i="7"/>
  <c r="K36" i="7" s="1"/>
  <c r="J21" i="7"/>
  <c r="I70" i="7"/>
  <c r="J70" i="7" s="1"/>
  <c r="I61" i="7"/>
  <c r="J61" i="7" s="1"/>
  <c r="J78" i="7"/>
  <c r="K78" i="7"/>
  <c r="I14" i="7"/>
  <c r="J14" i="7" s="1"/>
  <c r="I17" i="7"/>
  <c r="K17" i="7" s="1"/>
  <c r="I60" i="7"/>
  <c r="J60" i="7" s="1"/>
  <c r="I50" i="7"/>
  <c r="I34" i="7"/>
  <c r="J34" i="7" s="1"/>
  <c r="I40" i="7"/>
  <c r="J40" i="7" s="1"/>
  <c r="I52" i="7"/>
  <c r="K52" i="7" s="1"/>
  <c r="K20" i="7"/>
  <c r="I42" i="7"/>
  <c r="J42" i="7" s="1"/>
  <c r="J66" i="7"/>
  <c r="K21" i="7"/>
  <c r="I26" i="7"/>
  <c r="J26" i="7" s="1"/>
  <c r="E23" i="6"/>
  <c r="L32" i="15"/>
  <c r="L51" i="15"/>
  <c r="L27" i="15"/>
  <c r="J32" i="2"/>
  <c r="I41" i="6"/>
  <c r="K41" i="6" s="1"/>
  <c r="L26" i="2"/>
  <c r="J26" i="2"/>
  <c r="E78" i="6"/>
  <c r="I78" i="6" s="1"/>
  <c r="J72" i="2"/>
  <c r="I40" i="6"/>
  <c r="K40" i="6" s="1"/>
  <c r="L59" i="15"/>
  <c r="L29" i="15"/>
  <c r="L48" i="8"/>
  <c r="L72" i="8"/>
  <c r="L56" i="8"/>
  <c r="J41" i="8"/>
  <c r="L38" i="8"/>
  <c r="J70" i="8"/>
  <c r="L17" i="8"/>
  <c r="L30" i="8"/>
  <c r="L73" i="8"/>
  <c r="L78" i="8"/>
  <c r="L40" i="8"/>
  <c r="J63" i="8"/>
  <c r="J49" i="8"/>
  <c r="L14" i="8"/>
  <c r="L24" i="8"/>
  <c r="L71" i="8"/>
  <c r="J71" i="8"/>
  <c r="L22" i="8"/>
  <c r="L31" i="8"/>
  <c r="J31" i="8"/>
  <c r="L54" i="8"/>
  <c r="J54" i="8"/>
  <c r="L79" i="9"/>
  <c r="J79" i="9"/>
  <c r="L79" i="14"/>
  <c r="J79" i="14"/>
  <c r="L79" i="13"/>
  <c r="J79" i="13"/>
  <c r="L79" i="12"/>
  <c r="J79" i="12"/>
  <c r="L79" i="11"/>
  <c r="J79" i="11"/>
  <c r="L79" i="10"/>
  <c r="J79" i="10"/>
  <c r="L79" i="4"/>
  <c r="J79" i="4"/>
  <c r="I73" i="7"/>
  <c r="J73" i="7" s="1"/>
  <c r="I73" i="6"/>
  <c r="K73" i="6" s="1"/>
  <c r="J69" i="4"/>
  <c r="G68" i="6"/>
  <c r="I68" i="7"/>
  <c r="K68" i="7" s="1"/>
  <c r="L61" i="14"/>
  <c r="J61" i="14"/>
  <c r="J61" i="4"/>
  <c r="G60" i="6"/>
  <c r="L30" i="10"/>
  <c r="L36" i="10"/>
  <c r="L27" i="10"/>
  <c r="I43" i="7"/>
  <c r="J43" i="7" s="1"/>
  <c r="I38" i="7"/>
  <c r="J38" i="7" s="1"/>
  <c r="I33" i="7"/>
  <c r="K33" i="7" s="1"/>
  <c r="I33" i="6"/>
  <c r="K33" i="6" s="1"/>
  <c r="L29" i="14"/>
  <c r="J29" i="14"/>
  <c r="L29" i="10"/>
  <c r="I28" i="7"/>
  <c r="J28" i="7" s="1"/>
  <c r="J29" i="4"/>
  <c r="G28" i="6"/>
  <c r="J24" i="2"/>
  <c r="I18" i="7"/>
  <c r="J18" i="7" s="1"/>
  <c r="L19" i="4"/>
  <c r="L69" i="9"/>
  <c r="L45" i="9"/>
  <c r="J33" i="8"/>
  <c r="L23" i="8"/>
  <c r="J23" i="8"/>
  <c r="L16" i="9"/>
  <c r="J16" i="9"/>
  <c r="L9" i="9"/>
  <c r="J9" i="9"/>
  <c r="L73" i="9"/>
  <c r="J73" i="9"/>
  <c r="L74" i="9"/>
  <c r="J74" i="9"/>
  <c r="L40" i="9"/>
  <c r="J40" i="9"/>
  <c r="L33" i="9"/>
  <c r="J33" i="9"/>
  <c r="L26" i="9"/>
  <c r="J26" i="9"/>
  <c r="L50" i="9"/>
  <c r="J50" i="9"/>
  <c r="L23" i="9"/>
  <c r="J23" i="9"/>
  <c r="L39" i="9"/>
  <c r="J39" i="9"/>
  <c r="J55" i="9"/>
  <c r="L55" i="9"/>
  <c r="L71" i="9"/>
  <c r="J71" i="9"/>
  <c r="J64" i="9"/>
  <c r="L64" i="9"/>
  <c r="L57" i="9"/>
  <c r="J57" i="9"/>
  <c r="L24" i="9"/>
  <c r="J24" i="9"/>
  <c r="L17" i="9"/>
  <c r="J17" i="9"/>
  <c r="L10" i="9"/>
  <c r="J10" i="9"/>
  <c r="L48" i="9"/>
  <c r="J48" i="9"/>
  <c r="L41" i="9"/>
  <c r="J41" i="9"/>
  <c r="L34" i="9"/>
  <c r="J34" i="9"/>
  <c r="L58" i="9"/>
  <c r="J58" i="9"/>
  <c r="L72" i="9"/>
  <c r="J72" i="9"/>
  <c r="L65" i="9"/>
  <c r="J65" i="9"/>
  <c r="J15" i="9"/>
  <c r="L15" i="9"/>
  <c r="J31" i="9"/>
  <c r="L31" i="9"/>
  <c r="L47" i="9"/>
  <c r="J47" i="9"/>
  <c r="L63" i="9"/>
  <c r="J63" i="9"/>
  <c r="L32" i="9"/>
  <c r="J32" i="9"/>
  <c r="L25" i="9"/>
  <c r="J25" i="9"/>
  <c r="J18" i="9"/>
  <c r="L18" i="9"/>
  <c r="L42" i="9"/>
  <c r="J42" i="9"/>
  <c r="L66" i="9"/>
  <c r="J66" i="9"/>
  <c r="L56" i="9"/>
  <c r="J56" i="9"/>
  <c r="J19" i="8"/>
  <c r="L19" i="8"/>
  <c r="J12" i="8"/>
  <c r="L12" i="8"/>
  <c r="J76" i="8"/>
  <c r="L76" i="8"/>
  <c r="L34" i="8"/>
  <c r="J34" i="8"/>
  <c r="L66" i="8"/>
  <c r="J66" i="8"/>
  <c r="J43" i="8"/>
  <c r="L43" i="8"/>
  <c r="J36" i="8"/>
  <c r="L36" i="8"/>
  <c r="J67" i="8"/>
  <c r="L67" i="8"/>
  <c r="J60" i="8"/>
  <c r="L60" i="8"/>
  <c r="L9" i="8"/>
  <c r="J9" i="8"/>
  <c r="L42" i="8"/>
  <c r="J42" i="8"/>
  <c r="L74" i="8"/>
  <c r="J74" i="8"/>
  <c r="J27" i="8"/>
  <c r="L27" i="8"/>
  <c r="J20" i="8"/>
  <c r="L20" i="8"/>
  <c r="J51" i="8"/>
  <c r="L51" i="8"/>
  <c r="J44" i="8"/>
  <c r="L44" i="8"/>
  <c r="L18" i="8"/>
  <c r="J18" i="8"/>
  <c r="L50" i="8"/>
  <c r="J50" i="8"/>
  <c r="J11" i="8"/>
  <c r="L11" i="8"/>
  <c r="J75" i="8"/>
  <c r="L75" i="8"/>
  <c r="J68" i="8"/>
  <c r="L68" i="8"/>
  <c r="J35" i="8"/>
  <c r="L35" i="8"/>
  <c r="J28" i="8"/>
  <c r="L28" i="8"/>
  <c r="L26" i="8"/>
  <c r="J26" i="8"/>
  <c r="L58" i="8"/>
  <c r="J58" i="8"/>
  <c r="J59" i="8"/>
  <c r="L59" i="8"/>
  <c r="J52" i="8"/>
  <c r="L52" i="8"/>
  <c r="L78" i="15"/>
  <c r="L78" i="14"/>
  <c r="J78" i="5"/>
  <c r="I77" i="7"/>
  <c r="J77" i="7" s="1"/>
  <c r="I72" i="7"/>
  <c r="J72" i="7" s="1"/>
  <c r="J50" i="7"/>
  <c r="K50" i="7"/>
  <c r="J11" i="5"/>
  <c r="I51" i="7"/>
  <c r="J51" i="7" s="1"/>
  <c r="I32" i="7"/>
  <c r="J32" i="7" s="1"/>
  <c r="I65" i="7"/>
  <c r="J65" i="7" s="1"/>
  <c r="I13" i="7"/>
  <c r="K13" i="7" s="1"/>
  <c r="L52" i="5"/>
  <c r="I12" i="7"/>
  <c r="K12" i="7" s="1"/>
  <c r="K69" i="7"/>
  <c r="K76" i="7"/>
  <c r="I56" i="7"/>
  <c r="K56" i="7" s="1"/>
  <c r="K45" i="7"/>
  <c r="J76" i="5"/>
  <c r="G75" i="7"/>
  <c r="I75" i="7" s="1"/>
  <c r="K8" i="7"/>
  <c r="I48" i="7"/>
  <c r="K48" i="7" s="1"/>
  <c r="K61" i="7"/>
  <c r="I15" i="7"/>
  <c r="J15" i="7" s="1"/>
  <c r="L37" i="5"/>
  <c r="K66" i="7"/>
  <c r="G51" i="7"/>
  <c r="I25" i="7"/>
  <c r="J25" i="7" s="1"/>
  <c r="I53" i="7"/>
  <c r="J53" i="7" s="1"/>
  <c r="J37" i="5"/>
  <c r="I39" i="7"/>
  <c r="J39" i="7" s="1"/>
  <c r="I71" i="7"/>
  <c r="J71" i="7" s="1"/>
  <c r="K44" i="7"/>
  <c r="J30" i="7"/>
  <c r="K25" i="7"/>
  <c r="J64" i="7"/>
  <c r="K64" i="7"/>
  <c r="J22" i="7"/>
  <c r="J46" i="7"/>
  <c r="K46" i="7"/>
  <c r="K40" i="7"/>
  <c r="J59" i="5"/>
  <c r="J45" i="7"/>
  <c r="J13" i="5"/>
  <c r="J38" i="5"/>
  <c r="G37" i="7"/>
  <c r="I37" i="7" s="1"/>
  <c r="I47" i="7"/>
  <c r="K47" i="7" s="1"/>
  <c r="J20" i="5"/>
  <c r="G19" i="7"/>
  <c r="I19" i="7" s="1"/>
  <c r="K24" i="7"/>
  <c r="I23" i="7"/>
  <c r="J23" i="7" s="1"/>
  <c r="I55" i="7"/>
  <c r="J55" i="7" s="1"/>
  <c r="K31" i="7"/>
  <c r="I58" i="7"/>
  <c r="J58" i="7" s="1"/>
  <c r="I54" i="7"/>
  <c r="J54" i="7" s="1"/>
  <c r="J28" i="5"/>
  <c r="G27" i="7"/>
  <c r="I27" i="7"/>
  <c r="K27" i="7" s="1"/>
  <c r="J20" i="7"/>
  <c r="J69" i="7"/>
  <c r="J68" i="5"/>
  <c r="G67" i="7"/>
  <c r="I67" i="7" s="1"/>
  <c r="I63" i="7"/>
  <c r="J63" i="7" s="1"/>
  <c r="J60" i="5"/>
  <c r="G59" i="7"/>
  <c r="I59" i="7" s="1"/>
  <c r="J59" i="7" s="1"/>
  <c r="J36" i="5"/>
  <c r="G35" i="7"/>
  <c r="I35" i="7" s="1"/>
  <c r="L59" i="5"/>
  <c r="J76" i="7"/>
  <c r="I62" i="7"/>
  <c r="J62" i="7" s="1"/>
  <c r="K71" i="7"/>
  <c r="K11" i="7"/>
  <c r="L17" i="3"/>
  <c r="L20" i="3"/>
  <c r="J20" i="3"/>
  <c r="L24" i="3"/>
  <c r="J24" i="3"/>
  <c r="L54" i="4"/>
  <c r="J54" i="4"/>
  <c r="I24" i="6"/>
  <c r="J24" i="6" s="1"/>
  <c r="I64" i="6"/>
  <c r="J64" i="6" s="1"/>
  <c r="L53" i="14"/>
  <c r="J53" i="14"/>
  <c r="J53" i="4"/>
  <c r="G52" i="6"/>
  <c r="L66" i="2"/>
  <c r="J50" i="6"/>
  <c r="L40" i="2"/>
  <c r="I66" i="6"/>
  <c r="J66" i="6" s="1"/>
  <c r="I65" i="6"/>
  <c r="K65" i="6" s="1"/>
  <c r="J66" i="2"/>
  <c r="E39" i="6"/>
  <c r="I39" i="6" s="1"/>
  <c r="E71" i="6"/>
  <c r="I71" i="6" s="1"/>
  <c r="I74" i="6"/>
  <c r="K74" i="6" s="1"/>
  <c r="I56" i="6"/>
  <c r="J56" i="6" s="1"/>
  <c r="I57" i="6"/>
  <c r="K57" i="6" s="1"/>
  <c r="L48" i="4"/>
  <c r="J48" i="4"/>
  <c r="J48" i="2"/>
  <c r="L43" i="13"/>
  <c r="L32" i="2"/>
  <c r="L48" i="2"/>
  <c r="L34" i="2"/>
  <c r="I72" i="6"/>
  <c r="J72" i="6" s="1"/>
  <c r="I25" i="6"/>
  <c r="K25" i="6" s="1"/>
  <c r="L27" i="2"/>
  <c r="J34" i="2"/>
  <c r="L50" i="2"/>
  <c r="E26" i="6"/>
  <c r="I26" i="6" s="1"/>
  <c r="J26" i="6" s="1"/>
  <c r="E49" i="6"/>
  <c r="I49" i="6" s="1"/>
  <c r="J49" i="6" s="1"/>
  <c r="E62" i="6"/>
  <c r="I62" i="6" s="1"/>
  <c r="J62" i="6" s="1"/>
  <c r="E63" i="6"/>
  <c r="I63" i="6" s="1"/>
  <c r="J63" i="6" s="1"/>
  <c r="L74" i="2"/>
  <c r="L63" i="2"/>
  <c r="L64" i="2"/>
  <c r="J74" i="2"/>
  <c r="I23" i="6"/>
  <c r="J23" i="6" s="1"/>
  <c r="I58" i="6"/>
  <c r="K58" i="6" s="1"/>
  <c r="I48" i="6"/>
  <c r="K48" i="6" s="1"/>
  <c r="L38" i="5"/>
  <c r="L33" i="13"/>
  <c r="J33" i="11"/>
  <c r="I32" i="6"/>
  <c r="J32" i="6" s="1"/>
  <c r="I31" i="6"/>
  <c r="J31" i="6" s="1"/>
  <c r="J56" i="2"/>
  <c r="I47" i="6"/>
  <c r="K47" i="6" s="1"/>
  <c r="J41" i="6"/>
  <c r="K50" i="6"/>
  <c r="E55" i="6"/>
  <c r="I55" i="6" s="1"/>
  <c r="I42" i="6"/>
  <c r="J42" i="6" s="1"/>
  <c r="I34" i="6"/>
  <c r="J34" i="6" s="1"/>
  <c r="L28" i="5"/>
  <c r="L28" i="3"/>
  <c r="J28" i="3"/>
  <c r="E67" i="6"/>
  <c r="I67" i="6" s="1"/>
  <c r="J67" i="6" s="1"/>
  <c r="J68" i="2"/>
  <c r="L68" i="2"/>
  <c r="L37" i="2"/>
  <c r="E36" i="6"/>
  <c r="I36" i="6" s="1"/>
  <c r="J37" i="2"/>
  <c r="L69" i="2"/>
  <c r="E68" i="6"/>
  <c r="I68" i="6" s="1"/>
  <c r="J69" i="2"/>
  <c r="L38" i="2"/>
  <c r="E37" i="6"/>
  <c r="I37" i="6" s="1"/>
  <c r="J38" i="2"/>
  <c r="J47" i="2"/>
  <c r="L47" i="2"/>
  <c r="E46" i="6"/>
  <c r="I46" i="6" s="1"/>
  <c r="J71" i="2"/>
  <c r="L71" i="2"/>
  <c r="E70" i="6"/>
  <c r="I70" i="6" s="1"/>
  <c r="L28" i="2"/>
  <c r="E27" i="6"/>
  <c r="I27" i="6" s="1"/>
  <c r="J28" i="2"/>
  <c r="L46" i="2"/>
  <c r="J46" i="2"/>
  <c r="E45" i="6"/>
  <c r="I45" i="6" s="1"/>
  <c r="E51" i="6"/>
  <c r="I51" i="6" s="1"/>
  <c r="J51" i="6" s="1"/>
  <c r="J52" i="2"/>
  <c r="L52" i="2"/>
  <c r="L45" i="2"/>
  <c r="E44" i="6"/>
  <c r="I44" i="6" s="1"/>
  <c r="J45" i="2"/>
  <c r="L77" i="2"/>
  <c r="E76" i="6"/>
  <c r="I76" i="6" s="1"/>
  <c r="J77" i="2"/>
  <c r="L54" i="2"/>
  <c r="E53" i="6"/>
  <c r="I53" i="6" s="1"/>
  <c r="J54" i="2"/>
  <c r="J31" i="2"/>
  <c r="L31" i="2"/>
  <c r="E30" i="6"/>
  <c r="I30" i="6" s="1"/>
  <c r="J76" i="2"/>
  <c r="L76" i="2"/>
  <c r="E75" i="6"/>
  <c r="I75" i="6" s="1"/>
  <c r="J75" i="6" s="1"/>
  <c r="L62" i="2"/>
  <c r="J62" i="2"/>
  <c r="E61" i="6"/>
  <c r="I61" i="6" s="1"/>
  <c r="J55" i="2"/>
  <c r="E54" i="6"/>
  <c r="I54" i="6" s="1"/>
  <c r="J54" i="6" s="1"/>
  <c r="L55" i="2"/>
  <c r="E35" i="6"/>
  <c r="I35" i="6" s="1"/>
  <c r="J35" i="6" s="1"/>
  <c r="J36" i="2"/>
  <c r="L36" i="2"/>
  <c r="L21" i="2"/>
  <c r="E20" i="6"/>
  <c r="I20" i="6" s="1"/>
  <c r="J21" i="2"/>
  <c r="L53" i="2"/>
  <c r="E52" i="6"/>
  <c r="J53" i="2"/>
  <c r="L70" i="2"/>
  <c r="J70" i="2"/>
  <c r="E69" i="6"/>
  <c r="I69" i="6" s="1"/>
  <c r="E59" i="6"/>
  <c r="I59" i="6" s="1"/>
  <c r="J60" i="2"/>
  <c r="L60" i="2"/>
  <c r="J78" i="2"/>
  <c r="L78" i="2"/>
  <c r="E77" i="6"/>
  <c r="I77" i="6" s="1"/>
  <c r="J39" i="2"/>
  <c r="L39" i="2"/>
  <c r="E38" i="6"/>
  <c r="I38" i="6" s="1"/>
  <c r="L29" i="2"/>
  <c r="J29" i="2"/>
  <c r="E28" i="6"/>
  <c r="L61" i="2"/>
  <c r="J61" i="2"/>
  <c r="E60" i="6"/>
  <c r="L22" i="2"/>
  <c r="E21" i="6"/>
  <c r="I21" i="6" s="1"/>
  <c r="J22" i="2"/>
  <c r="L44" i="2"/>
  <c r="J44" i="2"/>
  <c r="E43" i="6"/>
  <c r="I43" i="6" s="1"/>
  <c r="L30" i="2"/>
  <c r="E29" i="6"/>
  <c r="I29" i="6" s="1"/>
  <c r="J30" i="2"/>
  <c r="J23" i="2"/>
  <c r="L23" i="2"/>
  <c r="E22" i="6"/>
  <c r="I22" i="6" s="1"/>
  <c r="L23" i="11"/>
  <c r="J23" i="11"/>
  <c r="J42" i="3"/>
  <c r="L42" i="3"/>
  <c r="J44" i="3"/>
  <c r="L44" i="3"/>
  <c r="J60" i="3"/>
  <c r="L60" i="3"/>
  <c r="J76" i="3"/>
  <c r="L76" i="3"/>
  <c r="J37" i="3"/>
  <c r="L37" i="3"/>
  <c r="J69" i="3"/>
  <c r="L69" i="3"/>
  <c r="J50" i="3"/>
  <c r="L50" i="3"/>
  <c r="L48" i="3"/>
  <c r="J48" i="3"/>
  <c r="J64" i="3"/>
  <c r="L64" i="3"/>
  <c r="J45" i="3"/>
  <c r="L45" i="3"/>
  <c r="J77" i="3"/>
  <c r="L77" i="3"/>
  <c r="J46" i="3"/>
  <c r="L46" i="3"/>
  <c r="J73" i="3"/>
  <c r="L73" i="3"/>
  <c r="J22" i="3"/>
  <c r="L22" i="3"/>
  <c r="J54" i="3"/>
  <c r="L54" i="3"/>
  <c r="J49" i="3"/>
  <c r="L49" i="3"/>
  <c r="J26" i="3"/>
  <c r="L26" i="3"/>
  <c r="J58" i="3"/>
  <c r="L58" i="3"/>
  <c r="J52" i="3"/>
  <c r="L52" i="3"/>
  <c r="J68" i="3"/>
  <c r="L68" i="3"/>
  <c r="L16" i="3"/>
  <c r="J16" i="3"/>
  <c r="J9" i="3"/>
  <c r="L9" i="3"/>
  <c r="J21" i="3"/>
  <c r="L21" i="3"/>
  <c r="J53" i="3"/>
  <c r="L53" i="3"/>
  <c r="J14" i="3"/>
  <c r="L14" i="3"/>
  <c r="J78" i="3"/>
  <c r="L78" i="3"/>
  <c r="J30" i="3"/>
  <c r="L30" i="3"/>
  <c r="J62" i="3"/>
  <c r="L62" i="3"/>
  <c r="L13" i="3"/>
  <c r="J13" i="3"/>
  <c r="J10" i="3"/>
  <c r="L10" i="3"/>
  <c r="J25" i="3"/>
  <c r="L25" i="3"/>
  <c r="J57" i="3"/>
  <c r="L57" i="3"/>
  <c r="J41" i="3"/>
  <c r="L41" i="3"/>
  <c r="J34" i="3"/>
  <c r="L34" i="3"/>
  <c r="J66" i="3"/>
  <c r="L66" i="3"/>
  <c r="L36" i="3"/>
  <c r="J36" i="3"/>
  <c r="J56" i="3"/>
  <c r="L56" i="3"/>
  <c r="J72" i="3"/>
  <c r="L72" i="3"/>
  <c r="J29" i="3"/>
  <c r="L29" i="3"/>
  <c r="J61" i="3"/>
  <c r="L61" i="3"/>
  <c r="J38" i="3"/>
  <c r="L38" i="3"/>
  <c r="J70" i="3"/>
  <c r="L70" i="3"/>
  <c r="J40" i="3"/>
  <c r="L40" i="3"/>
  <c r="L11" i="3"/>
  <c r="J11" i="3"/>
  <c r="J33" i="3"/>
  <c r="L33" i="3"/>
  <c r="J65" i="3"/>
  <c r="L65" i="3"/>
  <c r="J18" i="3"/>
  <c r="L18" i="3"/>
  <c r="J31" i="15"/>
  <c r="L31" i="15"/>
  <c r="L63" i="15"/>
  <c r="J63" i="15"/>
  <c r="L17" i="15"/>
  <c r="J17" i="15"/>
  <c r="L65" i="15"/>
  <c r="J65" i="15"/>
  <c r="L18" i="15"/>
  <c r="J18" i="15"/>
  <c r="L58" i="15"/>
  <c r="J58" i="15"/>
  <c r="J28" i="15"/>
  <c r="L28" i="15"/>
  <c r="J44" i="15"/>
  <c r="L44" i="15"/>
  <c r="L41" i="15"/>
  <c r="J41" i="15"/>
  <c r="J12" i="15"/>
  <c r="L12" i="15"/>
  <c r="J39" i="15"/>
  <c r="L39" i="15"/>
  <c r="L71" i="15"/>
  <c r="J71" i="15"/>
  <c r="L73" i="15"/>
  <c r="J73" i="15"/>
  <c r="L42" i="15"/>
  <c r="J42" i="15"/>
  <c r="L25" i="15"/>
  <c r="J25" i="15"/>
  <c r="L66" i="15"/>
  <c r="J66" i="15"/>
  <c r="L15" i="15"/>
  <c r="J15" i="15"/>
  <c r="J47" i="15"/>
  <c r="L47" i="15"/>
  <c r="L49" i="15"/>
  <c r="J49" i="15"/>
  <c r="L10" i="15"/>
  <c r="J10" i="15"/>
  <c r="L26" i="15"/>
  <c r="J26" i="15"/>
  <c r="J20" i="15"/>
  <c r="L20" i="15"/>
  <c r="J36" i="15"/>
  <c r="L36" i="15"/>
  <c r="L9" i="15"/>
  <c r="J9" i="15"/>
  <c r="L50" i="15"/>
  <c r="J50" i="15"/>
  <c r="L55" i="15"/>
  <c r="J55" i="15"/>
  <c r="L33" i="15"/>
  <c r="J33" i="15"/>
  <c r="L57" i="15"/>
  <c r="J57" i="15"/>
  <c r="L74" i="15"/>
  <c r="J74" i="15"/>
  <c r="J23" i="15"/>
  <c r="L23" i="15"/>
  <c r="L34" i="15"/>
  <c r="J34" i="15"/>
  <c r="L15" i="14"/>
  <c r="J15" i="14"/>
  <c r="L10" i="14"/>
  <c r="J10" i="14"/>
  <c r="J12" i="14"/>
  <c r="L12" i="14"/>
  <c r="L23" i="14"/>
  <c r="J23" i="14"/>
  <c r="L31" i="14"/>
  <c r="J31" i="14"/>
  <c r="L65" i="14"/>
  <c r="J65" i="14"/>
  <c r="L34" i="14"/>
  <c r="J34" i="14"/>
  <c r="L50" i="14"/>
  <c r="J50" i="14"/>
  <c r="L66" i="14"/>
  <c r="J66" i="14"/>
  <c r="L41" i="14"/>
  <c r="J41" i="14"/>
  <c r="L39" i="14"/>
  <c r="J39" i="14"/>
  <c r="L9" i="14"/>
  <c r="J9" i="14"/>
  <c r="L25" i="14"/>
  <c r="J25" i="14"/>
  <c r="L18" i="14"/>
  <c r="J18" i="14"/>
  <c r="J20" i="14"/>
  <c r="L20" i="14"/>
  <c r="J52" i="14"/>
  <c r="L52" i="14"/>
  <c r="L47" i="14"/>
  <c r="J47" i="14"/>
  <c r="L49" i="14"/>
  <c r="J49" i="14"/>
  <c r="L55" i="14"/>
  <c r="J55" i="14"/>
  <c r="L73" i="14"/>
  <c r="J73" i="14"/>
  <c r="L74" i="14"/>
  <c r="J74" i="14"/>
  <c r="J28" i="14"/>
  <c r="L28" i="14"/>
  <c r="J60" i="14"/>
  <c r="L60" i="14"/>
  <c r="J76" i="14"/>
  <c r="L76" i="14"/>
  <c r="L63" i="14"/>
  <c r="J63" i="14"/>
  <c r="L33" i="14"/>
  <c r="J33" i="14"/>
  <c r="L26" i="14"/>
  <c r="J26" i="14"/>
  <c r="L42" i="14"/>
  <c r="J42" i="14"/>
  <c r="L58" i="14"/>
  <c r="J58" i="14"/>
  <c r="J44" i="14"/>
  <c r="L44" i="14"/>
  <c r="J71" i="14"/>
  <c r="L71" i="14"/>
  <c r="L17" i="14"/>
  <c r="J17" i="14"/>
  <c r="L57" i="14"/>
  <c r="J57" i="14"/>
  <c r="J36" i="14"/>
  <c r="L36" i="14"/>
  <c r="J68" i="14"/>
  <c r="L68" i="14"/>
  <c r="L23" i="13"/>
  <c r="J23" i="13"/>
  <c r="L10" i="13"/>
  <c r="J10" i="13"/>
  <c r="L50" i="13"/>
  <c r="J50" i="13"/>
  <c r="J20" i="13"/>
  <c r="L20" i="13"/>
  <c r="L31" i="13"/>
  <c r="J31" i="13"/>
  <c r="L74" i="13"/>
  <c r="J74" i="13"/>
  <c r="L39" i="13"/>
  <c r="J39" i="13"/>
  <c r="L34" i="13"/>
  <c r="J34" i="13"/>
  <c r="J47" i="13"/>
  <c r="L47" i="13"/>
  <c r="L18" i="13"/>
  <c r="J18" i="13"/>
  <c r="L58" i="13"/>
  <c r="J58" i="13"/>
  <c r="J28" i="13"/>
  <c r="L28" i="13"/>
  <c r="J44" i="13"/>
  <c r="L44" i="13"/>
  <c r="J60" i="13"/>
  <c r="L60" i="13"/>
  <c r="J76" i="13"/>
  <c r="L76" i="13"/>
  <c r="L55" i="13"/>
  <c r="J55" i="13"/>
  <c r="J12" i="13"/>
  <c r="L12" i="13"/>
  <c r="J63" i="13"/>
  <c r="L63" i="13"/>
  <c r="L42" i="13"/>
  <c r="J42" i="13"/>
  <c r="L71" i="13"/>
  <c r="J71" i="13"/>
  <c r="L26" i="13"/>
  <c r="J26" i="13"/>
  <c r="L66" i="13"/>
  <c r="J66" i="13"/>
  <c r="J15" i="13"/>
  <c r="L15" i="13"/>
  <c r="J36" i="13"/>
  <c r="L36" i="13"/>
  <c r="J52" i="13"/>
  <c r="L52" i="13"/>
  <c r="J68" i="13"/>
  <c r="L68" i="13"/>
  <c r="L34" i="12"/>
  <c r="J34" i="12"/>
  <c r="L66" i="12"/>
  <c r="J66" i="12"/>
  <c r="J15" i="12"/>
  <c r="L15" i="12"/>
  <c r="J63" i="12"/>
  <c r="L63" i="12"/>
  <c r="L57" i="12"/>
  <c r="J57" i="12"/>
  <c r="J28" i="12"/>
  <c r="L28" i="12"/>
  <c r="J60" i="12"/>
  <c r="L60" i="12"/>
  <c r="L23" i="12"/>
  <c r="J23" i="12"/>
  <c r="L9" i="12"/>
  <c r="J9" i="12"/>
  <c r="L25" i="12"/>
  <c r="J25" i="12"/>
  <c r="L41" i="12"/>
  <c r="J41" i="12"/>
  <c r="L10" i="12"/>
  <c r="J10" i="12"/>
  <c r="L42" i="12"/>
  <c r="J42" i="12"/>
  <c r="L74" i="12"/>
  <c r="J74" i="12"/>
  <c r="L31" i="12"/>
  <c r="J31" i="12"/>
  <c r="L71" i="12"/>
  <c r="J71" i="12"/>
  <c r="J36" i="12"/>
  <c r="L36" i="12"/>
  <c r="J68" i="12"/>
  <c r="L68" i="12"/>
  <c r="J39" i="12"/>
  <c r="L39" i="12"/>
  <c r="L65" i="12"/>
  <c r="J65" i="12"/>
  <c r="L18" i="12"/>
  <c r="J18" i="12"/>
  <c r="L50" i="12"/>
  <c r="J50" i="12"/>
  <c r="L47" i="12"/>
  <c r="J47" i="12"/>
  <c r="J12" i="12"/>
  <c r="L12" i="12"/>
  <c r="J44" i="12"/>
  <c r="L44" i="12"/>
  <c r="J76" i="12"/>
  <c r="L76" i="12"/>
  <c r="L17" i="12"/>
  <c r="J17" i="12"/>
  <c r="L33" i="12"/>
  <c r="J33" i="12"/>
  <c r="L49" i="12"/>
  <c r="J49" i="12"/>
  <c r="L26" i="12"/>
  <c r="J26" i="12"/>
  <c r="L58" i="12"/>
  <c r="J58" i="12"/>
  <c r="L55" i="12"/>
  <c r="J55" i="12"/>
  <c r="L73" i="12"/>
  <c r="J73" i="12"/>
  <c r="J20" i="12"/>
  <c r="L20" i="12"/>
  <c r="J52" i="12"/>
  <c r="L52" i="12"/>
  <c r="L56" i="11"/>
  <c r="J56" i="11"/>
  <c r="L66" i="11"/>
  <c r="J66" i="11"/>
  <c r="L32" i="11"/>
  <c r="J32" i="11"/>
  <c r="L10" i="11"/>
  <c r="J10" i="11"/>
  <c r="L74" i="11"/>
  <c r="J74" i="11"/>
  <c r="L64" i="11"/>
  <c r="J64" i="11"/>
  <c r="J18" i="11"/>
  <c r="L18" i="11"/>
  <c r="J11" i="11"/>
  <c r="L11" i="11"/>
  <c r="L16" i="11"/>
  <c r="J16" i="11"/>
  <c r="J26" i="11"/>
  <c r="L26" i="11"/>
  <c r="L40" i="11"/>
  <c r="J40" i="11"/>
  <c r="J72" i="11"/>
  <c r="L72" i="11"/>
  <c r="J34" i="11"/>
  <c r="L34" i="11"/>
  <c r="L42" i="11"/>
  <c r="J42" i="11"/>
  <c r="J24" i="11"/>
  <c r="L24" i="11"/>
  <c r="J48" i="11"/>
  <c r="L48" i="11"/>
  <c r="L9" i="11"/>
  <c r="J9" i="11"/>
  <c r="L50" i="11"/>
  <c r="J50" i="11"/>
  <c r="L58" i="11"/>
  <c r="J58" i="11"/>
  <c r="L48" i="10"/>
  <c r="J48" i="10"/>
  <c r="L42" i="10"/>
  <c r="J42" i="10"/>
  <c r="L74" i="10"/>
  <c r="J74" i="10"/>
  <c r="L25" i="10"/>
  <c r="J25" i="10"/>
  <c r="L15" i="10"/>
  <c r="J15" i="10"/>
  <c r="L31" i="10"/>
  <c r="J31" i="10"/>
  <c r="J47" i="10"/>
  <c r="L47" i="10"/>
  <c r="J63" i="10"/>
  <c r="L63" i="10"/>
  <c r="L64" i="10"/>
  <c r="J64" i="10"/>
  <c r="L18" i="10"/>
  <c r="J18" i="10"/>
  <c r="L50" i="10"/>
  <c r="J50" i="10"/>
  <c r="J72" i="10"/>
  <c r="L72" i="10"/>
  <c r="L33" i="10"/>
  <c r="J33" i="10"/>
  <c r="L65" i="10"/>
  <c r="J65" i="10"/>
  <c r="J16" i="10"/>
  <c r="L16" i="10"/>
  <c r="L9" i="10"/>
  <c r="J9" i="10"/>
  <c r="L26" i="10"/>
  <c r="J26" i="10"/>
  <c r="L58" i="10"/>
  <c r="J58" i="10"/>
  <c r="L56" i="10"/>
  <c r="J56" i="10"/>
  <c r="L24" i="10"/>
  <c r="J24" i="10"/>
  <c r="L41" i="10"/>
  <c r="J41" i="10"/>
  <c r="L73" i="10"/>
  <c r="J73" i="10"/>
  <c r="L23" i="10"/>
  <c r="J23" i="10"/>
  <c r="J39" i="10"/>
  <c r="L39" i="10"/>
  <c r="L55" i="10"/>
  <c r="J55" i="10"/>
  <c r="L71" i="10"/>
  <c r="J71" i="10"/>
  <c r="L32" i="10"/>
  <c r="J32" i="10"/>
  <c r="L34" i="10"/>
  <c r="J34" i="10"/>
  <c r="L66" i="10"/>
  <c r="J66" i="10"/>
  <c r="L57" i="10"/>
  <c r="J57" i="10"/>
  <c r="J40" i="10"/>
  <c r="L40" i="10"/>
  <c r="L17" i="10"/>
  <c r="J17" i="10"/>
  <c r="L49" i="10"/>
  <c r="J49" i="10"/>
  <c r="J10" i="10"/>
  <c r="L10" i="10"/>
  <c r="L47" i="5"/>
  <c r="J47" i="5"/>
  <c r="L66" i="5"/>
  <c r="J66" i="5"/>
  <c r="J71" i="5"/>
  <c r="L71" i="5"/>
  <c r="L41" i="5"/>
  <c r="J41" i="5"/>
  <c r="L73" i="5"/>
  <c r="J73" i="5"/>
  <c r="L26" i="5"/>
  <c r="J26" i="5"/>
  <c r="L74" i="5"/>
  <c r="J74" i="5"/>
  <c r="J31" i="5"/>
  <c r="L31" i="5"/>
  <c r="L17" i="5"/>
  <c r="J17" i="5"/>
  <c r="L55" i="5"/>
  <c r="J55" i="5"/>
  <c r="J24" i="5"/>
  <c r="L24" i="5"/>
  <c r="J40" i="5"/>
  <c r="L40" i="5"/>
  <c r="J56" i="5"/>
  <c r="L56" i="5"/>
  <c r="J72" i="5"/>
  <c r="L72" i="5"/>
  <c r="L49" i="5"/>
  <c r="J49" i="5"/>
  <c r="L10" i="5"/>
  <c r="J10" i="5"/>
  <c r="L34" i="5"/>
  <c r="J34" i="5"/>
  <c r="J15" i="5"/>
  <c r="L15" i="5"/>
  <c r="J39" i="5"/>
  <c r="L39" i="5"/>
  <c r="L25" i="5"/>
  <c r="J25" i="5"/>
  <c r="L57" i="5"/>
  <c r="J57" i="5"/>
  <c r="L42" i="5"/>
  <c r="J42" i="5"/>
  <c r="L63" i="5"/>
  <c r="J63" i="5"/>
  <c r="L18" i="5"/>
  <c r="J18" i="5"/>
  <c r="L50" i="5"/>
  <c r="J50" i="5"/>
  <c r="J23" i="5"/>
  <c r="L23" i="5"/>
  <c r="J16" i="5"/>
  <c r="L16" i="5"/>
  <c r="J32" i="5"/>
  <c r="L32" i="5"/>
  <c r="J48" i="5"/>
  <c r="L48" i="5"/>
  <c r="J64" i="5"/>
  <c r="L64" i="5"/>
  <c r="L9" i="5"/>
  <c r="J9" i="5"/>
  <c r="L33" i="5"/>
  <c r="J33" i="5"/>
  <c r="L65" i="5"/>
  <c r="J65" i="5"/>
  <c r="L58" i="5"/>
  <c r="J58" i="5"/>
  <c r="L47" i="4"/>
  <c r="J47" i="4"/>
  <c r="L55" i="4"/>
  <c r="J55" i="4"/>
  <c r="L17" i="4"/>
  <c r="J17" i="4"/>
  <c r="L33" i="4"/>
  <c r="J33" i="4"/>
  <c r="L49" i="4"/>
  <c r="J49" i="4"/>
  <c r="L65" i="4"/>
  <c r="J65" i="4"/>
  <c r="L10" i="4"/>
  <c r="J10" i="4"/>
  <c r="L42" i="4"/>
  <c r="J42" i="4"/>
  <c r="L74" i="4"/>
  <c r="J74" i="4"/>
  <c r="J36" i="4"/>
  <c r="L36" i="4"/>
  <c r="J68" i="4"/>
  <c r="L68" i="4"/>
  <c r="L63" i="4"/>
  <c r="J63" i="4"/>
  <c r="J71" i="4"/>
  <c r="L71" i="4"/>
  <c r="L18" i="4"/>
  <c r="J18" i="4"/>
  <c r="L50" i="4"/>
  <c r="J50" i="4"/>
  <c r="J12" i="4"/>
  <c r="L12" i="4"/>
  <c r="J44" i="4"/>
  <c r="L44" i="4"/>
  <c r="J76" i="4"/>
  <c r="L76" i="4"/>
  <c r="J15" i="4"/>
  <c r="L15" i="4"/>
  <c r="L23" i="4"/>
  <c r="J23" i="4"/>
  <c r="L9" i="4"/>
  <c r="J9" i="4"/>
  <c r="L25" i="4"/>
  <c r="J25" i="4"/>
  <c r="L41" i="4"/>
  <c r="J41" i="4"/>
  <c r="L57" i="4"/>
  <c r="J57" i="4"/>
  <c r="L73" i="4"/>
  <c r="J73" i="4"/>
  <c r="L26" i="4"/>
  <c r="J26" i="4"/>
  <c r="L58" i="4"/>
  <c r="J58" i="4"/>
  <c r="J20" i="4"/>
  <c r="L20" i="4"/>
  <c r="J52" i="4"/>
  <c r="L52" i="4"/>
  <c r="J31" i="4"/>
  <c r="L31" i="4"/>
  <c r="L39" i="4"/>
  <c r="J39" i="4"/>
  <c r="L34" i="4"/>
  <c r="J34" i="4"/>
  <c r="L66" i="4"/>
  <c r="J66" i="4"/>
  <c r="J28" i="4"/>
  <c r="L28" i="4"/>
  <c r="J60" i="4"/>
  <c r="L60" i="4"/>
  <c r="K57" i="7" l="1"/>
  <c r="J40" i="6"/>
  <c r="I28" i="6"/>
  <c r="K18" i="7"/>
  <c r="J52" i="7"/>
  <c r="K32" i="7"/>
  <c r="J74" i="7"/>
  <c r="K65" i="7"/>
  <c r="K53" i="7"/>
  <c r="K9" i="7"/>
  <c r="J56" i="7"/>
  <c r="J47" i="7"/>
  <c r="J12" i="7"/>
  <c r="K42" i="7"/>
  <c r="K41" i="7"/>
  <c r="K14" i="7"/>
  <c r="K15" i="7"/>
  <c r="J17" i="7"/>
  <c r="J27" i="7"/>
  <c r="J49" i="7"/>
  <c r="K72" i="7"/>
  <c r="K73" i="7"/>
  <c r="K60" i="7"/>
  <c r="J36" i="7"/>
  <c r="K10" i="7"/>
  <c r="J29" i="7"/>
  <c r="K70" i="7"/>
  <c r="K28" i="7"/>
  <c r="K23" i="7"/>
  <c r="K43" i="7"/>
  <c r="J68" i="7"/>
  <c r="K26" i="7"/>
  <c r="K63" i="7"/>
  <c r="K34" i="7"/>
  <c r="K51" i="7"/>
  <c r="K58" i="7"/>
  <c r="K39" i="7"/>
  <c r="J78" i="6"/>
  <c r="K78" i="6"/>
  <c r="K24" i="6"/>
  <c r="J73" i="6"/>
  <c r="J25" i="6"/>
  <c r="I60" i="6"/>
  <c r="J60" i="6" s="1"/>
  <c r="K55" i="7"/>
  <c r="K54" i="6"/>
  <c r="J48" i="7"/>
  <c r="K38" i="7"/>
  <c r="J33" i="7"/>
  <c r="J33" i="6"/>
  <c r="J13" i="7"/>
  <c r="K77" i="7"/>
  <c r="J75" i="7"/>
  <c r="K75" i="7"/>
  <c r="J67" i="7"/>
  <c r="K67" i="7"/>
  <c r="K16" i="7"/>
  <c r="J19" i="7"/>
  <c r="K19" i="7"/>
  <c r="J35" i="7"/>
  <c r="K35" i="7"/>
  <c r="K37" i="7"/>
  <c r="J37" i="7"/>
  <c r="K62" i="7"/>
  <c r="K54" i="7"/>
  <c r="K59" i="7"/>
  <c r="J57" i="6"/>
  <c r="J71" i="6"/>
  <c r="K71" i="6"/>
  <c r="J65" i="6"/>
  <c r="K64" i="6"/>
  <c r="K72" i="6"/>
  <c r="K31" i="6"/>
  <c r="J74" i="6"/>
  <c r="K26" i="6"/>
  <c r="K56" i="6"/>
  <c r="I52" i="6"/>
  <c r="K52" i="6" s="1"/>
  <c r="J39" i="6"/>
  <c r="K39" i="6"/>
  <c r="K66" i="6"/>
  <c r="J47" i="6"/>
  <c r="K23" i="6"/>
  <c r="K34" i="6"/>
  <c r="K63" i="6"/>
  <c r="J58" i="6"/>
  <c r="K62" i="6"/>
  <c r="J48" i="6"/>
  <c r="J55" i="6"/>
  <c r="K55" i="6"/>
  <c r="K49" i="6"/>
  <c r="K32" i="6"/>
  <c r="K42" i="6"/>
  <c r="K67" i="6"/>
  <c r="K43" i="6"/>
  <c r="J43" i="6"/>
  <c r="J22" i="6"/>
  <c r="K22" i="6"/>
  <c r="J27" i="6"/>
  <c r="K27" i="6"/>
  <c r="K59" i="6"/>
  <c r="J59" i="6"/>
  <c r="K21" i="6"/>
  <c r="J21" i="6"/>
  <c r="J38" i="6"/>
  <c r="K38" i="6"/>
  <c r="K76" i="6"/>
  <c r="J76" i="6"/>
  <c r="K37" i="6"/>
  <c r="J37" i="6"/>
  <c r="J29" i="6"/>
  <c r="K29" i="6"/>
  <c r="J20" i="6"/>
  <c r="K20" i="6"/>
  <c r="J30" i="6"/>
  <c r="K30" i="6"/>
  <c r="J70" i="6"/>
  <c r="K70" i="6"/>
  <c r="J69" i="6"/>
  <c r="K69" i="6"/>
  <c r="J45" i="6"/>
  <c r="K45" i="6"/>
  <c r="J77" i="6"/>
  <c r="K77" i="6"/>
  <c r="J61" i="6"/>
  <c r="K61" i="6"/>
  <c r="K44" i="6"/>
  <c r="J44" i="6"/>
  <c r="J68" i="6"/>
  <c r="K68" i="6"/>
  <c r="K51" i="6"/>
  <c r="K75" i="6"/>
  <c r="K35" i="6"/>
  <c r="K28" i="6"/>
  <c r="J28" i="6"/>
  <c r="J46" i="6"/>
  <c r="K46" i="6"/>
  <c r="K53" i="6"/>
  <c r="J53" i="6"/>
  <c r="J36" i="6"/>
  <c r="K36" i="6"/>
  <c r="J52" i="6" l="1"/>
  <c r="K60" i="6"/>
  <c r="D3" i="4" l="1"/>
  <c r="D3" i="2"/>
  <c r="E3" i="2" l="1"/>
  <c r="H3" i="2" l="1"/>
  <c r="D3" i="10"/>
  <c r="H3" i="10" s="1"/>
  <c r="I3" i="10" s="1"/>
  <c r="D20" i="2"/>
  <c r="H20" i="2" s="1"/>
  <c r="I20" i="2" s="1"/>
  <c r="E19" i="6" s="1"/>
  <c r="I19" i="6" s="1"/>
  <c r="D19" i="2"/>
  <c r="E19" i="2" s="1"/>
  <c r="D18" i="2"/>
  <c r="H18" i="2" s="1"/>
  <c r="I18" i="2" s="1"/>
  <c r="E17" i="6" s="1"/>
  <c r="I17" i="6" s="1"/>
  <c r="D17" i="2"/>
  <c r="H17" i="2" s="1"/>
  <c r="I17" i="2" s="1"/>
  <c r="E16" i="6" s="1"/>
  <c r="I16" i="6" s="1"/>
  <c r="D16" i="2"/>
  <c r="F16" i="2" s="1"/>
  <c r="D15" i="2"/>
  <c r="G15" i="2" s="1"/>
  <c r="K15" i="2" s="1"/>
  <c r="D14" i="2"/>
  <c r="H14" i="2" s="1"/>
  <c r="I14" i="2" s="1"/>
  <c r="E13" i="6" s="1"/>
  <c r="I13" i="6" s="1"/>
  <c r="D13" i="2"/>
  <c r="G13" i="2" s="1"/>
  <c r="K13" i="2" s="1"/>
  <c r="D12" i="2"/>
  <c r="H12" i="2" s="1"/>
  <c r="I12" i="2" s="1"/>
  <c r="E11" i="6" s="1"/>
  <c r="I11" i="6" s="1"/>
  <c r="D11" i="2"/>
  <c r="H11" i="2" s="1"/>
  <c r="I11" i="2" s="1"/>
  <c r="E10" i="6" s="1"/>
  <c r="I10" i="6" s="1"/>
  <c r="D10" i="2"/>
  <c r="H10" i="2" s="1"/>
  <c r="I10" i="2" s="1"/>
  <c r="E9" i="6" s="1"/>
  <c r="I9" i="6" s="1"/>
  <c r="D9" i="2"/>
  <c r="G9" i="2" s="1"/>
  <c r="K9" i="2" s="1"/>
  <c r="C3" i="7"/>
  <c r="C4" i="7"/>
  <c r="C5" i="7"/>
  <c r="C6" i="7"/>
  <c r="C7" i="7"/>
  <c r="C2" i="7"/>
  <c r="B3" i="7"/>
  <c r="B4" i="7"/>
  <c r="B5" i="7"/>
  <c r="B6" i="7"/>
  <c r="B7" i="7"/>
  <c r="B2" i="7"/>
  <c r="C3" i="6"/>
  <c r="C4" i="6"/>
  <c r="C5" i="6"/>
  <c r="C6" i="6"/>
  <c r="C7" i="6"/>
  <c r="C2" i="6"/>
  <c r="F5" i="7" l="1"/>
  <c r="D5" i="7"/>
  <c r="F6" i="7"/>
  <c r="H5" i="7"/>
  <c r="K16" i="6"/>
  <c r="J16" i="6"/>
  <c r="K9" i="6"/>
  <c r="J9" i="6"/>
  <c r="J10" i="6"/>
  <c r="K10" i="6"/>
  <c r="J11" i="6"/>
  <c r="K11" i="6"/>
  <c r="J19" i="6"/>
  <c r="K19" i="6"/>
  <c r="K13" i="6"/>
  <c r="J13" i="6"/>
  <c r="J17" i="6"/>
  <c r="K17" i="6"/>
  <c r="H7" i="7"/>
  <c r="D6" i="7"/>
  <c r="H6" i="7"/>
  <c r="D7" i="7"/>
  <c r="F7" i="7"/>
  <c r="H4" i="7"/>
  <c r="F4" i="7"/>
  <c r="D4" i="7"/>
  <c r="D3" i="7"/>
  <c r="F3" i="7"/>
  <c r="L3" i="10"/>
  <c r="J3" i="10"/>
  <c r="E3" i="10"/>
  <c r="F3" i="10"/>
  <c r="G3" i="10"/>
  <c r="K3" i="10" s="1"/>
  <c r="G16" i="2"/>
  <c r="K16" i="2" s="1"/>
  <c r="G18" i="2"/>
  <c r="K18" i="2" s="1"/>
  <c r="G3" i="2"/>
  <c r="K3" i="2" s="1"/>
  <c r="H16" i="2"/>
  <c r="I16" i="2" s="1"/>
  <c r="E18" i="2"/>
  <c r="F18" i="2"/>
  <c r="H15" i="2"/>
  <c r="I15" i="2" s="1"/>
  <c r="E17" i="2"/>
  <c r="F17" i="2"/>
  <c r="E16" i="2"/>
  <c r="G17" i="2"/>
  <c r="K17" i="2" s="1"/>
  <c r="E20" i="2"/>
  <c r="G20" i="2"/>
  <c r="K20" i="2" s="1"/>
  <c r="L20" i="2"/>
  <c r="J20" i="2"/>
  <c r="J17" i="2"/>
  <c r="L17" i="2"/>
  <c r="L18" i="2"/>
  <c r="J18" i="2"/>
  <c r="F19" i="2"/>
  <c r="G19" i="2"/>
  <c r="K19" i="2" s="1"/>
  <c r="F20" i="2"/>
  <c r="E15" i="2"/>
  <c r="H19" i="2"/>
  <c r="I19" i="2" s="1"/>
  <c r="E18" i="6" s="1"/>
  <c r="I18" i="6" s="1"/>
  <c r="F15" i="2"/>
  <c r="L10" i="2"/>
  <c r="J10" i="2"/>
  <c r="L11" i="2"/>
  <c r="J11" i="2"/>
  <c r="L14" i="2"/>
  <c r="J14" i="2"/>
  <c r="L12" i="2"/>
  <c r="J12" i="2"/>
  <c r="F9" i="2"/>
  <c r="E11" i="2"/>
  <c r="H9" i="2"/>
  <c r="I9" i="2" s="1"/>
  <c r="E8" i="6" s="1"/>
  <c r="I8" i="6" s="1"/>
  <c r="F11" i="2"/>
  <c r="G11" i="2"/>
  <c r="K11" i="2" s="1"/>
  <c r="E13" i="2"/>
  <c r="G12" i="2"/>
  <c r="K12" i="2" s="1"/>
  <c r="F13" i="2"/>
  <c r="E14" i="2"/>
  <c r="H13" i="2"/>
  <c r="I13" i="2" s="1"/>
  <c r="E12" i="6" s="1"/>
  <c r="I12" i="6" s="1"/>
  <c r="E9" i="2"/>
  <c r="E10" i="2"/>
  <c r="F10" i="2"/>
  <c r="G10" i="2"/>
  <c r="K10" i="2" s="1"/>
  <c r="E12" i="2"/>
  <c r="F12" i="2"/>
  <c r="F14" i="2"/>
  <c r="G14" i="2"/>
  <c r="K14" i="2" s="1"/>
  <c r="D2" i="7"/>
  <c r="H2" i="7"/>
  <c r="F2" i="7"/>
  <c r="H3" i="7"/>
  <c r="D8" i="9"/>
  <c r="H8" i="9" s="1"/>
  <c r="I8" i="9" s="1"/>
  <c r="D7" i="9"/>
  <c r="G7" i="9" s="1"/>
  <c r="K7" i="9" s="1"/>
  <c r="D6" i="9"/>
  <c r="H6" i="9" s="1"/>
  <c r="I6" i="9" s="1"/>
  <c r="D5" i="9"/>
  <c r="F5" i="9" s="1"/>
  <c r="D4" i="9"/>
  <c r="H4" i="9" s="1"/>
  <c r="I4" i="9" s="1"/>
  <c r="D3" i="9"/>
  <c r="G3" i="9" s="1"/>
  <c r="K3" i="9" s="1"/>
  <c r="D8" i="8"/>
  <c r="H8" i="8" s="1"/>
  <c r="I8" i="8" s="1"/>
  <c r="D7" i="8"/>
  <c r="H7" i="8" s="1"/>
  <c r="I7" i="8" s="1"/>
  <c r="D6" i="8"/>
  <c r="E6" i="8" s="1"/>
  <c r="D5" i="8"/>
  <c r="G5" i="8" s="1"/>
  <c r="K5" i="8" s="1"/>
  <c r="D4" i="8"/>
  <c r="H4" i="8" s="1"/>
  <c r="I4" i="8" s="1"/>
  <c r="D3" i="8"/>
  <c r="H3" i="8" s="1"/>
  <c r="I3" i="8" s="1"/>
  <c r="D8" i="15"/>
  <c r="G8" i="15" s="1"/>
  <c r="K8" i="15" s="1"/>
  <c r="D7" i="15"/>
  <c r="H7" i="15" s="1"/>
  <c r="I7" i="15" s="1"/>
  <c r="D6" i="15"/>
  <c r="F6" i="15" s="1"/>
  <c r="D5" i="15"/>
  <c r="G5" i="15" s="1"/>
  <c r="K5" i="15" s="1"/>
  <c r="D4" i="15"/>
  <c r="G4" i="15" s="1"/>
  <c r="K4" i="15" s="1"/>
  <c r="D3" i="15"/>
  <c r="H3" i="15" s="1"/>
  <c r="I3" i="15" s="1"/>
  <c r="D8" i="14"/>
  <c r="G8" i="14" s="1"/>
  <c r="K8" i="14" s="1"/>
  <c r="D7" i="14"/>
  <c r="E7" i="14" s="1"/>
  <c r="G6" i="14"/>
  <c r="K6" i="14" s="1"/>
  <c r="D6" i="14"/>
  <c r="F6" i="14" s="1"/>
  <c r="D5" i="14"/>
  <c r="G5" i="14" s="1"/>
  <c r="K5" i="14" s="1"/>
  <c r="D4" i="14"/>
  <c r="G4" i="14" s="1"/>
  <c r="K4" i="14" s="1"/>
  <c r="D3" i="14"/>
  <c r="G3" i="14" s="1"/>
  <c r="K3" i="14" s="1"/>
  <c r="D8" i="13"/>
  <c r="H8" i="13" s="1"/>
  <c r="I8" i="13" s="1"/>
  <c r="D7" i="13"/>
  <c r="F7" i="13" s="1"/>
  <c r="H6" i="13"/>
  <c r="I6" i="13" s="1"/>
  <c r="G6" i="13"/>
  <c r="K6" i="13" s="1"/>
  <c r="D6" i="13"/>
  <c r="F6" i="13" s="1"/>
  <c r="D5" i="13"/>
  <c r="G5" i="13" s="1"/>
  <c r="K5" i="13" s="1"/>
  <c r="D4" i="13"/>
  <c r="H4" i="13" s="1"/>
  <c r="I4" i="13" s="1"/>
  <c r="D3" i="13"/>
  <c r="H3" i="13" s="1"/>
  <c r="I3" i="13" s="1"/>
  <c r="D8" i="12"/>
  <c r="E8" i="12" s="1"/>
  <c r="D7" i="12"/>
  <c r="H7" i="12" s="1"/>
  <c r="I7" i="12" s="1"/>
  <c r="G6" i="12"/>
  <c r="K6" i="12" s="1"/>
  <c r="D6" i="12"/>
  <c r="F6" i="12" s="1"/>
  <c r="D5" i="12"/>
  <c r="F5" i="12" s="1"/>
  <c r="D4" i="12"/>
  <c r="G4" i="12" s="1"/>
  <c r="K4" i="12" s="1"/>
  <c r="D3" i="12"/>
  <c r="H3" i="12" s="1"/>
  <c r="I3" i="12" s="1"/>
  <c r="D8" i="11"/>
  <c r="H8" i="11" s="1"/>
  <c r="I8" i="11" s="1"/>
  <c r="D7" i="11"/>
  <c r="E7" i="11" s="1"/>
  <c r="D6" i="11"/>
  <c r="F6" i="11" s="1"/>
  <c r="D5" i="11"/>
  <c r="F5" i="11" s="1"/>
  <c r="D4" i="11"/>
  <c r="H4" i="11" s="1"/>
  <c r="I4" i="11" s="1"/>
  <c r="D3" i="11"/>
  <c r="H3" i="11" s="1"/>
  <c r="I3" i="11" s="1"/>
  <c r="D8" i="10"/>
  <c r="F8" i="10" s="1"/>
  <c r="D7" i="10"/>
  <c r="E7" i="10" s="1"/>
  <c r="D6" i="10"/>
  <c r="F6" i="10" s="1"/>
  <c r="D5" i="10"/>
  <c r="H5" i="10" s="1"/>
  <c r="I5" i="10" s="1"/>
  <c r="D4" i="10"/>
  <c r="G4" i="10" s="1"/>
  <c r="K4" i="10" s="1"/>
  <c r="D8" i="5"/>
  <c r="F8" i="5" s="1"/>
  <c r="D7" i="5"/>
  <c r="H7" i="5" s="1"/>
  <c r="I7" i="5" s="1"/>
  <c r="G6" i="7" s="1"/>
  <c r="D6" i="5"/>
  <c r="F6" i="5" s="1"/>
  <c r="D5" i="5"/>
  <c r="G5" i="5" s="1"/>
  <c r="K5" i="5" s="1"/>
  <c r="D4" i="5"/>
  <c r="E4" i="5" s="1"/>
  <c r="D3" i="5"/>
  <c r="F3" i="5" s="1"/>
  <c r="D8" i="4"/>
  <c r="E8" i="4" s="1"/>
  <c r="D7" i="4"/>
  <c r="H7" i="4" s="1"/>
  <c r="I7" i="4" s="1"/>
  <c r="G6" i="6" s="1"/>
  <c r="D6" i="4"/>
  <c r="F6" i="4" s="1"/>
  <c r="D5" i="4"/>
  <c r="G5" i="4" s="1"/>
  <c r="K5" i="4" s="1"/>
  <c r="D4" i="4"/>
  <c r="H4" i="4" s="1"/>
  <c r="I4" i="4" s="1"/>
  <c r="G3" i="6" s="1"/>
  <c r="G3" i="4"/>
  <c r="K3" i="4" s="1"/>
  <c r="D8" i="3"/>
  <c r="H8" i="3" s="1"/>
  <c r="I8" i="3" s="1"/>
  <c r="E7" i="7" s="1"/>
  <c r="D7" i="3"/>
  <c r="H7" i="3" s="1"/>
  <c r="I7" i="3" s="1"/>
  <c r="E6" i="7" s="1"/>
  <c r="D6" i="3"/>
  <c r="F6" i="3" s="1"/>
  <c r="D5" i="3"/>
  <c r="E5" i="3" s="1"/>
  <c r="D4" i="3"/>
  <c r="G4" i="3" s="1"/>
  <c r="K4" i="3" s="1"/>
  <c r="D3" i="3"/>
  <c r="H3" i="3" s="1"/>
  <c r="I3" i="3" s="1"/>
  <c r="E2" i="7" s="1"/>
  <c r="D7" i="2"/>
  <c r="H6" i="8" l="1"/>
  <c r="I6" i="8" s="1"/>
  <c r="L6" i="8" s="1"/>
  <c r="H3" i="9"/>
  <c r="I3" i="9" s="1"/>
  <c r="E6" i="9"/>
  <c r="E3" i="9"/>
  <c r="K12" i="6"/>
  <c r="J12" i="6"/>
  <c r="J8" i="6"/>
  <c r="K8" i="6"/>
  <c r="J18" i="6"/>
  <c r="K18" i="6"/>
  <c r="L15" i="2"/>
  <c r="E14" i="6"/>
  <c r="I14" i="6" s="1"/>
  <c r="L16" i="2"/>
  <c r="E15" i="6"/>
  <c r="I15" i="6" s="1"/>
  <c r="G6" i="3"/>
  <c r="K6" i="3" s="1"/>
  <c r="H6" i="3"/>
  <c r="I6" i="3" s="1"/>
  <c r="E5" i="7" s="1"/>
  <c r="E3" i="13"/>
  <c r="F7" i="9"/>
  <c r="E7" i="9"/>
  <c r="H7" i="9"/>
  <c r="I7" i="9" s="1"/>
  <c r="L7" i="9" s="1"/>
  <c r="F6" i="9"/>
  <c r="G6" i="9"/>
  <c r="K6" i="9" s="1"/>
  <c r="F3" i="9"/>
  <c r="E3" i="8"/>
  <c r="E7" i="8"/>
  <c r="F7" i="8"/>
  <c r="F3" i="8"/>
  <c r="F6" i="8"/>
  <c r="G6" i="8"/>
  <c r="K6" i="8" s="1"/>
  <c r="G6" i="15"/>
  <c r="K6" i="15" s="1"/>
  <c r="H6" i="15"/>
  <c r="I6" i="15" s="1"/>
  <c r="L6" i="15" s="1"/>
  <c r="H6" i="14"/>
  <c r="I6" i="14" s="1"/>
  <c r="L6" i="14" s="1"/>
  <c r="E7" i="13"/>
  <c r="H6" i="12"/>
  <c r="I6" i="12" s="1"/>
  <c r="L6" i="12" s="1"/>
  <c r="G6" i="11"/>
  <c r="K6" i="11" s="1"/>
  <c r="H6" i="11"/>
  <c r="I6" i="11" s="1"/>
  <c r="J6" i="11" s="1"/>
  <c r="G6" i="10"/>
  <c r="K6" i="10" s="1"/>
  <c r="H6" i="10"/>
  <c r="I6" i="10" s="1"/>
  <c r="L6" i="10" s="1"/>
  <c r="I6" i="7"/>
  <c r="J6" i="7" s="1"/>
  <c r="G6" i="5"/>
  <c r="K6" i="5" s="1"/>
  <c r="H6" i="5"/>
  <c r="I6" i="5" s="1"/>
  <c r="G5" i="7" s="1"/>
  <c r="J15" i="2"/>
  <c r="J16" i="2"/>
  <c r="L19" i="2"/>
  <c r="J19" i="2"/>
  <c r="J9" i="2"/>
  <c r="L9" i="2"/>
  <c r="L13" i="2"/>
  <c r="J13" i="2"/>
  <c r="L4" i="9"/>
  <c r="J4" i="9"/>
  <c r="J7" i="9"/>
  <c r="L6" i="9"/>
  <c r="J6" i="9"/>
  <c r="L3" i="9"/>
  <c r="J3" i="9"/>
  <c r="L8" i="9"/>
  <c r="J8" i="9"/>
  <c r="E5" i="9"/>
  <c r="G5" i="9"/>
  <c r="K5" i="9" s="1"/>
  <c r="E4" i="9"/>
  <c r="H5" i="9"/>
  <c r="I5" i="9" s="1"/>
  <c r="E8" i="9"/>
  <c r="F4" i="9"/>
  <c r="F8" i="9"/>
  <c r="G4" i="9"/>
  <c r="K4" i="9" s="1"/>
  <c r="G8" i="9"/>
  <c r="K8" i="9" s="1"/>
  <c r="L7" i="8"/>
  <c r="J7" i="8"/>
  <c r="L4" i="8"/>
  <c r="J4" i="8"/>
  <c r="L3" i="8"/>
  <c r="J3" i="8"/>
  <c r="L8" i="8"/>
  <c r="J8" i="8"/>
  <c r="H5" i="8"/>
  <c r="I5" i="8" s="1"/>
  <c r="E8" i="8"/>
  <c r="F4" i="8"/>
  <c r="F8" i="8"/>
  <c r="G4" i="8"/>
  <c r="K4" i="8" s="1"/>
  <c r="G8" i="8"/>
  <c r="K8" i="8" s="1"/>
  <c r="G3" i="8"/>
  <c r="K3" i="8" s="1"/>
  <c r="G7" i="8"/>
  <c r="K7" i="8" s="1"/>
  <c r="E5" i="8"/>
  <c r="F5" i="8"/>
  <c r="E4" i="8"/>
  <c r="L3" i="15"/>
  <c r="J3" i="15"/>
  <c r="L7" i="15"/>
  <c r="J7" i="15"/>
  <c r="E5" i="15"/>
  <c r="F5" i="15"/>
  <c r="H4" i="15"/>
  <c r="I4" i="15" s="1"/>
  <c r="E7" i="15"/>
  <c r="H8" i="15"/>
  <c r="I8" i="15" s="1"/>
  <c r="F3" i="15"/>
  <c r="F7" i="15"/>
  <c r="H5" i="15"/>
  <c r="I5" i="15" s="1"/>
  <c r="E8" i="15"/>
  <c r="G7" i="15"/>
  <c r="K7" i="15" s="1"/>
  <c r="E4" i="15"/>
  <c r="E3" i="15"/>
  <c r="G3" i="15"/>
  <c r="K3" i="15" s="1"/>
  <c r="E6" i="15"/>
  <c r="F4" i="15"/>
  <c r="F8" i="15"/>
  <c r="E5" i="14"/>
  <c r="F5" i="14"/>
  <c r="F4" i="14"/>
  <c r="F8" i="14"/>
  <c r="G7" i="14"/>
  <c r="K7" i="14" s="1"/>
  <c r="H5" i="14"/>
  <c r="I5" i="14" s="1"/>
  <c r="E8" i="14"/>
  <c r="E3" i="14"/>
  <c r="H4" i="14"/>
  <c r="I4" i="14" s="1"/>
  <c r="H8" i="14"/>
  <c r="I8" i="14" s="1"/>
  <c r="F3" i="14"/>
  <c r="F7" i="14"/>
  <c r="H3" i="14"/>
  <c r="I3" i="14" s="1"/>
  <c r="E6" i="14"/>
  <c r="H7" i="14"/>
  <c r="I7" i="14" s="1"/>
  <c r="E4" i="14"/>
  <c r="L4" i="13"/>
  <c r="J4" i="13"/>
  <c r="L6" i="13"/>
  <c r="J6" i="13"/>
  <c r="L3" i="13"/>
  <c r="J3" i="13"/>
  <c r="L8" i="13"/>
  <c r="J8" i="13"/>
  <c r="F5" i="13"/>
  <c r="H5" i="13"/>
  <c r="I5" i="13" s="1"/>
  <c r="G4" i="13"/>
  <c r="K4" i="13" s="1"/>
  <c r="G8" i="13"/>
  <c r="K8" i="13" s="1"/>
  <c r="E5" i="13"/>
  <c r="E8" i="13"/>
  <c r="F8" i="13"/>
  <c r="G7" i="13"/>
  <c r="K7" i="13" s="1"/>
  <c r="E4" i="13"/>
  <c r="F3" i="13"/>
  <c r="G3" i="13"/>
  <c r="K3" i="13" s="1"/>
  <c r="E6" i="13"/>
  <c r="H7" i="13"/>
  <c r="I7" i="13" s="1"/>
  <c r="F4" i="13"/>
  <c r="L3" i="12"/>
  <c r="J3" i="12"/>
  <c r="J7" i="12"/>
  <c r="L7" i="12"/>
  <c r="G5" i="12"/>
  <c r="K5" i="12" s="1"/>
  <c r="E4" i="12"/>
  <c r="F8" i="12"/>
  <c r="G8" i="12"/>
  <c r="K8" i="12" s="1"/>
  <c r="E3" i="12"/>
  <c r="H4" i="12"/>
  <c r="I4" i="12" s="1"/>
  <c r="E7" i="12"/>
  <c r="H8" i="12"/>
  <c r="I8" i="12" s="1"/>
  <c r="F3" i="12"/>
  <c r="F7" i="12"/>
  <c r="H5" i="12"/>
  <c r="I5" i="12" s="1"/>
  <c r="F4" i="12"/>
  <c r="G7" i="12"/>
  <c r="K7" i="12" s="1"/>
  <c r="E5" i="12"/>
  <c r="G3" i="12"/>
  <c r="K3" i="12" s="1"/>
  <c r="E6" i="12"/>
  <c r="J3" i="11"/>
  <c r="L3" i="11"/>
  <c r="L6" i="11"/>
  <c r="L4" i="11"/>
  <c r="J4" i="11"/>
  <c r="L8" i="11"/>
  <c r="J8" i="11"/>
  <c r="E5" i="11"/>
  <c r="G5" i="11"/>
  <c r="K5" i="11" s="1"/>
  <c r="H5" i="11"/>
  <c r="I5" i="11" s="1"/>
  <c r="E8" i="11"/>
  <c r="F8" i="11"/>
  <c r="G8" i="11"/>
  <c r="K8" i="11" s="1"/>
  <c r="F7" i="11"/>
  <c r="E4" i="11"/>
  <c r="F4" i="11"/>
  <c r="G7" i="11"/>
  <c r="K7" i="11" s="1"/>
  <c r="G4" i="11"/>
  <c r="K4" i="11" s="1"/>
  <c r="E3" i="11"/>
  <c r="F3" i="11"/>
  <c r="G3" i="11"/>
  <c r="K3" i="11" s="1"/>
  <c r="E6" i="11"/>
  <c r="H7" i="11"/>
  <c r="I7" i="11" s="1"/>
  <c r="J5" i="10"/>
  <c r="L5" i="10"/>
  <c r="H4" i="10"/>
  <c r="I4" i="10" s="1"/>
  <c r="H8" i="10"/>
  <c r="I8" i="10" s="1"/>
  <c r="F7" i="10"/>
  <c r="E4" i="10"/>
  <c r="E8" i="10"/>
  <c r="F4" i="10"/>
  <c r="G7" i="10"/>
  <c r="K7" i="10" s="1"/>
  <c r="E5" i="10"/>
  <c r="F5" i="10"/>
  <c r="G8" i="10"/>
  <c r="K8" i="10" s="1"/>
  <c r="E6" i="10"/>
  <c r="H7" i="10"/>
  <c r="I7" i="10" s="1"/>
  <c r="G5" i="10"/>
  <c r="K5" i="10" s="1"/>
  <c r="L7" i="5"/>
  <c r="J7" i="5"/>
  <c r="G8" i="5"/>
  <c r="K8" i="5" s="1"/>
  <c r="F5" i="5"/>
  <c r="E3" i="5"/>
  <c r="H4" i="5"/>
  <c r="I4" i="5" s="1"/>
  <c r="G3" i="7" s="1"/>
  <c r="E7" i="5"/>
  <c r="H8" i="5"/>
  <c r="I8" i="5" s="1"/>
  <c r="G7" i="7" s="1"/>
  <c r="I7" i="7" s="1"/>
  <c r="J7" i="7" s="1"/>
  <c r="E5" i="5"/>
  <c r="E8" i="5"/>
  <c r="G7" i="5"/>
  <c r="K7" i="5" s="1"/>
  <c r="H5" i="5"/>
  <c r="I5" i="5" s="1"/>
  <c r="G4" i="7" s="1"/>
  <c r="F4" i="5"/>
  <c r="G4" i="5"/>
  <c r="K4" i="5" s="1"/>
  <c r="F7" i="5"/>
  <c r="G3" i="5"/>
  <c r="K3" i="5" s="1"/>
  <c r="H3" i="5"/>
  <c r="I3" i="5" s="1"/>
  <c r="G2" i="7" s="1"/>
  <c r="I2" i="7" s="1"/>
  <c r="J2" i="7" s="1"/>
  <c r="E6" i="5"/>
  <c r="G6" i="4"/>
  <c r="K6" i="4" s="1"/>
  <c r="H6" i="4"/>
  <c r="I6" i="4" s="1"/>
  <c r="G5" i="6" s="1"/>
  <c r="L4" i="4"/>
  <c r="J4" i="4"/>
  <c r="L7" i="4"/>
  <c r="J7" i="4"/>
  <c r="G8" i="4"/>
  <c r="K8" i="4" s="1"/>
  <c r="E5" i="4"/>
  <c r="E4" i="4"/>
  <c r="F4" i="4"/>
  <c r="F8" i="4"/>
  <c r="G4" i="4"/>
  <c r="K4" i="4" s="1"/>
  <c r="H8" i="4"/>
  <c r="I8" i="4" s="1"/>
  <c r="G7" i="6" s="1"/>
  <c r="F3" i="4"/>
  <c r="F7" i="4"/>
  <c r="G7" i="4"/>
  <c r="K7" i="4" s="1"/>
  <c r="H5" i="4"/>
  <c r="I5" i="4" s="1"/>
  <c r="G4" i="6" s="1"/>
  <c r="E3" i="4"/>
  <c r="E7" i="4"/>
  <c r="H3" i="4"/>
  <c r="I3" i="4" s="1"/>
  <c r="G2" i="6" s="1"/>
  <c r="E6" i="4"/>
  <c r="F5" i="4"/>
  <c r="L3" i="3"/>
  <c r="J3" i="3"/>
  <c r="L7" i="3"/>
  <c r="J7" i="3"/>
  <c r="J6" i="3"/>
  <c r="L8" i="3"/>
  <c r="J8" i="3"/>
  <c r="H5" i="3"/>
  <c r="I5" i="3" s="1"/>
  <c r="E4" i="7" s="1"/>
  <c r="H4" i="3"/>
  <c r="I4" i="3" s="1"/>
  <c r="E3" i="7" s="1"/>
  <c r="E7" i="3"/>
  <c r="G3" i="3"/>
  <c r="K3" i="3" s="1"/>
  <c r="F5" i="3"/>
  <c r="G5" i="3"/>
  <c r="K5" i="3" s="1"/>
  <c r="E4" i="3"/>
  <c r="E8" i="3"/>
  <c r="F4" i="3"/>
  <c r="F8" i="3"/>
  <c r="G8" i="3"/>
  <c r="K8" i="3" s="1"/>
  <c r="E3" i="3"/>
  <c r="F3" i="3"/>
  <c r="F7" i="3"/>
  <c r="G7" i="3"/>
  <c r="K7" i="3" s="1"/>
  <c r="E6" i="3"/>
  <c r="L6" i="3" l="1"/>
  <c r="J6" i="15"/>
  <c r="J6" i="8"/>
  <c r="J6" i="10"/>
  <c r="J6" i="5"/>
  <c r="L6" i="5"/>
  <c r="J14" i="6"/>
  <c r="K14" i="6"/>
  <c r="K15" i="6"/>
  <c r="J15" i="6"/>
  <c r="I5" i="7"/>
  <c r="J5" i="7" s="1"/>
  <c r="I3" i="7"/>
  <c r="J3" i="7" s="1"/>
  <c r="K6" i="7"/>
  <c r="I4" i="7"/>
  <c r="J4" i="7" s="1"/>
  <c r="J6" i="14"/>
  <c r="J6" i="12"/>
  <c r="K7" i="7"/>
  <c r="J6" i="4"/>
  <c r="L6" i="4"/>
  <c r="K2" i="7"/>
  <c r="L5" i="9"/>
  <c r="J5" i="9"/>
  <c r="L5" i="8"/>
  <c r="J5" i="8"/>
  <c r="L8" i="15"/>
  <c r="J8" i="15"/>
  <c r="J5" i="15"/>
  <c r="L5" i="15"/>
  <c r="L4" i="15"/>
  <c r="J4" i="15"/>
  <c r="L8" i="14"/>
  <c r="J8" i="14"/>
  <c r="L3" i="14"/>
  <c r="J3" i="14"/>
  <c r="L4" i="14"/>
  <c r="J4" i="14"/>
  <c r="L5" i="14"/>
  <c r="J5" i="14"/>
  <c r="L7" i="14"/>
  <c r="J7" i="14"/>
  <c r="L7" i="13"/>
  <c r="J7" i="13"/>
  <c r="L5" i="13"/>
  <c r="J5" i="13"/>
  <c r="J5" i="12"/>
  <c r="L5" i="12"/>
  <c r="L8" i="12"/>
  <c r="J8" i="12"/>
  <c r="L4" i="12"/>
  <c r="J4" i="12"/>
  <c r="J7" i="11"/>
  <c r="L7" i="11"/>
  <c r="L5" i="11"/>
  <c r="J5" i="11"/>
  <c r="J7" i="10"/>
  <c r="L7" i="10"/>
  <c r="L4" i="10"/>
  <c r="J4" i="10"/>
  <c r="L8" i="10"/>
  <c r="J8" i="10"/>
  <c r="L4" i="5"/>
  <c r="J4" i="5"/>
  <c r="L3" i="5"/>
  <c r="J3" i="5"/>
  <c r="L8" i="5"/>
  <c r="J8" i="5"/>
  <c r="L5" i="5"/>
  <c r="J5" i="5"/>
  <c r="J5" i="4"/>
  <c r="L5" i="4"/>
  <c r="L3" i="4"/>
  <c r="J3" i="4"/>
  <c r="L8" i="4"/>
  <c r="J8" i="4"/>
  <c r="L5" i="3"/>
  <c r="J5" i="3"/>
  <c r="L4" i="3"/>
  <c r="J4" i="3"/>
  <c r="K5" i="7" l="1"/>
  <c r="K4" i="7"/>
  <c r="K3" i="7"/>
  <c r="B2" i="6"/>
  <c r="B5" i="6"/>
  <c r="G7" i="2" l="1"/>
  <c r="K7" i="2" s="1"/>
  <c r="B3" i="6"/>
  <c r="H5" i="6"/>
  <c r="F2" i="6"/>
  <c r="D2" i="6"/>
  <c r="H2" i="6"/>
  <c r="B4" i="6"/>
  <c r="B6" i="6"/>
  <c r="B7" i="6"/>
  <c r="F4" i="6" l="1"/>
  <c r="F3" i="6"/>
  <c r="H7" i="2"/>
  <c r="I7" i="2" s="1"/>
  <c r="J7" i="2" s="1"/>
  <c r="F7" i="2"/>
  <c r="D5" i="2"/>
  <c r="F5" i="2" s="1"/>
  <c r="D6" i="2"/>
  <c r="E6" i="2" s="1"/>
  <c r="E7" i="2"/>
  <c r="D4" i="2"/>
  <c r="E4" i="2" s="1"/>
  <c r="D8" i="2"/>
  <c r="H8" i="2" s="1"/>
  <c r="I8" i="2" s="1"/>
  <c r="H3" i="6"/>
  <c r="D3" i="6"/>
  <c r="D5" i="6"/>
  <c r="F5" i="6"/>
  <c r="H4" i="6"/>
  <c r="D4" i="6"/>
  <c r="F7" i="6"/>
  <c r="F6" i="6"/>
  <c r="D6" i="6"/>
  <c r="H6" i="6"/>
  <c r="D7" i="6"/>
  <c r="H7" i="6"/>
  <c r="E5" i="2" l="1"/>
  <c r="E8" i="2"/>
  <c r="F8" i="2"/>
  <c r="G8" i="2"/>
  <c r="K8" i="2" s="1"/>
  <c r="L7" i="2"/>
  <c r="E6" i="6"/>
  <c r="I6" i="6" s="1"/>
  <c r="J6" i="6" s="1"/>
  <c r="H5" i="2"/>
  <c r="I5" i="2" s="1"/>
  <c r="L5" i="2" s="1"/>
  <c r="F6" i="2"/>
  <c r="H4" i="2"/>
  <c r="G5" i="2"/>
  <c r="K5" i="2" s="1"/>
  <c r="H6" i="2"/>
  <c r="I6" i="2" s="1"/>
  <c r="L6" i="2" s="1"/>
  <c r="G6" i="2"/>
  <c r="K6" i="2" s="1"/>
  <c r="I3" i="2"/>
  <c r="F4" i="2"/>
  <c r="G4" i="2"/>
  <c r="K4" i="2" s="1"/>
  <c r="F3" i="2"/>
  <c r="E7" i="6"/>
  <c r="J8" i="2"/>
  <c r="L8" i="2"/>
  <c r="I4" i="2" l="1"/>
  <c r="E3" i="6" s="1"/>
  <c r="I3" i="6" s="1"/>
  <c r="E2" i="6"/>
  <c r="I2" i="6" s="1"/>
  <c r="J3" i="2"/>
  <c r="E4" i="6"/>
  <c r="I4" i="6" s="1"/>
  <c r="J4" i="6" s="1"/>
  <c r="L3" i="2"/>
  <c r="J5" i="2"/>
  <c r="E5" i="6"/>
  <c r="I5" i="6" s="1"/>
  <c r="J5" i="6" s="1"/>
  <c r="J6" i="2"/>
  <c r="I7" i="6"/>
  <c r="J7" i="6" s="1"/>
  <c r="K6" i="6"/>
  <c r="L4" i="2" l="1"/>
  <c r="J4" i="2"/>
  <c r="J3" i="6"/>
  <c r="K3" i="6"/>
  <c r="J2" i="6"/>
  <c r="K2" i="6"/>
  <c r="K5" i="6"/>
  <c r="K7" i="6"/>
  <c r="K4" i="6"/>
</calcChain>
</file>

<file path=xl/sharedStrings.xml><?xml version="1.0" encoding="utf-8"?>
<sst xmlns="http://schemas.openxmlformats.org/spreadsheetml/2006/main" count="326" uniqueCount="69">
  <si>
    <t>Δ [%]</t>
  </si>
  <si>
    <t>t_pN</t>
  </si>
  <si>
    <t>N</t>
  </si>
  <si>
    <t>p</t>
  </si>
  <si>
    <t>x_ист [м.е.]</t>
  </si>
  <si>
    <t>N_мин</t>
  </si>
  <si>
    <t>δx [%]</t>
  </si>
  <si>
    <t>Δx [м.е.]</t>
  </si>
  <si>
    <t>σ0 [м.е.]</t>
  </si>
  <si>
    <t>kв [%]</t>
  </si>
  <si>
    <t>x_ср-3*σ [м.е.]</t>
  </si>
  <si>
    <t>x_ср+3*σ [м.е.]</t>
  </si>
  <si>
    <t>σ [м.е.]</t>
  </si>
  <si>
    <t>Σ((Δxi)^2) [м.е.^2]</t>
  </si>
  <si>
    <t>x_ср [м.е.]</t>
  </si>
  <si>
    <t>Серия экспериментов\статистика</t>
  </si>
  <si>
    <t>y_ист [м.е.]</t>
  </si>
  <si>
    <t>δy [%]</t>
  </si>
  <si>
    <t>Δy [м.е.]</t>
  </si>
  <si>
    <t>y_ср-3*σ [м.е.]</t>
  </si>
  <si>
    <t>y_ср+3*σ [м.е.]</t>
  </si>
  <si>
    <t>Σ((Δyi)^2) [м.е.^2]</t>
  </si>
  <si>
    <t>y_ср [м.е.]</t>
  </si>
  <si>
    <t>z_ист [доли]</t>
  </si>
  <si>
    <t>δz [%]</t>
  </si>
  <si>
    <t>Δz [доли]</t>
  </si>
  <si>
    <t>dz/dy(y=y_ср)</t>
  </si>
  <si>
    <t>dz/dx(x=x_ср)</t>
  </si>
  <si>
    <t>z_ср [доли]</t>
  </si>
  <si>
    <t>t_ср [с]</t>
  </si>
  <si>
    <t>σ0 [с]</t>
  </si>
  <si>
    <t>Δt [с]</t>
  </si>
  <si>
    <t>δt [%]</t>
  </si>
  <si>
    <t>t_ист [с]</t>
  </si>
  <si>
    <t>m_ср [МБ]</t>
  </si>
  <si>
    <t>Σ((Δmi)^2) [МБ^2]</t>
  </si>
  <si>
    <t>σ [МБ]</t>
  </si>
  <si>
    <t>m_ср+3*σ [МБ]</t>
  </si>
  <si>
    <t>m_ср-3*σ [МБ]</t>
  </si>
  <si>
    <t>σ0 [МБ]</t>
  </si>
  <si>
    <t>Δm [МБ]</t>
  </si>
  <si>
    <t>δm [%]</t>
  </si>
  <si>
    <t>m_ист [МБ]</t>
  </si>
  <si>
    <t>δl [%]</t>
  </si>
  <si>
    <t>Σ((Δti)^2) [с^2]</t>
  </si>
  <si>
    <t>t_ср+3*σ [с]</t>
  </si>
  <si>
    <t>t_ср-3*σ [с]</t>
  </si>
  <si>
    <t>l_ср [1/м.е.]</t>
  </si>
  <si>
    <t>Σ((Δli)^2) [1/м.е.^2]</t>
  </si>
  <si>
    <t>σ [1/м.е.]</t>
  </si>
  <si>
    <t>l_ср+3*σ [1/м.е.]</t>
  </si>
  <si>
    <t>l_ср-3*σ [1/м.е.]</t>
  </si>
  <si>
    <t>σ0 [1/м.е.]</t>
  </si>
  <si>
    <t>Δl [1/м.е.]</t>
  </si>
  <si>
    <t>l_ист [1/м.е.]</t>
  </si>
  <si>
    <t>Σ((Δli)^2) [1/м.е.]</t>
  </si>
  <si>
    <t>l_ср+3*σ[1/м.е.]</t>
  </si>
  <si>
    <t>l_ср-3*σ[1/м.е.]</t>
  </si>
  <si>
    <t>σ0[1/м.е.]</t>
  </si>
  <si>
    <t>l_ист[1/м.е.]</t>
  </si>
  <si>
    <t>Δl[1/м.е.]</t>
  </si>
  <si>
    <t>Спец. 1</t>
  </si>
  <si>
    <t>Спец. 2</t>
  </si>
  <si>
    <t>Спец. 3</t>
  </si>
  <si>
    <t>Спец. 4</t>
  </si>
  <si>
    <t xml:space="preserve"> Спец. 5</t>
  </si>
  <si>
    <t xml:space="preserve"> Спец. 6</t>
  </si>
  <si>
    <t xml:space="preserve"> Спец. 7</t>
  </si>
  <si>
    <t xml:space="preserve"> Спец.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</si>
</sst>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49" fontId="1" fillId="0" borderId="3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/>
    <xf numFmtId="164" fontId="1" fillId="3" borderId="2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vertical="center"/>
    </xf>
    <xf numFmtId="2" fontId="0" fillId="3" borderId="1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078A-6DC1-470B-BD34-4233A78E8493}">
  <sheetPr codeName="Лист4"/>
  <dimension ref="A1:V88"/>
  <sheetViews>
    <sheetView topLeftCell="A30" workbookViewId="0">
      <pane xSplit="1" topLeftCell="B1" activePane="topRight" state="frozen"/>
      <selection activeCell="D22" sqref="D22"/>
      <selection pane="topRight" activeCell="I82" sqref="I82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8.140625" style="22" customWidth="1"/>
    <col min="6" max="6" width="15.42578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14</v>
      </c>
      <c r="C1" s="25" t="s">
        <v>13</v>
      </c>
      <c r="D1" s="25" t="s">
        <v>12</v>
      </c>
      <c r="E1" s="25" t="s">
        <v>11</v>
      </c>
      <c r="F1" s="25" t="s">
        <v>10</v>
      </c>
      <c r="G1" s="25" t="s">
        <v>9</v>
      </c>
      <c r="H1" s="25" t="s">
        <v>8</v>
      </c>
      <c r="I1" s="25" t="s">
        <v>7</v>
      </c>
      <c r="J1" s="25" t="s">
        <v>6</v>
      </c>
      <c r="K1" s="26" t="s">
        <v>5</v>
      </c>
      <c r="L1" s="26" t="s">
        <v>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3418</v>
      </c>
      <c r="C3" s="21">
        <v>3480</v>
      </c>
      <c r="D3" s="21">
        <f>POWER(C3/($O$5-1),0.5)</f>
        <v>10.954451150103322</v>
      </c>
      <c r="E3" s="21">
        <f>B3+3*D3</f>
        <v>3450.8633534503101</v>
      </c>
      <c r="F3" s="21">
        <f>B3-3*D3</f>
        <v>3385.1366465496899</v>
      </c>
      <c r="G3" s="21">
        <f>D3/B3*100</f>
        <v>0.32049301199834179</v>
      </c>
      <c r="H3" s="21">
        <f>D3/POWER($O$5, 0.5)</f>
        <v>2</v>
      </c>
      <c r="I3" s="21">
        <f t="shared" ref="I3:I8" si="0">H3*$P$5</f>
        <v>4</v>
      </c>
      <c r="J3" s="21">
        <f>I3/B3*100</f>
        <v>0.11702750146284377</v>
      </c>
      <c r="K3" s="30">
        <f>ROUNDUP(POWER(G3*$P$5/$Q$5,2),0)</f>
        <v>1</v>
      </c>
      <c r="L3" s="30" t="str">
        <f xml:space="preserve"> B3 &amp; " ± " &amp; (ROUNDUP(I3, 3))</f>
        <v>3418 ± 4</v>
      </c>
    </row>
    <row r="4" spans="1:17" x14ac:dyDescent="0.25">
      <c r="A4" s="16">
        <f>A3+1</f>
        <v>2</v>
      </c>
      <c r="D4" s="22">
        <f>POWER(C4/($O$5-1),0.5)</f>
        <v>0</v>
      </c>
      <c r="E4" s="22">
        <f>B4+3*D4</f>
        <v>0</v>
      </c>
      <c r="F4" s="22">
        <f>B4-3*D4</f>
        <v>0</v>
      </c>
      <c r="G4" s="22" t="e">
        <f>D4/B4*100</f>
        <v>#DIV/0!</v>
      </c>
      <c r="H4" s="22">
        <f t="shared" ref="H4:H8" si="1">D4/POWER($O$5, 0.5)</f>
        <v>0</v>
      </c>
      <c r="I4" s="22">
        <f>H4*$P$5</f>
        <v>0</v>
      </c>
      <c r="J4" s="22" t="e">
        <f>I4/B4*100</f>
        <v>#DIV/0!</v>
      </c>
      <c r="K4" s="23" t="e">
        <f t="shared" ref="K4:K8" si="2">ROUNDUP(POWER(G4*$P$5/$Q$5,2),0)</f>
        <v>#DIV/0!</v>
      </c>
      <c r="L4" s="23" t="str">
        <f xml:space="preserve"> B4 &amp; " ± " &amp; (ROUNDUP(I4, 3))</f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3">A4+1</f>
        <v>3</v>
      </c>
      <c r="D5" s="22">
        <f t="shared" ref="D5:D7" si="4">POWER(C5/($O$5-1),0.5)</f>
        <v>0</v>
      </c>
      <c r="E5" s="22">
        <f t="shared" ref="E5:E7" si="5">B5+3*D5</f>
        <v>0</v>
      </c>
      <c r="F5" s="22">
        <f t="shared" ref="F5:F7" si="6">B5-3*D5</f>
        <v>0</v>
      </c>
      <c r="G5" s="22" t="e">
        <f t="shared" ref="G5:G7" si="7">D5/B5*100</f>
        <v>#DIV/0!</v>
      </c>
      <c r="H5" s="22">
        <f t="shared" si="1"/>
        <v>0</v>
      </c>
      <c r="I5" s="22">
        <f t="shared" si="0"/>
        <v>0</v>
      </c>
      <c r="J5" s="22" t="e">
        <f t="shared" ref="J5:J7" si="8">I5/B5*100</f>
        <v>#DIV/0!</v>
      </c>
      <c r="K5" s="23" t="e">
        <f t="shared" si="2"/>
        <v>#DIV/0!</v>
      </c>
      <c r="L5" s="23" t="str">
        <f t="shared" ref="L5:L7" si="9" xml:space="preserve"> B5 &amp; " ± " &amp; (ROUNDUP(I5, 3))</f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3"/>
        <v>4</v>
      </c>
      <c r="D6" s="22">
        <f t="shared" si="4"/>
        <v>0</v>
      </c>
      <c r="E6" s="22">
        <f t="shared" si="5"/>
        <v>0</v>
      </c>
      <c r="F6" s="22">
        <f t="shared" si="6"/>
        <v>0</v>
      </c>
      <c r="G6" s="22" t="e">
        <f t="shared" si="7"/>
        <v>#DIV/0!</v>
      </c>
      <c r="H6" s="22">
        <f t="shared" si="1"/>
        <v>0</v>
      </c>
      <c r="I6" s="22">
        <f t="shared" si="0"/>
        <v>0</v>
      </c>
      <c r="J6" s="22" t="e">
        <f t="shared" si="8"/>
        <v>#DIV/0!</v>
      </c>
      <c r="K6" s="23" t="e">
        <f t="shared" si="2"/>
        <v>#DIV/0!</v>
      </c>
      <c r="L6" s="23" t="str">
        <f t="shared" si="9"/>
        <v xml:space="preserve"> ± 0</v>
      </c>
      <c r="O6" s="31">
        <v>10</v>
      </c>
      <c r="P6" s="31">
        <v>2.77</v>
      </c>
    </row>
    <row r="7" spans="1:17" x14ac:dyDescent="0.25">
      <c r="A7" s="16">
        <f t="shared" si="3"/>
        <v>5</v>
      </c>
      <c r="D7" s="22">
        <f t="shared" si="4"/>
        <v>0</v>
      </c>
      <c r="E7" s="22">
        <f t="shared" si="5"/>
        <v>0</v>
      </c>
      <c r="F7" s="22">
        <f t="shared" si="6"/>
        <v>0</v>
      </c>
      <c r="G7" s="22" t="e">
        <f t="shared" si="7"/>
        <v>#DIV/0!</v>
      </c>
      <c r="H7" s="22">
        <f t="shared" si="1"/>
        <v>0</v>
      </c>
      <c r="I7" s="22">
        <f t="shared" si="0"/>
        <v>0</v>
      </c>
      <c r="J7" s="22" t="e">
        <f t="shared" si="8"/>
        <v>#DIV/0!</v>
      </c>
      <c r="K7" s="23" t="e">
        <f t="shared" si="2"/>
        <v>#DIV/0!</v>
      </c>
      <c r="L7" s="23" t="str">
        <f t="shared" si="9"/>
        <v xml:space="preserve"> ± 0</v>
      </c>
      <c r="O7" s="31">
        <v>30</v>
      </c>
      <c r="P7" s="35">
        <v>2</v>
      </c>
    </row>
    <row r="8" spans="1:17" x14ac:dyDescent="0.25">
      <c r="A8" s="17">
        <f t="shared" si="3"/>
        <v>6</v>
      </c>
      <c r="B8" s="22">
        <v>3410</v>
      </c>
      <c r="C8" s="22">
        <v>29400</v>
      </c>
      <c r="D8" s="22">
        <f>POWER(C8/($O$5-1),0.5)</f>
        <v>31.840117830313943</v>
      </c>
      <c r="E8" s="22">
        <f>B8+3*D8</f>
        <v>3505.5203534909419</v>
      </c>
      <c r="F8" s="22">
        <f>B8-3*D8</f>
        <v>3314.4796465090581</v>
      </c>
      <c r="G8" s="22">
        <f>D8/B8*100</f>
        <v>0.93372779561037944</v>
      </c>
      <c r="H8" s="22">
        <f t="shared" si="1"/>
        <v>5.8131835897617981</v>
      </c>
      <c r="I8" s="22">
        <f t="shared" si="0"/>
        <v>11.626367179523596</v>
      </c>
      <c r="J8" s="22">
        <f>I8/B8*100</f>
        <v>0.3409491841502521</v>
      </c>
      <c r="K8" s="23">
        <f t="shared" si="2"/>
        <v>1</v>
      </c>
      <c r="L8" s="23" t="str">
        <f xml:space="preserve"> B8 &amp; " ± " &amp; (ROUNDUP(I8, 3))</f>
        <v>3410 ± 11,627</v>
      </c>
    </row>
    <row r="9" spans="1:17" x14ac:dyDescent="0.25">
      <c r="A9" s="16">
        <f t="shared" si="3"/>
        <v>7</v>
      </c>
      <c r="B9" s="21"/>
      <c r="C9" s="21"/>
      <c r="D9" s="21">
        <f>POWER(C9/($O$5-1),0.5)</f>
        <v>0</v>
      </c>
      <c r="E9" s="21">
        <f t="shared" ref="E9:E20" si="10">B9+3*D9</f>
        <v>0</v>
      </c>
      <c r="F9" s="21">
        <f t="shared" ref="F9:F20" si="11">B9-3*D9</f>
        <v>0</v>
      </c>
      <c r="G9" s="21" t="e">
        <f t="shared" ref="G9:G20" si="12">D9/B9*100</f>
        <v>#DIV/0!</v>
      </c>
      <c r="H9" s="21">
        <f t="shared" ref="H9:H20" si="13">D9/POWER($O$5, 0.5)</f>
        <v>0</v>
      </c>
      <c r="I9" s="21">
        <f t="shared" ref="I9:I20" si="14">H9*$P$5</f>
        <v>0</v>
      </c>
      <c r="J9" s="21" t="e">
        <f t="shared" ref="J9:J20" si="15">I9/B9*100</f>
        <v>#DIV/0!</v>
      </c>
      <c r="K9" s="30" t="e">
        <f t="shared" ref="K9:K20" si="16">ROUNDUP(POWER(G9*$P$5/$Q$5,2),0)</f>
        <v>#DIV/0!</v>
      </c>
      <c r="L9" s="30" t="str">
        <f xml:space="preserve"> B9 &amp; " ± " &amp; (ROUNDUP(I9, 3))</f>
        <v xml:space="preserve"> ± 0</v>
      </c>
    </row>
    <row r="10" spans="1:17" x14ac:dyDescent="0.25">
      <c r="A10" s="16">
        <f t="shared" si="3"/>
        <v>8</v>
      </c>
      <c r="D10" s="22">
        <f t="shared" ref="D10:D14" si="17">POWER(C10/($O$5-1),0.5)</f>
        <v>0</v>
      </c>
      <c r="E10" s="22">
        <f t="shared" si="10"/>
        <v>0</v>
      </c>
      <c r="F10" s="22">
        <f t="shared" si="11"/>
        <v>0</v>
      </c>
      <c r="G10" s="22" t="e">
        <f t="shared" si="12"/>
        <v>#DIV/0!</v>
      </c>
      <c r="H10" s="22">
        <f t="shared" si="13"/>
        <v>0</v>
      </c>
      <c r="I10" s="22">
        <f t="shared" si="14"/>
        <v>0</v>
      </c>
      <c r="J10" s="22" t="e">
        <f t="shared" si="15"/>
        <v>#DIV/0!</v>
      </c>
      <c r="K10" s="23" t="e">
        <f t="shared" si="16"/>
        <v>#DIV/0!</v>
      </c>
      <c r="L10" s="23" t="str">
        <f t="shared" ref="L10:L14" si="18" xml:space="preserve"> B10 &amp; " ± " &amp; (ROUNDUP(I10, 3))</f>
        <v xml:space="preserve"> ± 0</v>
      </c>
    </row>
    <row r="11" spans="1:17" x14ac:dyDescent="0.25">
      <c r="A11" s="16">
        <f t="shared" si="3"/>
        <v>9</v>
      </c>
      <c r="D11" s="22">
        <f t="shared" si="17"/>
        <v>0</v>
      </c>
      <c r="E11" s="22">
        <f t="shared" si="10"/>
        <v>0</v>
      </c>
      <c r="F11" s="22">
        <f t="shared" si="11"/>
        <v>0</v>
      </c>
      <c r="G11" s="22" t="e">
        <f t="shared" si="12"/>
        <v>#DIV/0!</v>
      </c>
      <c r="H11" s="22">
        <f t="shared" si="13"/>
        <v>0</v>
      </c>
      <c r="I11" s="22">
        <f t="shared" si="14"/>
        <v>0</v>
      </c>
      <c r="J11" s="22" t="e">
        <f t="shared" si="15"/>
        <v>#DIV/0!</v>
      </c>
      <c r="K11" s="23" t="e">
        <f t="shared" si="16"/>
        <v>#DIV/0!</v>
      </c>
      <c r="L11" s="23" t="str">
        <f t="shared" si="18"/>
        <v xml:space="preserve"> ± 0</v>
      </c>
    </row>
    <row r="12" spans="1:17" x14ac:dyDescent="0.25">
      <c r="A12" s="16">
        <f t="shared" si="3"/>
        <v>10</v>
      </c>
      <c r="D12" s="22">
        <f t="shared" si="17"/>
        <v>0</v>
      </c>
      <c r="E12" s="22">
        <f t="shared" si="10"/>
        <v>0</v>
      </c>
      <c r="F12" s="22">
        <f t="shared" si="11"/>
        <v>0</v>
      </c>
      <c r="G12" s="22" t="e">
        <f t="shared" si="12"/>
        <v>#DIV/0!</v>
      </c>
      <c r="H12" s="22">
        <f t="shared" si="13"/>
        <v>0</v>
      </c>
      <c r="I12" s="22">
        <f t="shared" si="14"/>
        <v>0</v>
      </c>
      <c r="J12" s="22" t="e">
        <f t="shared" si="15"/>
        <v>#DIV/0!</v>
      </c>
      <c r="K12" s="23" t="e">
        <f t="shared" si="16"/>
        <v>#DIV/0!</v>
      </c>
      <c r="L12" s="23" t="str">
        <f t="shared" si="18"/>
        <v xml:space="preserve"> ± 0</v>
      </c>
    </row>
    <row r="13" spans="1:17" x14ac:dyDescent="0.25">
      <c r="A13" s="17">
        <f t="shared" si="3"/>
        <v>11</v>
      </c>
      <c r="B13" s="22">
        <v>3416</v>
      </c>
      <c r="C13" s="22">
        <v>13920</v>
      </c>
      <c r="D13" s="22">
        <f t="shared" si="17"/>
        <v>21.908902300206645</v>
      </c>
      <c r="E13" s="22">
        <f t="shared" si="10"/>
        <v>3481.7267069006198</v>
      </c>
      <c r="F13" s="22">
        <f t="shared" si="11"/>
        <v>3350.2732930993802</v>
      </c>
      <c r="G13" s="22">
        <f t="shared" si="12"/>
        <v>0.64136130855405871</v>
      </c>
      <c r="H13" s="22">
        <f t="shared" si="13"/>
        <v>4</v>
      </c>
      <c r="I13" s="22">
        <f t="shared" si="14"/>
        <v>8</v>
      </c>
      <c r="J13" s="22">
        <f t="shared" si="15"/>
        <v>0.23419203747072601</v>
      </c>
      <c r="K13" s="23">
        <f t="shared" si="16"/>
        <v>1</v>
      </c>
      <c r="L13" s="23" t="str">
        <f t="shared" si="18"/>
        <v>3416 ± 8</v>
      </c>
    </row>
    <row r="14" spans="1:17" x14ac:dyDescent="0.25">
      <c r="A14" s="16">
        <f t="shared" si="3"/>
        <v>12</v>
      </c>
      <c r="D14" s="22">
        <f t="shared" si="17"/>
        <v>0</v>
      </c>
      <c r="E14" s="22">
        <f t="shared" si="10"/>
        <v>0</v>
      </c>
      <c r="F14" s="22">
        <f t="shared" si="11"/>
        <v>0</v>
      </c>
      <c r="G14" s="22" t="e">
        <f t="shared" si="12"/>
        <v>#DIV/0!</v>
      </c>
      <c r="H14" s="22">
        <f t="shared" si="13"/>
        <v>0</v>
      </c>
      <c r="I14" s="22">
        <f t="shared" si="14"/>
        <v>0</v>
      </c>
      <c r="J14" s="22" t="e">
        <f t="shared" si="15"/>
        <v>#DIV/0!</v>
      </c>
      <c r="K14" s="23" t="e">
        <f t="shared" si="16"/>
        <v>#DIV/0!</v>
      </c>
      <c r="L14" s="23" t="str">
        <f t="shared" si="18"/>
        <v xml:space="preserve"> ± 0</v>
      </c>
    </row>
    <row r="15" spans="1:17" x14ac:dyDescent="0.25">
      <c r="A15" s="16">
        <f t="shared" si="3"/>
        <v>13</v>
      </c>
      <c r="B15" s="21"/>
      <c r="C15" s="21"/>
      <c r="D15" s="21">
        <f>POWER(C15/($O$5-1),0.5)</f>
        <v>0</v>
      </c>
      <c r="E15" s="21">
        <f t="shared" si="10"/>
        <v>0</v>
      </c>
      <c r="F15" s="21">
        <f t="shared" si="11"/>
        <v>0</v>
      </c>
      <c r="G15" s="21" t="e">
        <f t="shared" si="12"/>
        <v>#DIV/0!</v>
      </c>
      <c r="H15" s="21">
        <f t="shared" si="13"/>
        <v>0</v>
      </c>
      <c r="I15" s="21">
        <f t="shared" si="14"/>
        <v>0</v>
      </c>
      <c r="J15" s="21" t="e">
        <f t="shared" si="15"/>
        <v>#DIV/0!</v>
      </c>
      <c r="K15" s="30" t="e">
        <f t="shared" si="16"/>
        <v>#DIV/0!</v>
      </c>
      <c r="L15" s="30" t="str">
        <f xml:space="preserve"> B15 &amp; " ± " &amp; (ROUNDUP(I15, 3))</f>
        <v xml:space="preserve"> ± 0</v>
      </c>
    </row>
    <row r="16" spans="1:17" x14ac:dyDescent="0.25">
      <c r="A16" s="16">
        <f t="shared" si="3"/>
        <v>14</v>
      </c>
      <c r="D16" s="22">
        <f t="shared" ref="D16:D20" si="19">POWER(C16/($O$5-1),0.5)</f>
        <v>0</v>
      </c>
      <c r="E16" s="22">
        <f t="shared" si="10"/>
        <v>0</v>
      </c>
      <c r="F16" s="22">
        <f t="shared" si="11"/>
        <v>0</v>
      </c>
      <c r="G16" s="22" t="e">
        <f t="shared" si="12"/>
        <v>#DIV/0!</v>
      </c>
      <c r="H16" s="22">
        <f t="shared" si="13"/>
        <v>0</v>
      </c>
      <c r="I16" s="22">
        <f t="shared" si="14"/>
        <v>0</v>
      </c>
      <c r="J16" s="22" t="e">
        <f t="shared" si="15"/>
        <v>#DIV/0!</v>
      </c>
      <c r="K16" s="23" t="e">
        <f t="shared" si="16"/>
        <v>#DIV/0!</v>
      </c>
      <c r="L16" s="23" t="str">
        <f t="shared" ref="L16:L20" si="20" xml:space="preserve"> B16 &amp; " ± " &amp; (ROUNDUP(I16, 3))</f>
        <v xml:space="preserve"> ± 0</v>
      </c>
    </row>
    <row r="17" spans="1:12" x14ac:dyDescent="0.25">
      <c r="A17" s="16">
        <f t="shared" si="3"/>
        <v>15</v>
      </c>
      <c r="D17" s="22">
        <f t="shared" si="19"/>
        <v>0</v>
      </c>
      <c r="E17" s="22">
        <f t="shared" si="10"/>
        <v>0</v>
      </c>
      <c r="F17" s="22">
        <f t="shared" si="11"/>
        <v>0</v>
      </c>
      <c r="G17" s="22" t="e">
        <f t="shared" si="12"/>
        <v>#DIV/0!</v>
      </c>
      <c r="H17" s="22">
        <f t="shared" si="13"/>
        <v>0</v>
      </c>
      <c r="I17" s="22">
        <f t="shared" si="14"/>
        <v>0</v>
      </c>
      <c r="J17" s="22" t="e">
        <f t="shared" si="15"/>
        <v>#DIV/0!</v>
      </c>
      <c r="K17" s="23" t="e">
        <f t="shared" si="16"/>
        <v>#DIV/0!</v>
      </c>
      <c r="L17" s="23" t="str">
        <f t="shared" si="20"/>
        <v xml:space="preserve"> ± 0</v>
      </c>
    </row>
    <row r="18" spans="1:12" x14ac:dyDescent="0.25">
      <c r="A18" s="17">
        <f t="shared" si="3"/>
        <v>16</v>
      </c>
      <c r="B18" s="22">
        <v>3312</v>
      </c>
      <c r="C18" s="22">
        <v>146880</v>
      </c>
      <c r="D18" s="22">
        <f t="shared" si="19"/>
        <v>71.167602082737744</v>
      </c>
      <c r="E18" s="22">
        <f t="shared" si="10"/>
        <v>3525.5028062482133</v>
      </c>
      <c r="F18" s="22">
        <f t="shared" si="11"/>
        <v>3098.4971937517867</v>
      </c>
      <c r="G18" s="22">
        <f t="shared" si="12"/>
        <v>2.1487802561213085</v>
      </c>
      <c r="H18" s="22">
        <f t="shared" si="13"/>
        <v>12.993367008089034</v>
      </c>
      <c r="I18" s="22">
        <f t="shared" si="14"/>
        <v>25.986734016178069</v>
      </c>
      <c r="J18" s="22">
        <f t="shared" si="15"/>
        <v>0.78462361159957938</v>
      </c>
      <c r="K18" s="23">
        <f t="shared" si="16"/>
        <v>1</v>
      </c>
      <c r="L18" s="23" t="str">
        <f t="shared" si="20"/>
        <v>3312 ± 25,987</v>
      </c>
    </row>
    <row r="19" spans="1:12" x14ac:dyDescent="0.25">
      <c r="A19" s="16">
        <f t="shared" si="3"/>
        <v>17</v>
      </c>
      <c r="D19" s="22">
        <f t="shared" si="19"/>
        <v>0</v>
      </c>
      <c r="E19" s="22">
        <f t="shared" si="10"/>
        <v>0</v>
      </c>
      <c r="F19" s="22">
        <f t="shared" si="11"/>
        <v>0</v>
      </c>
      <c r="G19" s="22" t="e">
        <f t="shared" si="12"/>
        <v>#DIV/0!</v>
      </c>
      <c r="H19" s="22">
        <f t="shared" si="13"/>
        <v>0</v>
      </c>
      <c r="I19" s="22">
        <f t="shared" si="14"/>
        <v>0</v>
      </c>
      <c r="J19" s="22" t="e">
        <f t="shared" si="15"/>
        <v>#DIV/0!</v>
      </c>
      <c r="K19" s="23" t="e">
        <f t="shared" si="16"/>
        <v>#DIV/0!</v>
      </c>
      <c r="L19" s="23" t="str">
        <f t="shared" si="20"/>
        <v xml:space="preserve"> ± 0</v>
      </c>
    </row>
    <row r="20" spans="1:12" x14ac:dyDescent="0.25">
      <c r="A20" s="16">
        <f t="shared" si="3"/>
        <v>18</v>
      </c>
      <c r="D20" s="22">
        <f t="shared" si="19"/>
        <v>0</v>
      </c>
      <c r="E20" s="22">
        <f t="shared" si="10"/>
        <v>0</v>
      </c>
      <c r="F20" s="22">
        <f t="shared" si="11"/>
        <v>0</v>
      </c>
      <c r="G20" s="22" t="e">
        <f t="shared" si="12"/>
        <v>#DIV/0!</v>
      </c>
      <c r="H20" s="22">
        <f t="shared" si="13"/>
        <v>0</v>
      </c>
      <c r="I20" s="22">
        <f t="shared" si="14"/>
        <v>0</v>
      </c>
      <c r="J20" s="22" t="e">
        <f t="shared" si="15"/>
        <v>#DIV/0!</v>
      </c>
      <c r="K20" s="23" t="e">
        <f t="shared" si="16"/>
        <v>#DIV/0!</v>
      </c>
      <c r="L20" s="23" t="str">
        <f t="shared" si="20"/>
        <v xml:space="preserve"> ± 0</v>
      </c>
    </row>
    <row r="21" spans="1:12" x14ac:dyDescent="0.25">
      <c r="A21" s="16">
        <f t="shared" si="3"/>
        <v>19</v>
      </c>
      <c r="D21" s="22">
        <f t="shared" ref="D21:D79" si="21">POWER(C21/($O$5-1),0.5)</f>
        <v>0</v>
      </c>
      <c r="E21" s="22">
        <f t="shared" ref="E21:E78" si="22">B21+3*D21</f>
        <v>0</v>
      </c>
      <c r="F21" s="22">
        <f t="shared" ref="F21:F78" si="23">B21-3*D21</f>
        <v>0</v>
      </c>
      <c r="G21" s="22" t="e">
        <f t="shared" ref="G21:G78" si="24">D21/B21*100</f>
        <v>#DIV/0!</v>
      </c>
      <c r="H21" s="22">
        <f t="shared" ref="H21:H78" si="25">D21/POWER($O$5, 0.5)</f>
        <v>0</v>
      </c>
      <c r="I21" s="22">
        <f t="shared" ref="I21:I78" si="26">H21*$P$5</f>
        <v>0</v>
      </c>
      <c r="J21" s="22" t="e">
        <f t="shared" ref="J21:J78" si="27">I21/B21*100</f>
        <v>#DIV/0!</v>
      </c>
      <c r="K21" s="23" t="e">
        <f t="shared" ref="K21:K78" si="28">ROUNDUP(POWER(G21*$P$5/$Q$5,2),0)</f>
        <v>#DIV/0!</v>
      </c>
      <c r="L21" s="23" t="str">
        <f t="shared" ref="L21:L78" si="29" xml:space="preserve"> B21 &amp; " ± " &amp; (ROUNDUP(I21, 3))</f>
        <v xml:space="preserve"> ± 0</v>
      </c>
    </row>
    <row r="22" spans="1:12" x14ac:dyDescent="0.25">
      <c r="A22" s="16">
        <f t="shared" si="3"/>
        <v>20</v>
      </c>
      <c r="D22" s="22">
        <f t="shared" si="21"/>
        <v>0</v>
      </c>
      <c r="E22" s="22">
        <f t="shared" si="22"/>
        <v>0</v>
      </c>
      <c r="F22" s="22">
        <f t="shared" si="23"/>
        <v>0</v>
      </c>
      <c r="G22" s="22" t="e">
        <f t="shared" si="24"/>
        <v>#DIV/0!</v>
      </c>
      <c r="H22" s="22">
        <f t="shared" si="25"/>
        <v>0</v>
      </c>
      <c r="I22" s="22">
        <f t="shared" si="26"/>
        <v>0</v>
      </c>
      <c r="J22" s="22" t="e">
        <f t="shared" si="27"/>
        <v>#DIV/0!</v>
      </c>
      <c r="K22" s="23" t="e">
        <f t="shared" si="28"/>
        <v>#DIV/0!</v>
      </c>
      <c r="L22" s="23" t="str">
        <f t="shared" si="29"/>
        <v xml:space="preserve"> ± 0</v>
      </c>
    </row>
    <row r="23" spans="1:12" x14ac:dyDescent="0.25">
      <c r="A23" s="17">
        <f t="shared" si="3"/>
        <v>21</v>
      </c>
      <c r="B23" s="22">
        <v>3386</v>
      </c>
      <c r="C23" s="22">
        <v>62520</v>
      </c>
      <c r="D23" s="22">
        <f t="shared" si="21"/>
        <v>46.431261763660025</v>
      </c>
      <c r="E23" s="22">
        <f t="shared" si="22"/>
        <v>3525.2937852909799</v>
      </c>
      <c r="F23" s="22">
        <f t="shared" si="23"/>
        <v>3246.7062147090201</v>
      </c>
      <c r="G23" s="22">
        <f t="shared" si="24"/>
        <v>1.3712717591157715</v>
      </c>
      <c r="H23" s="22">
        <f t="shared" si="25"/>
        <v>8.4771498137945667</v>
      </c>
      <c r="I23" s="22">
        <f t="shared" si="26"/>
        <v>16.954299627589133</v>
      </c>
      <c r="J23" s="22">
        <f t="shared" si="27"/>
        <v>0.50071764995833234</v>
      </c>
      <c r="K23" s="23">
        <f t="shared" si="28"/>
        <v>1</v>
      </c>
      <c r="L23" s="23" t="str">
        <f t="shared" si="29"/>
        <v>3386 ± 16,955</v>
      </c>
    </row>
    <row r="24" spans="1:12" x14ac:dyDescent="0.25">
      <c r="A24" s="3">
        <f t="shared" si="3"/>
        <v>22</v>
      </c>
      <c r="D24" s="22">
        <f t="shared" si="21"/>
        <v>0</v>
      </c>
      <c r="E24" s="22">
        <f t="shared" si="22"/>
        <v>0</v>
      </c>
      <c r="F24" s="22">
        <f t="shared" si="23"/>
        <v>0</v>
      </c>
      <c r="G24" s="22" t="e">
        <f t="shared" si="24"/>
        <v>#DIV/0!</v>
      </c>
      <c r="H24" s="22">
        <f t="shared" si="25"/>
        <v>0</v>
      </c>
      <c r="I24" s="22">
        <f t="shared" si="26"/>
        <v>0</v>
      </c>
      <c r="J24" s="22" t="e">
        <f t="shared" si="27"/>
        <v>#DIV/0!</v>
      </c>
      <c r="K24" s="23" t="e">
        <f t="shared" si="28"/>
        <v>#DIV/0!</v>
      </c>
      <c r="L24" s="23" t="str">
        <f t="shared" si="29"/>
        <v xml:space="preserve"> ± 0</v>
      </c>
    </row>
    <row r="25" spans="1:12" x14ac:dyDescent="0.25">
      <c r="A25" s="3">
        <f t="shared" si="3"/>
        <v>23</v>
      </c>
      <c r="D25" s="22">
        <f t="shared" si="21"/>
        <v>0</v>
      </c>
      <c r="E25" s="22">
        <f t="shared" si="22"/>
        <v>0</v>
      </c>
      <c r="F25" s="22">
        <f t="shared" si="23"/>
        <v>0</v>
      </c>
      <c r="G25" s="22" t="e">
        <f t="shared" si="24"/>
        <v>#DIV/0!</v>
      </c>
      <c r="H25" s="22">
        <f t="shared" si="25"/>
        <v>0</v>
      </c>
      <c r="I25" s="22">
        <f t="shared" si="26"/>
        <v>0</v>
      </c>
      <c r="J25" s="22" t="e">
        <f t="shared" si="27"/>
        <v>#DIV/0!</v>
      </c>
      <c r="K25" s="23" t="e">
        <f t="shared" si="28"/>
        <v>#DIV/0!</v>
      </c>
      <c r="L25" s="23" t="str">
        <f t="shared" si="29"/>
        <v xml:space="preserve"> ± 0</v>
      </c>
    </row>
    <row r="26" spans="1:12" x14ac:dyDescent="0.25">
      <c r="A26" s="3">
        <f t="shared" si="3"/>
        <v>24</v>
      </c>
      <c r="D26" s="22">
        <f t="shared" si="21"/>
        <v>0</v>
      </c>
      <c r="E26" s="22">
        <f t="shared" si="22"/>
        <v>0</v>
      </c>
      <c r="F26" s="22">
        <f t="shared" si="23"/>
        <v>0</v>
      </c>
      <c r="G26" s="22" t="e">
        <f t="shared" si="24"/>
        <v>#DIV/0!</v>
      </c>
      <c r="H26" s="22">
        <f t="shared" si="25"/>
        <v>0</v>
      </c>
      <c r="I26" s="22">
        <f t="shared" si="26"/>
        <v>0</v>
      </c>
      <c r="J26" s="22" t="e">
        <f t="shared" si="27"/>
        <v>#DIV/0!</v>
      </c>
      <c r="K26" s="23" t="e">
        <f t="shared" si="28"/>
        <v>#DIV/0!</v>
      </c>
      <c r="L26" s="23" t="str">
        <f t="shared" si="29"/>
        <v xml:space="preserve"> ± 0</v>
      </c>
    </row>
    <row r="27" spans="1:12" x14ac:dyDescent="0.25">
      <c r="A27" s="3">
        <f t="shared" si="3"/>
        <v>25</v>
      </c>
      <c r="D27" s="22">
        <f t="shared" si="21"/>
        <v>0</v>
      </c>
      <c r="E27" s="22">
        <f t="shared" si="22"/>
        <v>0</v>
      </c>
      <c r="F27" s="22">
        <f t="shared" si="23"/>
        <v>0</v>
      </c>
      <c r="G27" s="22" t="e">
        <f t="shared" si="24"/>
        <v>#DIV/0!</v>
      </c>
      <c r="H27" s="22">
        <f t="shared" si="25"/>
        <v>0</v>
      </c>
      <c r="I27" s="22">
        <f t="shared" si="26"/>
        <v>0</v>
      </c>
      <c r="J27" s="22" t="e">
        <f t="shared" si="27"/>
        <v>#DIV/0!</v>
      </c>
      <c r="K27" s="23" t="e">
        <f t="shared" si="28"/>
        <v>#DIV/0!</v>
      </c>
      <c r="L27" s="23" t="str">
        <f t="shared" si="29"/>
        <v xml:space="preserve"> ± 0</v>
      </c>
    </row>
    <row r="28" spans="1:12" x14ac:dyDescent="0.25">
      <c r="A28" s="17">
        <f t="shared" si="3"/>
        <v>26</v>
      </c>
      <c r="B28" s="22">
        <v>2982</v>
      </c>
      <c r="C28" s="22">
        <v>1433880</v>
      </c>
      <c r="D28" s="22">
        <f t="shared" si="21"/>
        <v>222.36037850982913</v>
      </c>
      <c r="E28" s="22">
        <f t="shared" si="22"/>
        <v>3649.0811355294873</v>
      </c>
      <c r="F28" s="22">
        <f t="shared" si="23"/>
        <v>2314.9188644705127</v>
      </c>
      <c r="G28" s="22">
        <f t="shared" si="24"/>
        <v>7.4567531358091594</v>
      </c>
      <c r="H28" s="22">
        <f t="shared" si="25"/>
        <v>40.597265068406799</v>
      </c>
      <c r="I28" s="22">
        <f t="shared" si="26"/>
        <v>81.194530136813597</v>
      </c>
      <c r="J28" s="22">
        <f t="shared" si="27"/>
        <v>2.722821265486707</v>
      </c>
      <c r="K28" s="23">
        <f t="shared" si="28"/>
        <v>9</v>
      </c>
      <c r="L28" s="23" t="str">
        <f t="shared" si="29"/>
        <v>2982 ± 81,195</v>
      </c>
    </row>
    <row r="29" spans="1:12" x14ac:dyDescent="0.25">
      <c r="A29" s="3">
        <f t="shared" si="3"/>
        <v>27</v>
      </c>
      <c r="D29" s="22">
        <f t="shared" si="21"/>
        <v>0</v>
      </c>
      <c r="E29" s="22">
        <f t="shared" si="22"/>
        <v>0</v>
      </c>
      <c r="F29" s="22">
        <f t="shared" si="23"/>
        <v>0</v>
      </c>
      <c r="G29" s="22" t="e">
        <f t="shared" si="24"/>
        <v>#DIV/0!</v>
      </c>
      <c r="H29" s="22">
        <f t="shared" si="25"/>
        <v>0</v>
      </c>
      <c r="I29" s="22">
        <f t="shared" si="26"/>
        <v>0</v>
      </c>
      <c r="J29" s="22" t="e">
        <f t="shared" si="27"/>
        <v>#DIV/0!</v>
      </c>
      <c r="K29" s="23" t="e">
        <f t="shared" si="28"/>
        <v>#DIV/0!</v>
      </c>
      <c r="L29" s="23" t="str">
        <f t="shared" si="29"/>
        <v xml:space="preserve"> ± 0</v>
      </c>
    </row>
    <row r="30" spans="1:12" x14ac:dyDescent="0.25">
      <c r="A30" s="3">
        <f t="shared" si="3"/>
        <v>28</v>
      </c>
      <c r="D30" s="22">
        <f t="shared" si="21"/>
        <v>0</v>
      </c>
      <c r="E30" s="22">
        <f t="shared" si="22"/>
        <v>0</v>
      </c>
      <c r="F30" s="22">
        <f t="shared" si="23"/>
        <v>0</v>
      </c>
      <c r="G30" s="22" t="e">
        <f t="shared" si="24"/>
        <v>#DIV/0!</v>
      </c>
      <c r="H30" s="22">
        <f t="shared" si="25"/>
        <v>0</v>
      </c>
      <c r="I30" s="22">
        <f t="shared" si="26"/>
        <v>0</v>
      </c>
      <c r="J30" s="22" t="e">
        <f t="shared" si="27"/>
        <v>#DIV/0!</v>
      </c>
      <c r="K30" s="23" t="e">
        <f t="shared" si="28"/>
        <v>#DIV/0!</v>
      </c>
      <c r="L30" s="23" t="str">
        <f t="shared" si="29"/>
        <v xml:space="preserve"> ± 0</v>
      </c>
    </row>
    <row r="31" spans="1:12" x14ac:dyDescent="0.25">
      <c r="A31" s="3">
        <f t="shared" si="3"/>
        <v>29</v>
      </c>
      <c r="D31" s="22">
        <f t="shared" si="21"/>
        <v>0</v>
      </c>
      <c r="E31" s="22">
        <f t="shared" si="22"/>
        <v>0</v>
      </c>
      <c r="F31" s="22">
        <f t="shared" si="23"/>
        <v>0</v>
      </c>
      <c r="G31" s="22" t="e">
        <f t="shared" si="24"/>
        <v>#DIV/0!</v>
      </c>
      <c r="H31" s="22">
        <f t="shared" si="25"/>
        <v>0</v>
      </c>
      <c r="I31" s="22">
        <f t="shared" si="26"/>
        <v>0</v>
      </c>
      <c r="J31" s="22" t="e">
        <f t="shared" si="27"/>
        <v>#DIV/0!</v>
      </c>
      <c r="K31" s="23" t="e">
        <f t="shared" si="28"/>
        <v>#DIV/0!</v>
      </c>
      <c r="L31" s="23" t="str">
        <f t="shared" si="29"/>
        <v xml:space="preserve"> ± 0</v>
      </c>
    </row>
    <row r="32" spans="1:12" x14ac:dyDescent="0.25">
      <c r="A32" s="3">
        <f t="shared" si="3"/>
        <v>30</v>
      </c>
      <c r="D32" s="22">
        <f t="shared" si="21"/>
        <v>0</v>
      </c>
      <c r="E32" s="22">
        <f t="shared" si="22"/>
        <v>0</v>
      </c>
      <c r="F32" s="22">
        <f t="shared" si="23"/>
        <v>0</v>
      </c>
      <c r="G32" s="22" t="e">
        <f t="shared" si="24"/>
        <v>#DIV/0!</v>
      </c>
      <c r="H32" s="22">
        <f t="shared" si="25"/>
        <v>0</v>
      </c>
      <c r="I32" s="22">
        <f t="shared" si="26"/>
        <v>0</v>
      </c>
      <c r="J32" s="22" t="e">
        <f t="shared" si="27"/>
        <v>#DIV/0!</v>
      </c>
      <c r="K32" s="23" t="e">
        <f t="shared" si="28"/>
        <v>#DIV/0!</v>
      </c>
      <c r="L32" s="23" t="str">
        <f t="shared" si="29"/>
        <v xml:space="preserve"> ± 0</v>
      </c>
    </row>
    <row r="33" spans="1:12" x14ac:dyDescent="0.25">
      <c r="A33" s="17">
        <f t="shared" si="3"/>
        <v>31</v>
      </c>
      <c r="B33" s="22">
        <v>3356</v>
      </c>
      <c r="C33" s="22">
        <v>78720</v>
      </c>
      <c r="D33" s="22">
        <f t="shared" si="21"/>
        <v>52.100698254636569</v>
      </c>
      <c r="E33" s="22">
        <f>B33+3*D33</f>
        <v>3512.3020947639097</v>
      </c>
      <c r="F33" s="22">
        <f>B33-3*D33</f>
        <v>3199.6979052360903</v>
      </c>
      <c r="G33" s="22">
        <f>D33/B33*100</f>
        <v>1.5524641911393493</v>
      </c>
      <c r="H33" s="22">
        <f t="shared" si="25"/>
        <v>9.5122425652781626</v>
      </c>
      <c r="I33" s="22">
        <f t="shared" si="26"/>
        <v>19.024485130556325</v>
      </c>
      <c r="J33" s="22">
        <f>I33/B33*100</f>
        <v>0.56687977147068902</v>
      </c>
      <c r="K33" s="23">
        <f t="shared" si="28"/>
        <v>1</v>
      </c>
      <c r="L33" s="23" t="str">
        <f xml:space="preserve"> B33 &amp; " ± " &amp; (ROUNDUP(I33, 3))</f>
        <v>3356 ± 19,025</v>
      </c>
    </row>
    <row r="34" spans="1:12" x14ac:dyDescent="0.25">
      <c r="A34" s="3">
        <f t="shared" si="3"/>
        <v>32</v>
      </c>
      <c r="D34" s="22">
        <f t="shared" si="21"/>
        <v>0</v>
      </c>
      <c r="E34" s="22">
        <f>B34+3*D34</f>
        <v>0</v>
      </c>
      <c r="F34" s="22">
        <f>B34-3*D34</f>
        <v>0</v>
      </c>
      <c r="G34" s="22" t="e">
        <f>D34/B34*100</f>
        <v>#DIV/0!</v>
      </c>
      <c r="H34" s="22">
        <f t="shared" si="25"/>
        <v>0</v>
      </c>
      <c r="I34" s="22">
        <f t="shared" si="26"/>
        <v>0</v>
      </c>
      <c r="J34" s="22" t="e">
        <f>I34/B34*100</f>
        <v>#DIV/0!</v>
      </c>
      <c r="K34" s="23" t="e">
        <f t="shared" si="28"/>
        <v>#DIV/0!</v>
      </c>
      <c r="L34" s="23" t="str">
        <f xml:space="preserve"> B34 &amp; " ± " &amp; (ROUNDUP(I34, 3))</f>
        <v xml:space="preserve"> ± 0</v>
      </c>
    </row>
    <row r="35" spans="1:12" x14ac:dyDescent="0.25">
      <c r="A35" s="3">
        <f t="shared" si="3"/>
        <v>33</v>
      </c>
      <c r="D35" s="22">
        <f t="shared" si="21"/>
        <v>0</v>
      </c>
      <c r="E35" s="22">
        <f t="shared" si="22"/>
        <v>0</v>
      </c>
      <c r="F35" s="22">
        <f t="shared" si="23"/>
        <v>0</v>
      </c>
      <c r="G35" s="22" t="e">
        <f t="shared" si="24"/>
        <v>#DIV/0!</v>
      </c>
      <c r="H35" s="22">
        <f t="shared" si="25"/>
        <v>0</v>
      </c>
      <c r="I35" s="22">
        <f t="shared" si="26"/>
        <v>0</v>
      </c>
      <c r="J35" s="22" t="e">
        <f t="shared" si="27"/>
        <v>#DIV/0!</v>
      </c>
      <c r="K35" s="23" t="e">
        <f t="shared" si="28"/>
        <v>#DIV/0!</v>
      </c>
      <c r="L35" s="23" t="str">
        <f t="shared" si="29"/>
        <v xml:space="preserve"> ± 0</v>
      </c>
    </row>
    <row r="36" spans="1:12" x14ac:dyDescent="0.25">
      <c r="A36" s="3">
        <f t="shared" si="3"/>
        <v>34</v>
      </c>
      <c r="D36" s="22">
        <f t="shared" si="21"/>
        <v>0</v>
      </c>
      <c r="E36" s="22">
        <f t="shared" si="22"/>
        <v>0</v>
      </c>
      <c r="F36" s="22">
        <f t="shared" si="23"/>
        <v>0</v>
      </c>
      <c r="G36" s="22" t="e">
        <f t="shared" si="24"/>
        <v>#DIV/0!</v>
      </c>
      <c r="H36" s="22">
        <f t="shared" si="25"/>
        <v>0</v>
      </c>
      <c r="I36" s="22">
        <f t="shared" si="26"/>
        <v>0</v>
      </c>
      <c r="J36" s="22" t="e">
        <f t="shared" si="27"/>
        <v>#DIV/0!</v>
      </c>
      <c r="K36" s="23" t="e">
        <f t="shared" si="28"/>
        <v>#DIV/0!</v>
      </c>
      <c r="L36" s="23" t="str">
        <f t="shared" si="29"/>
        <v xml:space="preserve"> ± 0</v>
      </c>
    </row>
    <row r="37" spans="1:12" x14ac:dyDescent="0.25">
      <c r="A37" s="3">
        <f t="shared" si="3"/>
        <v>35</v>
      </c>
      <c r="D37" s="22">
        <f t="shared" si="21"/>
        <v>0</v>
      </c>
      <c r="E37" s="22">
        <f t="shared" si="22"/>
        <v>0</v>
      </c>
      <c r="F37" s="22">
        <f t="shared" si="23"/>
        <v>0</v>
      </c>
      <c r="G37" s="22" t="e">
        <f t="shared" si="24"/>
        <v>#DIV/0!</v>
      </c>
      <c r="H37" s="22">
        <f t="shared" si="25"/>
        <v>0</v>
      </c>
      <c r="I37" s="22">
        <f t="shared" si="26"/>
        <v>0</v>
      </c>
      <c r="J37" s="22" t="e">
        <f t="shared" si="27"/>
        <v>#DIV/0!</v>
      </c>
      <c r="K37" s="23" t="e">
        <f t="shared" si="28"/>
        <v>#DIV/0!</v>
      </c>
      <c r="L37" s="23" t="str">
        <f t="shared" si="29"/>
        <v xml:space="preserve"> ± 0</v>
      </c>
    </row>
    <row r="38" spans="1:12" x14ac:dyDescent="0.25">
      <c r="A38" s="17">
        <f t="shared" si="3"/>
        <v>36</v>
      </c>
      <c r="B38" s="22">
        <v>3346</v>
      </c>
      <c r="C38" s="22">
        <v>69720</v>
      </c>
      <c r="D38" s="22">
        <f t="shared" si="21"/>
        <v>49.032009249412603</v>
      </c>
      <c r="E38" s="22">
        <f t="shared" si="22"/>
        <v>3493.0960277482377</v>
      </c>
      <c r="F38" s="22">
        <f t="shared" si="23"/>
        <v>3198.9039722517623</v>
      </c>
      <c r="G38" s="22">
        <f t="shared" si="24"/>
        <v>1.4653917886853738</v>
      </c>
      <c r="H38" s="22">
        <f t="shared" si="25"/>
        <v>8.9519791685684105</v>
      </c>
      <c r="I38" s="22">
        <f t="shared" si="26"/>
        <v>17.903958337136821</v>
      </c>
      <c r="J38" s="22">
        <f t="shared" si="27"/>
        <v>0.53508542549721527</v>
      </c>
      <c r="K38" s="23">
        <f t="shared" si="28"/>
        <v>1</v>
      </c>
      <c r="L38" s="23" t="str">
        <f t="shared" si="29"/>
        <v>3346 ± 17,904</v>
      </c>
    </row>
    <row r="39" spans="1:12" x14ac:dyDescent="0.25">
      <c r="A39" s="3">
        <f t="shared" si="3"/>
        <v>37</v>
      </c>
      <c r="D39" s="22">
        <f t="shared" si="21"/>
        <v>0</v>
      </c>
      <c r="E39" s="22">
        <f t="shared" si="22"/>
        <v>0</v>
      </c>
      <c r="F39" s="22">
        <f t="shared" si="23"/>
        <v>0</v>
      </c>
      <c r="G39" s="22" t="e">
        <f t="shared" si="24"/>
        <v>#DIV/0!</v>
      </c>
      <c r="H39" s="22">
        <f t="shared" si="25"/>
        <v>0</v>
      </c>
      <c r="I39" s="22">
        <f t="shared" si="26"/>
        <v>0</v>
      </c>
      <c r="J39" s="22" t="e">
        <f t="shared" si="27"/>
        <v>#DIV/0!</v>
      </c>
      <c r="K39" s="23" t="e">
        <f t="shared" si="28"/>
        <v>#DIV/0!</v>
      </c>
      <c r="L39" s="23" t="str">
        <f t="shared" si="29"/>
        <v xml:space="preserve"> ± 0</v>
      </c>
    </row>
    <row r="40" spans="1:12" x14ac:dyDescent="0.25">
      <c r="A40" s="3">
        <f t="shared" si="3"/>
        <v>38</v>
      </c>
      <c r="D40" s="22">
        <f t="shared" si="21"/>
        <v>0</v>
      </c>
      <c r="E40" s="22">
        <f t="shared" si="22"/>
        <v>0</v>
      </c>
      <c r="F40" s="22">
        <f t="shared" si="23"/>
        <v>0</v>
      </c>
      <c r="G40" s="22" t="e">
        <f t="shared" si="24"/>
        <v>#DIV/0!</v>
      </c>
      <c r="H40" s="22">
        <f t="shared" si="25"/>
        <v>0</v>
      </c>
      <c r="I40" s="22">
        <f t="shared" si="26"/>
        <v>0</v>
      </c>
      <c r="J40" s="22" t="e">
        <f t="shared" si="27"/>
        <v>#DIV/0!</v>
      </c>
      <c r="K40" s="23" t="e">
        <f t="shared" si="28"/>
        <v>#DIV/0!</v>
      </c>
      <c r="L40" s="23" t="str">
        <f t="shared" si="29"/>
        <v xml:space="preserve"> ± 0</v>
      </c>
    </row>
    <row r="41" spans="1:12" x14ac:dyDescent="0.25">
      <c r="A41" s="3">
        <f t="shared" si="3"/>
        <v>39</v>
      </c>
      <c r="D41" s="22">
        <f t="shared" si="21"/>
        <v>0</v>
      </c>
      <c r="E41" s="22">
        <f t="shared" si="22"/>
        <v>0</v>
      </c>
      <c r="F41" s="22">
        <f t="shared" si="23"/>
        <v>0</v>
      </c>
      <c r="G41" s="22" t="e">
        <f t="shared" si="24"/>
        <v>#DIV/0!</v>
      </c>
      <c r="H41" s="22">
        <f t="shared" si="25"/>
        <v>0</v>
      </c>
      <c r="I41" s="22">
        <f t="shared" si="26"/>
        <v>0</v>
      </c>
      <c r="J41" s="22" t="e">
        <f t="shared" si="27"/>
        <v>#DIV/0!</v>
      </c>
      <c r="K41" s="23" t="e">
        <f t="shared" si="28"/>
        <v>#DIV/0!</v>
      </c>
      <c r="L41" s="23" t="str">
        <f t="shared" si="29"/>
        <v xml:space="preserve"> ± 0</v>
      </c>
    </row>
    <row r="42" spans="1:12" x14ac:dyDescent="0.25">
      <c r="A42" s="3">
        <f t="shared" si="3"/>
        <v>40</v>
      </c>
      <c r="D42" s="22">
        <f t="shared" si="21"/>
        <v>0</v>
      </c>
      <c r="E42" s="22">
        <f t="shared" si="22"/>
        <v>0</v>
      </c>
      <c r="F42" s="22">
        <f t="shared" si="23"/>
        <v>0</v>
      </c>
      <c r="G42" s="22" t="e">
        <f t="shared" si="24"/>
        <v>#DIV/0!</v>
      </c>
      <c r="H42" s="22">
        <f t="shared" si="25"/>
        <v>0</v>
      </c>
      <c r="I42" s="22">
        <f t="shared" si="26"/>
        <v>0</v>
      </c>
      <c r="J42" s="22" t="e">
        <f t="shared" si="27"/>
        <v>#DIV/0!</v>
      </c>
      <c r="K42" s="23" t="e">
        <f t="shared" si="28"/>
        <v>#DIV/0!</v>
      </c>
      <c r="L42" s="23" t="str">
        <f t="shared" si="29"/>
        <v xml:space="preserve"> ± 0</v>
      </c>
    </row>
    <row r="43" spans="1:12" x14ac:dyDescent="0.25">
      <c r="A43" s="17">
        <f t="shared" si="3"/>
        <v>41</v>
      </c>
      <c r="B43" s="22">
        <v>3390</v>
      </c>
      <c r="C43" s="22">
        <v>27000</v>
      </c>
      <c r="D43" s="22">
        <f>POWER(C43/($O$5-1),0.5)</f>
        <v>30.512857662936469</v>
      </c>
      <c r="E43" s="22">
        <f t="shared" si="22"/>
        <v>3481.5385729888094</v>
      </c>
      <c r="F43" s="22">
        <f t="shared" si="23"/>
        <v>3298.4614270111906</v>
      </c>
      <c r="G43" s="22">
        <f t="shared" si="24"/>
        <v>0.9000842968417837</v>
      </c>
      <c r="H43" s="22">
        <f t="shared" si="25"/>
        <v>5.5708601453115563</v>
      </c>
      <c r="I43" s="22">
        <f t="shared" si="26"/>
        <v>11.141720290623113</v>
      </c>
      <c r="J43" s="22">
        <f t="shared" si="27"/>
        <v>0.32866431535761392</v>
      </c>
      <c r="K43" s="23">
        <f t="shared" si="28"/>
        <v>1</v>
      </c>
      <c r="L43" s="23" t="str">
        <f t="shared" si="29"/>
        <v>3390 ± 11,142</v>
      </c>
    </row>
    <row r="44" spans="1:12" x14ac:dyDescent="0.25">
      <c r="A44" s="16">
        <f t="shared" si="3"/>
        <v>42</v>
      </c>
      <c r="D44" s="22">
        <f>POWER(C44/($O$5-1),0.5)</f>
        <v>0</v>
      </c>
      <c r="E44" s="22">
        <f t="shared" si="22"/>
        <v>0</v>
      </c>
      <c r="F44" s="22">
        <f t="shared" si="23"/>
        <v>0</v>
      </c>
      <c r="G44" s="22" t="e">
        <f t="shared" si="24"/>
        <v>#DIV/0!</v>
      </c>
      <c r="H44" s="22">
        <f t="shared" si="25"/>
        <v>0</v>
      </c>
      <c r="I44" s="22">
        <f t="shared" si="26"/>
        <v>0</v>
      </c>
      <c r="J44" s="22" t="e">
        <f t="shared" si="27"/>
        <v>#DIV/0!</v>
      </c>
      <c r="K44" s="23" t="e">
        <f t="shared" si="28"/>
        <v>#DIV/0!</v>
      </c>
      <c r="L44" s="23" t="str">
        <f t="shared" si="29"/>
        <v xml:space="preserve"> ± 0</v>
      </c>
    </row>
    <row r="45" spans="1:12" x14ac:dyDescent="0.25">
      <c r="A45" s="16">
        <f t="shared" si="3"/>
        <v>43</v>
      </c>
      <c r="D45" s="22">
        <f t="shared" si="21"/>
        <v>0</v>
      </c>
      <c r="E45" s="22">
        <f t="shared" si="22"/>
        <v>0</v>
      </c>
      <c r="F45" s="22">
        <f t="shared" si="23"/>
        <v>0</v>
      </c>
      <c r="G45" s="22" t="e">
        <f t="shared" si="24"/>
        <v>#DIV/0!</v>
      </c>
      <c r="H45" s="22">
        <f t="shared" si="25"/>
        <v>0</v>
      </c>
      <c r="I45" s="22">
        <f t="shared" si="26"/>
        <v>0</v>
      </c>
      <c r="J45" s="22" t="e">
        <f t="shared" si="27"/>
        <v>#DIV/0!</v>
      </c>
      <c r="K45" s="23" t="e">
        <f t="shared" si="28"/>
        <v>#DIV/0!</v>
      </c>
      <c r="L45" s="23" t="str">
        <f t="shared" si="29"/>
        <v xml:space="preserve"> ± 0</v>
      </c>
    </row>
    <row r="46" spans="1:12" x14ac:dyDescent="0.25">
      <c r="A46" s="16">
        <f t="shared" si="3"/>
        <v>44</v>
      </c>
      <c r="D46" s="22">
        <f t="shared" si="21"/>
        <v>0</v>
      </c>
      <c r="E46" s="22">
        <f t="shared" si="22"/>
        <v>0</v>
      </c>
      <c r="F46" s="22">
        <f t="shared" si="23"/>
        <v>0</v>
      </c>
      <c r="G46" s="22" t="e">
        <f t="shared" si="24"/>
        <v>#DIV/0!</v>
      </c>
      <c r="H46" s="22">
        <f t="shared" si="25"/>
        <v>0</v>
      </c>
      <c r="I46" s="22">
        <f t="shared" si="26"/>
        <v>0</v>
      </c>
      <c r="J46" s="22" t="e">
        <f t="shared" si="27"/>
        <v>#DIV/0!</v>
      </c>
      <c r="K46" s="23" t="e">
        <f t="shared" si="28"/>
        <v>#DIV/0!</v>
      </c>
      <c r="L46" s="23" t="str">
        <f t="shared" si="29"/>
        <v xml:space="preserve"> ± 0</v>
      </c>
    </row>
    <row r="47" spans="1:12" x14ac:dyDescent="0.25">
      <c r="A47" s="16">
        <f t="shared" si="3"/>
        <v>45</v>
      </c>
      <c r="D47" s="22">
        <f t="shared" si="21"/>
        <v>0</v>
      </c>
      <c r="E47" s="22">
        <f t="shared" si="22"/>
        <v>0</v>
      </c>
      <c r="F47" s="22">
        <f t="shared" si="23"/>
        <v>0</v>
      </c>
      <c r="G47" s="22" t="e">
        <f t="shared" si="24"/>
        <v>#DIV/0!</v>
      </c>
      <c r="H47" s="22">
        <f t="shared" si="25"/>
        <v>0</v>
      </c>
      <c r="I47" s="22">
        <f t="shared" si="26"/>
        <v>0</v>
      </c>
      <c r="J47" s="22" t="e">
        <f t="shared" si="27"/>
        <v>#DIV/0!</v>
      </c>
      <c r="K47" s="23" t="e">
        <f t="shared" si="28"/>
        <v>#DIV/0!</v>
      </c>
      <c r="L47" s="23" t="str">
        <f t="shared" si="29"/>
        <v xml:space="preserve"> ± 0</v>
      </c>
    </row>
    <row r="48" spans="1:12" x14ac:dyDescent="0.25">
      <c r="A48" s="17">
        <f t="shared" si="3"/>
        <v>46</v>
      </c>
      <c r="B48" s="22">
        <v>3348</v>
      </c>
      <c r="C48" s="22">
        <v>74880</v>
      </c>
      <c r="D48" s="22">
        <f t="shared" si="21"/>
        <v>50.814062674787593</v>
      </c>
      <c r="E48" s="22">
        <f t="shared" si="22"/>
        <v>3500.4421880243626</v>
      </c>
      <c r="F48" s="22">
        <f t="shared" si="23"/>
        <v>3195.5578119756374</v>
      </c>
      <c r="G48" s="22">
        <f t="shared" si="24"/>
        <v>1.5177438074906688</v>
      </c>
      <c r="H48" s="22">
        <f t="shared" si="25"/>
        <v>9.2773361218208201</v>
      </c>
      <c r="I48" s="22">
        <f t="shared" si="26"/>
        <v>18.55467224364164</v>
      </c>
      <c r="J48" s="22">
        <f t="shared" si="27"/>
        <v>0.55420167991761171</v>
      </c>
      <c r="K48" s="23">
        <f t="shared" si="28"/>
        <v>1</v>
      </c>
      <c r="L48" s="23" t="str">
        <f t="shared" si="29"/>
        <v>3348 ± 18,555</v>
      </c>
    </row>
    <row r="49" spans="1:12" x14ac:dyDescent="0.25">
      <c r="A49" s="16">
        <f t="shared" si="3"/>
        <v>47</v>
      </c>
      <c r="D49" s="22">
        <f t="shared" si="21"/>
        <v>0</v>
      </c>
      <c r="E49" s="22">
        <f t="shared" si="22"/>
        <v>0</v>
      </c>
      <c r="F49" s="22">
        <f t="shared" si="23"/>
        <v>0</v>
      </c>
      <c r="G49" s="22" t="e">
        <f t="shared" si="24"/>
        <v>#DIV/0!</v>
      </c>
      <c r="H49" s="22">
        <f t="shared" si="25"/>
        <v>0</v>
      </c>
      <c r="I49" s="22">
        <f t="shared" si="26"/>
        <v>0</v>
      </c>
      <c r="J49" s="22" t="e">
        <f t="shared" si="27"/>
        <v>#DIV/0!</v>
      </c>
      <c r="K49" s="23" t="e">
        <f t="shared" si="28"/>
        <v>#DIV/0!</v>
      </c>
      <c r="L49" s="23" t="str">
        <f t="shared" si="29"/>
        <v xml:space="preserve"> ± 0</v>
      </c>
    </row>
    <row r="50" spans="1:12" x14ac:dyDescent="0.25">
      <c r="A50" s="3">
        <f t="shared" si="3"/>
        <v>48</v>
      </c>
      <c r="D50" s="22">
        <f t="shared" si="21"/>
        <v>0</v>
      </c>
      <c r="E50" s="22">
        <f t="shared" si="22"/>
        <v>0</v>
      </c>
      <c r="F50" s="22">
        <f t="shared" si="23"/>
        <v>0</v>
      </c>
      <c r="G50" s="22" t="e">
        <f t="shared" si="24"/>
        <v>#DIV/0!</v>
      </c>
      <c r="H50" s="22">
        <f t="shared" si="25"/>
        <v>0</v>
      </c>
      <c r="I50" s="22">
        <f t="shared" si="26"/>
        <v>0</v>
      </c>
      <c r="J50" s="22" t="e">
        <f t="shared" si="27"/>
        <v>#DIV/0!</v>
      </c>
      <c r="K50" s="23" t="e">
        <f t="shared" si="28"/>
        <v>#DIV/0!</v>
      </c>
      <c r="L50" s="23" t="str">
        <f t="shared" si="29"/>
        <v xml:space="preserve"> ± 0</v>
      </c>
    </row>
    <row r="51" spans="1:12" x14ac:dyDescent="0.25">
      <c r="A51" s="3">
        <f t="shared" si="3"/>
        <v>49</v>
      </c>
      <c r="D51" s="22">
        <f t="shared" si="21"/>
        <v>0</v>
      </c>
      <c r="E51" s="22">
        <f t="shared" si="22"/>
        <v>0</v>
      </c>
      <c r="F51" s="22">
        <f t="shared" si="23"/>
        <v>0</v>
      </c>
      <c r="G51" s="22" t="e">
        <f t="shared" si="24"/>
        <v>#DIV/0!</v>
      </c>
      <c r="H51" s="22">
        <f t="shared" si="25"/>
        <v>0</v>
      </c>
      <c r="I51" s="22">
        <f t="shared" si="26"/>
        <v>0</v>
      </c>
      <c r="J51" s="22" t="e">
        <f t="shared" si="27"/>
        <v>#DIV/0!</v>
      </c>
      <c r="K51" s="23" t="e">
        <f t="shared" si="28"/>
        <v>#DIV/0!</v>
      </c>
      <c r="L51" s="23" t="str">
        <f t="shared" si="29"/>
        <v xml:space="preserve"> ± 0</v>
      </c>
    </row>
    <row r="52" spans="1:12" x14ac:dyDescent="0.25">
      <c r="A52" s="3">
        <f t="shared" si="3"/>
        <v>50</v>
      </c>
      <c r="D52" s="22">
        <f t="shared" si="21"/>
        <v>0</v>
      </c>
      <c r="E52" s="22">
        <f t="shared" si="22"/>
        <v>0</v>
      </c>
      <c r="F52" s="22">
        <f t="shared" si="23"/>
        <v>0</v>
      </c>
      <c r="G52" s="22" t="e">
        <f t="shared" si="24"/>
        <v>#DIV/0!</v>
      </c>
      <c r="H52" s="22">
        <f t="shared" si="25"/>
        <v>0</v>
      </c>
      <c r="I52" s="22">
        <f t="shared" si="26"/>
        <v>0</v>
      </c>
      <c r="J52" s="22" t="e">
        <f t="shared" si="27"/>
        <v>#DIV/0!</v>
      </c>
      <c r="K52" s="23" t="e">
        <f t="shared" si="28"/>
        <v>#DIV/0!</v>
      </c>
      <c r="L52" s="23" t="str">
        <f t="shared" si="29"/>
        <v xml:space="preserve"> ± 0</v>
      </c>
    </row>
    <row r="53" spans="1:12" x14ac:dyDescent="0.25">
      <c r="A53" s="17">
        <f t="shared" si="3"/>
        <v>51</v>
      </c>
      <c r="B53" s="22">
        <v>3312</v>
      </c>
      <c r="C53" s="22">
        <v>118080</v>
      </c>
      <c r="D53" s="22">
        <f t="shared" si="21"/>
        <v>63.810062983286848</v>
      </c>
      <c r="E53" s="22">
        <f t="shared" si="22"/>
        <v>3503.4301889498606</v>
      </c>
      <c r="F53" s="22">
        <f t="shared" si="23"/>
        <v>3120.5698110501394</v>
      </c>
      <c r="G53" s="22">
        <f t="shared" si="24"/>
        <v>1.9266323364518976</v>
      </c>
      <c r="H53" s="22">
        <f t="shared" si="25"/>
        <v>11.650070297257201</v>
      </c>
      <c r="I53" s="22">
        <f t="shared" si="26"/>
        <v>23.300140594514403</v>
      </c>
      <c r="J53" s="22">
        <f t="shared" si="27"/>
        <v>0.70350666046239141</v>
      </c>
      <c r="K53" s="23">
        <f t="shared" si="28"/>
        <v>1</v>
      </c>
      <c r="L53" s="23" t="str">
        <f t="shared" si="29"/>
        <v>3312 ± 23,301</v>
      </c>
    </row>
    <row r="54" spans="1:12" x14ac:dyDescent="0.25">
      <c r="A54" s="17">
        <f t="shared" si="3"/>
        <v>52</v>
      </c>
      <c r="B54" s="22">
        <v>3310</v>
      </c>
      <c r="C54" s="22">
        <v>137400</v>
      </c>
      <c r="D54" s="22">
        <f t="shared" si="21"/>
        <v>68.832630593946931</v>
      </c>
      <c r="E54" s="22">
        <f>B54+3*D54</f>
        <v>3516.4978917818407</v>
      </c>
      <c r="F54" s="22">
        <f>B54-3*D54</f>
        <v>3103.5021082181593</v>
      </c>
      <c r="G54" s="22">
        <f>D54/B54*100</f>
        <v>2.0795356674908438</v>
      </c>
      <c r="H54" s="22">
        <f t="shared" si="25"/>
        <v>12.567061489574984</v>
      </c>
      <c r="I54" s="22">
        <f t="shared" si="26"/>
        <v>25.134122979149968</v>
      </c>
      <c r="J54" s="22">
        <f>I54/B54*100</f>
        <v>0.75933906281419838</v>
      </c>
      <c r="K54" s="23">
        <f t="shared" si="28"/>
        <v>1</v>
      </c>
      <c r="L54" s="23" t="str">
        <f xml:space="preserve"> B54 &amp; " ± " &amp; (ROUNDUP(I54, 3))</f>
        <v>3310 ± 25,135</v>
      </c>
    </row>
    <row r="55" spans="1:12" x14ac:dyDescent="0.25">
      <c r="A55" s="3">
        <f t="shared" si="3"/>
        <v>53</v>
      </c>
      <c r="D55" s="22">
        <f t="shared" si="21"/>
        <v>0</v>
      </c>
      <c r="E55" s="22">
        <f>B55+3*D55</f>
        <v>0</v>
      </c>
      <c r="F55" s="22">
        <f>B55-3*D55</f>
        <v>0</v>
      </c>
      <c r="G55" s="22" t="e">
        <f>D55/B55*100</f>
        <v>#DIV/0!</v>
      </c>
      <c r="H55" s="22">
        <f t="shared" si="25"/>
        <v>0</v>
      </c>
      <c r="I55" s="22">
        <f t="shared" si="26"/>
        <v>0</v>
      </c>
      <c r="J55" s="22" t="e">
        <f>I55/B55*100</f>
        <v>#DIV/0!</v>
      </c>
      <c r="K55" s="23" t="e">
        <f t="shared" si="28"/>
        <v>#DIV/0!</v>
      </c>
      <c r="L55" s="23" t="str">
        <f xml:space="preserve"> B55 &amp; " ± " &amp; (ROUNDUP(I55, 3))</f>
        <v xml:space="preserve"> ± 0</v>
      </c>
    </row>
    <row r="56" spans="1:12" x14ac:dyDescent="0.25">
      <c r="A56" s="3">
        <f t="shared" si="3"/>
        <v>54</v>
      </c>
      <c r="D56" s="22">
        <f t="shared" si="21"/>
        <v>0</v>
      </c>
      <c r="E56" s="22">
        <f t="shared" si="22"/>
        <v>0</v>
      </c>
      <c r="F56" s="22">
        <f t="shared" si="23"/>
        <v>0</v>
      </c>
      <c r="G56" s="22" t="e">
        <f t="shared" si="24"/>
        <v>#DIV/0!</v>
      </c>
      <c r="H56" s="22">
        <f t="shared" si="25"/>
        <v>0</v>
      </c>
      <c r="I56" s="22">
        <f t="shared" si="26"/>
        <v>0</v>
      </c>
      <c r="J56" s="22" t="e">
        <f t="shared" si="27"/>
        <v>#DIV/0!</v>
      </c>
      <c r="K56" s="23" t="e">
        <f t="shared" si="28"/>
        <v>#DIV/0!</v>
      </c>
      <c r="L56" s="23" t="str">
        <f t="shared" si="29"/>
        <v xml:space="preserve"> ± 0</v>
      </c>
    </row>
    <row r="57" spans="1:12" x14ac:dyDescent="0.25">
      <c r="A57" s="3">
        <f t="shared" si="3"/>
        <v>55</v>
      </c>
      <c r="D57" s="22">
        <f t="shared" si="21"/>
        <v>0</v>
      </c>
      <c r="E57" s="22">
        <f t="shared" si="22"/>
        <v>0</v>
      </c>
      <c r="F57" s="22">
        <f t="shared" si="23"/>
        <v>0</v>
      </c>
      <c r="G57" s="22" t="e">
        <f t="shared" si="24"/>
        <v>#DIV/0!</v>
      </c>
      <c r="H57" s="22">
        <f t="shared" si="25"/>
        <v>0</v>
      </c>
      <c r="I57" s="22">
        <f t="shared" si="26"/>
        <v>0</v>
      </c>
      <c r="J57" s="22" t="e">
        <f t="shared" si="27"/>
        <v>#DIV/0!</v>
      </c>
      <c r="K57" s="23" t="e">
        <f t="shared" si="28"/>
        <v>#DIV/0!</v>
      </c>
      <c r="L57" s="23" t="str">
        <f t="shared" si="29"/>
        <v xml:space="preserve"> ± 0</v>
      </c>
    </row>
    <row r="58" spans="1:12" x14ac:dyDescent="0.25">
      <c r="A58" s="17">
        <f t="shared" si="3"/>
        <v>56</v>
      </c>
      <c r="B58" s="22">
        <v>3286</v>
      </c>
      <c r="C58" s="22">
        <v>134520</v>
      </c>
      <c r="D58" s="22">
        <f t="shared" si="21"/>
        <v>68.107420224636115</v>
      </c>
      <c r="E58" s="22">
        <f t="shared" si="22"/>
        <v>3490.3222606739082</v>
      </c>
      <c r="F58" s="22">
        <f t="shared" si="23"/>
        <v>3081.6777393260918</v>
      </c>
      <c r="G58" s="22">
        <f t="shared" si="24"/>
        <v>2.0726542977673805</v>
      </c>
      <c r="H58" s="22">
        <f t="shared" si="25"/>
        <v>12.434656796838922</v>
      </c>
      <c r="I58" s="22">
        <f t="shared" si="26"/>
        <v>24.869313593677845</v>
      </c>
      <c r="J58" s="22">
        <f t="shared" si="27"/>
        <v>0.75682634186481579</v>
      </c>
      <c r="K58" s="23">
        <f t="shared" si="28"/>
        <v>1</v>
      </c>
      <c r="L58" s="23" t="str">
        <f t="shared" si="29"/>
        <v>3286 ± 24,87</v>
      </c>
    </row>
    <row r="59" spans="1:12" x14ac:dyDescent="0.25">
      <c r="A59" s="17">
        <f t="shared" si="3"/>
        <v>57</v>
      </c>
      <c r="B59" s="22">
        <v>3272</v>
      </c>
      <c r="C59" s="22">
        <v>242880</v>
      </c>
      <c r="D59" s="22">
        <f t="shared" si="21"/>
        <v>91.515968080948056</v>
      </c>
      <c r="E59" s="22">
        <f t="shared" si="22"/>
        <v>3546.5479042428442</v>
      </c>
      <c r="F59" s="22">
        <f t="shared" si="23"/>
        <v>2997.4520957571558</v>
      </c>
      <c r="G59" s="22">
        <f t="shared" si="24"/>
        <v>2.7969427897600263</v>
      </c>
      <c r="H59" s="22">
        <f t="shared" si="25"/>
        <v>16.708453363286004</v>
      </c>
      <c r="I59" s="22">
        <f t="shared" si="26"/>
        <v>33.416906726572009</v>
      </c>
      <c r="J59" s="22">
        <f t="shared" si="27"/>
        <v>1.0212991053353304</v>
      </c>
      <c r="K59" s="23">
        <f t="shared" si="28"/>
        <v>2</v>
      </c>
      <c r="L59" s="23" t="str">
        <f t="shared" si="29"/>
        <v>3272 ± 33,417</v>
      </c>
    </row>
    <row r="60" spans="1:12" x14ac:dyDescent="0.25">
      <c r="A60" s="3">
        <f t="shared" si="3"/>
        <v>58</v>
      </c>
      <c r="D60" s="22">
        <f t="shared" si="21"/>
        <v>0</v>
      </c>
      <c r="E60" s="22">
        <f t="shared" si="22"/>
        <v>0</v>
      </c>
      <c r="F60" s="22">
        <f t="shared" si="23"/>
        <v>0</v>
      </c>
      <c r="G60" s="22" t="e">
        <f t="shared" si="24"/>
        <v>#DIV/0!</v>
      </c>
      <c r="H60" s="22">
        <f t="shared" si="25"/>
        <v>0</v>
      </c>
      <c r="I60" s="22">
        <f t="shared" si="26"/>
        <v>0</v>
      </c>
      <c r="J60" s="22" t="e">
        <f t="shared" si="27"/>
        <v>#DIV/0!</v>
      </c>
      <c r="K60" s="23" t="e">
        <f t="shared" si="28"/>
        <v>#DIV/0!</v>
      </c>
      <c r="L60" s="23" t="str">
        <f t="shared" si="29"/>
        <v xml:space="preserve"> ± 0</v>
      </c>
    </row>
    <row r="61" spans="1:12" x14ac:dyDescent="0.25">
      <c r="A61" s="3">
        <f t="shared" si="3"/>
        <v>59</v>
      </c>
      <c r="D61" s="22">
        <f t="shared" si="21"/>
        <v>0</v>
      </c>
      <c r="E61" s="22">
        <f t="shared" si="22"/>
        <v>0</v>
      </c>
      <c r="F61" s="22">
        <f t="shared" si="23"/>
        <v>0</v>
      </c>
      <c r="G61" s="22" t="e">
        <f t="shared" si="24"/>
        <v>#DIV/0!</v>
      </c>
      <c r="H61" s="22">
        <f t="shared" si="25"/>
        <v>0</v>
      </c>
      <c r="I61" s="22">
        <f t="shared" si="26"/>
        <v>0</v>
      </c>
      <c r="J61" s="22" t="e">
        <f t="shared" si="27"/>
        <v>#DIV/0!</v>
      </c>
      <c r="K61" s="23" t="e">
        <f t="shared" si="28"/>
        <v>#DIV/0!</v>
      </c>
      <c r="L61" s="23" t="str">
        <f t="shared" si="29"/>
        <v xml:space="preserve"> ± 0</v>
      </c>
    </row>
    <row r="62" spans="1:12" x14ac:dyDescent="0.25">
      <c r="A62" s="3">
        <f t="shared" si="3"/>
        <v>60</v>
      </c>
      <c r="D62" s="22">
        <f t="shared" si="21"/>
        <v>0</v>
      </c>
      <c r="E62" s="22">
        <f t="shared" si="22"/>
        <v>0</v>
      </c>
      <c r="F62" s="22">
        <f t="shared" si="23"/>
        <v>0</v>
      </c>
      <c r="G62" s="22" t="e">
        <f t="shared" si="24"/>
        <v>#DIV/0!</v>
      </c>
      <c r="H62" s="22">
        <f t="shared" si="25"/>
        <v>0</v>
      </c>
      <c r="I62" s="22">
        <f t="shared" si="26"/>
        <v>0</v>
      </c>
      <c r="J62" s="22" t="e">
        <f t="shared" si="27"/>
        <v>#DIV/0!</v>
      </c>
      <c r="K62" s="23" t="e">
        <f t="shared" si="28"/>
        <v>#DIV/0!</v>
      </c>
      <c r="L62" s="23" t="str">
        <f t="shared" si="29"/>
        <v xml:space="preserve"> ± 0</v>
      </c>
    </row>
    <row r="63" spans="1:12" x14ac:dyDescent="0.25">
      <c r="A63" s="18">
        <f t="shared" si="3"/>
        <v>61</v>
      </c>
      <c r="B63" s="22">
        <v>3370</v>
      </c>
      <c r="C63" s="22">
        <v>79800</v>
      </c>
      <c r="D63" s="22">
        <f t="shared" si="21"/>
        <v>52.456878842827031</v>
      </c>
      <c r="E63" s="22">
        <f t="shared" si="22"/>
        <v>3527.3706365284811</v>
      </c>
      <c r="F63" s="22">
        <f t="shared" si="23"/>
        <v>3212.6293634715189</v>
      </c>
      <c r="G63" s="22">
        <f t="shared" si="24"/>
        <v>1.5565839419236509</v>
      </c>
      <c r="H63" s="22">
        <f t="shared" si="25"/>
        <v>9.5772719461772873</v>
      </c>
      <c r="I63" s="22">
        <f t="shared" si="26"/>
        <v>19.154543892354575</v>
      </c>
      <c r="J63" s="22">
        <f t="shared" si="27"/>
        <v>0.56838409176126337</v>
      </c>
      <c r="K63" s="23">
        <f t="shared" si="28"/>
        <v>1</v>
      </c>
      <c r="L63" s="23" t="str">
        <f t="shared" si="29"/>
        <v>3370 ± 19,155</v>
      </c>
    </row>
    <row r="64" spans="1:12" x14ac:dyDescent="0.25">
      <c r="A64" s="16">
        <f t="shared" si="3"/>
        <v>62</v>
      </c>
      <c r="D64" s="22">
        <f t="shared" si="21"/>
        <v>0</v>
      </c>
      <c r="E64" s="22">
        <f t="shared" si="22"/>
        <v>0</v>
      </c>
      <c r="F64" s="22">
        <f t="shared" si="23"/>
        <v>0</v>
      </c>
      <c r="G64" s="22" t="e">
        <f t="shared" si="24"/>
        <v>#DIV/0!</v>
      </c>
      <c r="H64" s="22">
        <f t="shared" si="25"/>
        <v>0</v>
      </c>
      <c r="I64" s="22">
        <f t="shared" si="26"/>
        <v>0</v>
      </c>
      <c r="J64" s="22" t="e">
        <f t="shared" si="27"/>
        <v>#DIV/0!</v>
      </c>
      <c r="K64" s="23" t="e">
        <f t="shared" si="28"/>
        <v>#DIV/0!</v>
      </c>
      <c r="L64" s="23" t="str">
        <f t="shared" si="29"/>
        <v xml:space="preserve"> ± 0</v>
      </c>
    </row>
    <row r="65" spans="1:12" x14ac:dyDescent="0.25">
      <c r="A65" s="16">
        <f t="shared" si="3"/>
        <v>63</v>
      </c>
      <c r="D65" s="22">
        <f t="shared" si="21"/>
        <v>0</v>
      </c>
      <c r="E65" s="22">
        <f t="shared" si="22"/>
        <v>0</v>
      </c>
      <c r="F65" s="22">
        <f t="shared" si="23"/>
        <v>0</v>
      </c>
      <c r="G65" s="22" t="e">
        <f t="shared" si="24"/>
        <v>#DIV/0!</v>
      </c>
      <c r="H65" s="22">
        <f t="shared" si="25"/>
        <v>0</v>
      </c>
      <c r="I65" s="22">
        <f t="shared" si="26"/>
        <v>0</v>
      </c>
      <c r="J65" s="22" t="e">
        <f t="shared" si="27"/>
        <v>#DIV/0!</v>
      </c>
      <c r="K65" s="23" t="e">
        <f t="shared" si="28"/>
        <v>#DIV/0!</v>
      </c>
      <c r="L65" s="23" t="str">
        <f t="shared" si="29"/>
        <v xml:space="preserve"> ± 0</v>
      </c>
    </row>
    <row r="66" spans="1:12" x14ac:dyDescent="0.25">
      <c r="A66" s="16">
        <f t="shared" si="3"/>
        <v>64</v>
      </c>
      <c r="D66" s="22">
        <f t="shared" si="21"/>
        <v>0</v>
      </c>
      <c r="E66" s="22">
        <f t="shared" si="22"/>
        <v>0</v>
      </c>
      <c r="F66" s="22">
        <f t="shared" si="23"/>
        <v>0</v>
      </c>
      <c r="G66" s="22" t="e">
        <f t="shared" si="24"/>
        <v>#DIV/0!</v>
      </c>
      <c r="H66" s="22">
        <f t="shared" si="25"/>
        <v>0</v>
      </c>
      <c r="I66" s="22">
        <f t="shared" si="26"/>
        <v>0</v>
      </c>
      <c r="J66" s="22" t="e">
        <f t="shared" si="27"/>
        <v>#DIV/0!</v>
      </c>
      <c r="K66" s="23" t="e">
        <f t="shared" si="28"/>
        <v>#DIV/0!</v>
      </c>
      <c r="L66" s="23" t="str">
        <f t="shared" si="29"/>
        <v xml:space="preserve"> ± 0</v>
      </c>
    </row>
    <row r="67" spans="1:12" x14ac:dyDescent="0.25">
      <c r="A67" s="16">
        <f t="shared" si="3"/>
        <v>65</v>
      </c>
      <c r="D67" s="22">
        <f t="shared" si="21"/>
        <v>0</v>
      </c>
      <c r="E67" s="22">
        <f t="shared" si="22"/>
        <v>0</v>
      </c>
      <c r="F67" s="22">
        <f t="shared" si="23"/>
        <v>0</v>
      </c>
      <c r="G67" s="22" t="e">
        <f t="shared" si="24"/>
        <v>#DIV/0!</v>
      </c>
      <c r="H67" s="22">
        <f t="shared" si="25"/>
        <v>0</v>
      </c>
      <c r="I67" s="22">
        <f t="shared" si="26"/>
        <v>0</v>
      </c>
      <c r="J67" s="22" t="e">
        <f t="shared" si="27"/>
        <v>#DIV/0!</v>
      </c>
      <c r="K67" s="23" t="e">
        <f t="shared" si="28"/>
        <v>#DIV/0!</v>
      </c>
      <c r="L67" s="23" t="str">
        <f t="shared" si="29"/>
        <v xml:space="preserve"> ± 0</v>
      </c>
    </row>
    <row r="68" spans="1:12" x14ac:dyDescent="0.25">
      <c r="A68" s="17">
        <f t="shared" si="3"/>
        <v>66</v>
      </c>
      <c r="B68" s="22">
        <v>3268</v>
      </c>
      <c r="C68" s="22">
        <v>192480</v>
      </c>
      <c r="D68" s="22">
        <f t="shared" si="21"/>
        <v>81.469266470923529</v>
      </c>
      <c r="E68" s="22">
        <f t="shared" si="22"/>
        <v>3512.4077994127706</v>
      </c>
      <c r="F68" s="22">
        <f t="shared" si="23"/>
        <v>3023.5922005872294</v>
      </c>
      <c r="G68" s="22">
        <f t="shared" si="24"/>
        <v>2.4929396104933761</v>
      </c>
      <c r="H68" s="22">
        <f t="shared" si="25"/>
        <v>14.874184996508038</v>
      </c>
      <c r="I68" s="22">
        <f t="shared" si="26"/>
        <v>29.748369993016077</v>
      </c>
      <c r="J68" s="22">
        <f t="shared" si="27"/>
        <v>0.91029283944357631</v>
      </c>
      <c r="K68" s="23">
        <f t="shared" si="28"/>
        <v>1</v>
      </c>
      <c r="L68" s="23" t="str">
        <f t="shared" si="29"/>
        <v>3268 ± 29,749</v>
      </c>
    </row>
    <row r="69" spans="1:12" x14ac:dyDescent="0.25">
      <c r="A69" s="16">
        <f t="shared" ref="A69:A78" si="30">A68+1</f>
        <v>67</v>
      </c>
      <c r="D69" s="22">
        <f t="shared" si="21"/>
        <v>0</v>
      </c>
      <c r="E69" s="22">
        <f t="shared" si="22"/>
        <v>0</v>
      </c>
      <c r="F69" s="22">
        <f t="shared" si="23"/>
        <v>0</v>
      </c>
      <c r="G69" s="22" t="e">
        <f t="shared" si="24"/>
        <v>#DIV/0!</v>
      </c>
      <c r="H69" s="22">
        <f t="shared" si="25"/>
        <v>0</v>
      </c>
      <c r="I69" s="22">
        <f t="shared" si="26"/>
        <v>0</v>
      </c>
      <c r="J69" s="22" t="e">
        <f t="shared" si="27"/>
        <v>#DIV/0!</v>
      </c>
      <c r="K69" s="23" t="e">
        <f t="shared" si="28"/>
        <v>#DIV/0!</v>
      </c>
      <c r="L69" s="23" t="str">
        <f t="shared" si="29"/>
        <v xml:space="preserve"> ± 0</v>
      </c>
    </row>
    <row r="70" spans="1:12" x14ac:dyDescent="0.25">
      <c r="A70" s="16">
        <f t="shared" si="30"/>
        <v>68</v>
      </c>
      <c r="D70" s="22">
        <f t="shared" si="21"/>
        <v>0</v>
      </c>
      <c r="E70" s="22">
        <f t="shared" si="22"/>
        <v>0</v>
      </c>
      <c r="F70" s="22">
        <f t="shared" si="23"/>
        <v>0</v>
      </c>
      <c r="G70" s="22" t="e">
        <f t="shared" si="24"/>
        <v>#DIV/0!</v>
      </c>
      <c r="H70" s="22">
        <f t="shared" si="25"/>
        <v>0</v>
      </c>
      <c r="I70" s="22">
        <f t="shared" si="26"/>
        <v>0</v>
      </c>
      <c r="J70" s="22" t="e">
        <f t="shared" si="27"/>
        <v>#DIV/0!</v>
      </c>
      <c r="K70" s="23" t="e">
        <f t="shared" si="28"/>
        <v>#DIV/0!</v>
      </c>
      <c r="L70" s="23" t="str">
        <f t="shared" si="29"/>
        <v xml:space="preserve"> ± 0</v>
      </c>
    </row>
    <row r="71" spans="1:12" x14ac:dyDescent="0.25">
      <c r="A71" s="16">
        <f t="shared" si="30"/>
        <v>69</v>
      </c>
      <c r="D71" s="22">
        <f t="shared" si="21"/>
        <v>0</v>
      </c>
      <c r="E71" s="22">
        <f t="shared" si="22"/>
        <v>0</v>
      </c>
      <c r="F71" s="22">
        <f t="shared" si="23"/>
        <v>0</v>
      </c>
      <c r="G71" s="22" t="e">
        <f t="shared" si="24"/>
        <v>#DIV/0!</v>
      </c>
      <c r="H71" s="22">
        <f t="shared" si="25"/>
        <v>0</v>
      </c>
      <c r="I71" s="22">
        <f t="shared" si="26"/>
        <v>0</v>
      </c>
      <c r="J71" s="22" t="e">
        <f t="shared" si="27"/>
        <v>#DIV/0!</v>
      </c>
      <c r="K71" s="23" t="e">
        <f t="shared" si="28"/>
        <v>#DIV/0!</v>
      </c>
      <c r="L71" s="23" t="str">
        <f t="shared" si="29"/>
        <v xml:space="preserve"> ± 0</v>
      </c>
    </row>
    <row r="72" spans="1:12" x14ac:dyDescent="0.25">
      <c r="A72" s="16">
        <f t="shared" si="30"/>
        <v>70</v>
      </c>
      <c r="D72" s="22">
        <f t="shared" si="21"/>
        <v>0</v>
      </c>
      <c r="E72" s="22">
        <f t="shared" si="22"/>
        <v>0</v>
      </c>
      <c r="F72" s="22">
        <f t="shared" si="23"/>
        <v>0</v>
      </c>
      <c r="G72" s="22" t="e">
        <f t="shared" si="24"/>
        <v>#DIV/0!</v>
      </c>
      <c r="H72" s="22">
        <f t="shared" si="25"/>
        <v>0</v>
      </c>
      <c r="I72" s="22">
        <f t="shared" si="26"/>
        <v>0</v>
      </c>
      <c r="J72" s="22" t="e">
        <f t="shared" si="27"/>
        <v>#DIV/0!</v>
      </c>
      <c r="K72" s="23" t="e">
        <f t="shared" si="28"/>
        <v>#DIV/0!</v>
      </c>
      <c r="L72" s="23" t="str">
        <f t="shared" si="29"/>
        <v xml:space="preserve"> ± 0</v>
      </c>
    </row>
    <row r="73" spans="1:12" x14ac:dyDescent="0.25">
      <c r="A73" s="17">
        <f t="shared" si="30"/>
        <v>71</v>
      </c>
      <c r="B73" s="22">
        <v>3304</v>
      </c>
      <c r="C73" s="22">
        <v>215520</v>
      </c>
      <c r="D73" s="22">
        <f t="shared" si="21"/>
        <v>86.207448274096564</v>
      </c>
      <c r="E73" s="22">
        <f t="shared" si="22"/>
        <v>3562.6223448222895</v>
      </c>
      <c r="F73" s="22">
        <f t="shared" si="23"/>
        <v>3045.3776551777105</v>
      </c>
      <c r="G73" s="22">
        <f t="shared" si="24"/>
        <v>2.6091842697971117</v>
      </c>
      <c r="H73" s="22">
        <f t="shared" si="25"/>
        <v>15.73925468156083</v>
      </c>
      <c r="I73" s="22">
        <f t="shared" si="26"/>
        <v>31.47850936312166</v>
      </c>
      <c r="J73" s="22">
        <f t="shared" si="27"/>
        <v>0.95273938750368214</v>
      </c>
      <c r="K73" s="23">
        <f t="shared" si="28"/>
        <v>2</v>
      </c>
      <c r="L73" s="23" t="str">
        <f t="shared" si="29"/>
        <v>3304 ± 31,479</v>
      </c>
    </row>
    <row r="74" spans="1:12" x14ac:dyDescent="0.25">
      <c r="A74" s="16">
        <f t="shared" si="30"/>
        <v>72</v>
      </c>
      <c r="D74" s="22">
        <f t="shared" si="21"/>
        <v>0</v>
      </c>
      <c r="E74" s="22">
        <f t="shared" si="22"/>
        <v>0</v>
      </c>
      <c r="F74" s="22">
        <f t="shared" si="23"/>
        <v>0</v>
      </c>
      <c r="G74" s="22" t="e">
        <f t="shared" si="24"/>
        <v>#DIV/0!</v>
      </c>
      <c r="H74" s="22">
        <f t="shared" si="25"/>
        <v>0</v>
      </c>
      <c r="I74" s="22">
        <f t="shared" si="26"/>
        <v>0</v>
      </c>
      <c r="J74" s="22" t="e">
        <f t="shared" si="27"/>
        <v>#DIV/0!</v>
      </c>
      <c r="K74" s="23" t="e">
        <f t="shared" si="28"/>
        <v>#DIV/0!</v>
      </c>
      <c r="L74" s="23" t="str">
        <f t="shared" si="29"/>
        <v xml:space="preserve"> ± 0</v>
      </c>
    </row>
    <row r="75" spans="1:12" x14ac:dyDescent="0.25">
      <c r="A75" s="16">
        <f t="shared" si="30"/>
        <v>73</v>
      </c>
      <c r="D75" s="22">
        <f t="shared" si="21"/>
        <v>0</v>
      </c>
      <c r="E75" s="22">
        <f t="shared" si="22"/>
        <v>0</v>
      </c>
      <c r="F75" s="22">
        <f t="shared" si="23"/>
        <v>0</v>
      </c>
      <c r="G75" s="22" t="e">
        <f t="shared" si="24"/>
        <v>#DIV/0!</v>
      </c>
      <c r="H75" s="22">
        <f t="shared" si="25"/>
        <v>0</v>
      </c>
      <c r="I75" s="22">
        <f t="shared" si="26"/>
        <v>0</v>
      </c>
      <c r="J75" s="22" t="e">
        <f t="shared" si="27"/>
        <v>#DIV/0!</v>
      </c>
      <c r="K75" s="23" t="e">
        <f t="shared" si="28"/>
        <v>#DIV/0!</v>
      </c>
      <c r="L75" s="23" t="str">
        <f t="shared" si="29"/>
        <v xml:space="preserve"> ± 0</v>
      </c>
    </row>
    <row r="76" spans="1:12" x14ac:dyDescent="0.25">
      <c r="A76" s="16">
        <f t="shared" si="30"/>
        <v>74</v>
      </c>
      <c r="D76" s="22">
        <f t="shared" si="21"/>
        <v>0</v>
      </c>
      <c r="E76" s="22">
        <f t="shared" si="22"/>
        <v>0</v>
      </c>
      <c r="F76" s="22">
        <f t="shared" si="23"/>
        <v>0</v>
      </c>
      <c r="G76" s="22" t="e">
        <f t="shared" si="24"/>
        <v>#DIV/0!</v>
      </c>
      <c r="H76" s="22">
        <f t="shared" si="25"/>
        <v>0</v>
      </c>
      <c r="I76" s="22">
        <f t="shared" si="26"/>
        <v>0</v>
      </c>
      <c r="J76" s="22" t="e">
        <f t="shared" si="27"/>
        <v>#DIV/0!</v>
      </c>
      <c r="K76" s="23" t="e">
        <f t="shared" si="28"/>
        <v>#DIV/0!</v>
      </c>
      <c r="L76" s="23" t="str">
        <f t="shared" si="29"/>
        <v xml:space="preserve"> ± 0</v>
      </c>
    </row>
    <row r="77" spans="1:12" x14ac:dyDescent="0.25">
      <c r="A77" s="16">
        <f t="shared" si="30"/>
        <v>75</v>
      </c>
      <c r="D77" s="22">
        <f t="shared" si="21"/>
        <v>0</v>
      </c>
      <c r="E77" s="22">
        <f t="shared" si="22"/>
        <v>0</v>
      </c>
      <c r="F77" s="22">
        <f t="shared" si="23"/>
        <v>0</v>
      </c>
      <c r="G77" s="22" t="e">
        <f t="shared" si="24"/>
        <v>#DIV/0!</v>
      </c>
      <c r="H77" s="22">
        <f t="shared" si="25"/>
        <v>0</v>
      </c>
      <c r="I77" s="22">
        <f t="shared" si="26"/>
        <v>0</v>
      </c>
      <c r="J77" s="22" t="e">
        <f t="shared" si="27"/>
        <v>#DIV/0!</v>
      </c>
      <c r="K77" s="23" t="e">
        <f t="shared" si="28"/>
        <v>#DIV/0!</v>
      </c>
      <c r="L77" s="23" t="str">
        <f t="shared" si="29"/>
        <v xml:space="preserve"> ± 0</v>
      </c>
    </row>
    <row r="78" spans="1:12" x14ac:dyDescent="0.25">
      <c r="A78" s="17">
        <f t="shared" si="30"/>
        <v>76</v>
      </c>
      <c r="B78" s="22">
        <v>3280</v>
      </c>
      <c r="C78" s="22">
        <v>268800</v>
      </c>
      <c r="D78" s="22">
        <f t="shared" si="21"/>
        <v>96.275466850290471</v>
      </c>
      <c r="E78" s="22">
        <f t="shared" si="22"/>
        <v>3568.8264005508713</v>
      </c>
      <c r="F78" s="22">
        <f t="shared" si="23"/>
        <v>2991.1735994491287</v>
      </c>
      <c r="G78" s="22">
        <f t="shared" si="24"/>
        <v>2.9352276478747092</v>
      </c>
      <c r="H78" s="22">
        <f t="shared" si="25"/>
        <v>17.577414976081645</v>
      </c>
      <c r="I78" s="22">
        <f t="shared" si="26"/>
        <v>35.15482995216329</v>
      </c>
      <c r="J78" s="22">
        <f t="shared" si="27"/>
        <v>1.0717935961025393</v>
      </c>
      <c r="K78" s="23">
        <f t="shared" si="28"/>
        <v>2</v>
      </c>
      <c r="L78" s="23" t="str">
        <f t="shared" si="29"/>
        <v>3280 ± 35,155</v>
      </c>
    </row>
    <row r="79" spans="1:12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12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2" x14ac:dyDescent="0.25">
      <c r="A81" s="17" t="s">
        <v>61</v>
      </c>
      <c r="B81" s="22">
        <v>3416</v>
      </c>
      <c r="C81" s="22">
        <v>6720</v>
      </c>
      <c r="D81" s="22">
        <f t="shared" ref="D81:D88" si="31">POWER(C81/($O$5-1),0.5)</f>
        <v>15.222487902147746</v>
      </c>
      <c r="E81" s="22">
        <f t="shared" ref="E81:E88" si="32">B81+3*D81</f>
        <v>3461.6674637064434</v>
      </c>
      <c r="F81" s="22">
        <f t="shared" ref="F81:F88" si="33">B81-3*D81</f>
        <v>3370.3325362935566</v>
      </c>
      <c r="G81" s="22">
        <f t="shared" ref="G81:G88" si="34">D81/B81*100</f>
        <v>0.44562318214718227</v>
      </c>
      <c r="H81" s="22">
        <f t="shared" ref="H81:H88" si="35">D81/POWER($O$5, 0.5)</f>
        <v>2.7792333351186049</v>
      </c>
      <c r="I81" s="22">
        <f t="shared" ref="I81:I88" si="36">H81*$P$5</f>
        <v>5.5584666702372099</v>
      </c>
      <c r="J81" s="22">
        <f t="shared" ref="J81:J88" si="37">I81/B81*100</f>
        <v>0.16271857933949677</v>
      </c>
      <c r="K81" s="23">
        <f t="shared" ref="K81:K88" si="38">ROUNDUP(POWER(G81*$P$5/$Q$5,2),0)</f>
        <v>1</v>
      </c>
      <c r="L81" s="23" t="str">
        <f t="shared" ref="L81:L88" si="39" xml:space="preserve"> B81 &amp; " ± " &amp; (ROUNDUP(I81, 3))</f>
        <v>3416 ± 5,559</v>
      </c>
    </row>
    <row r="82" spans="1:12" x14ac:dyDescent="0.25">
      <c r="A82" s="17" t="s">
        <v>62</v>
      </c>
      <c r="B82" s="22">
        <v>3420</v>
      </c>
      <c r="C82" s="22">
        <v>0</v>
      </c>
      <c r="D82" s="22">
        <f t="shared" si="31"/>
        <v>0</v>
      </c>
      <c r="E82" s="22">
        <f t="shared" si="32"/>
        <v>3420</v>
      </c>
      <c r="F82" s="22">
        <f t="shared" si="33"/>
        <v>3420</v>
      </c>
      <c r="G82" s="22">
        <f t="shared" si="34"/>
        <v>0</v>
      </c>
      <c r="H82" s="22">
        <f t="shared" si="35"/>
        <v>0</v>
      </c>
      <c r="I82" s="22">
        <f t="shared" si="36"/>
        <v>0</v>
      </c>
      <c r="J82" s="22">
        <f t="shared" si="37"/>
        <v>0</v>
      </c>
      <c r="K82" s="23">
        <f t="shared" si="38"/>
        <v>0</v>
      </c>
      <c r="L82" s="23" t="str">
        <f t="shared" si="39"/>
        <v>3420 ± 0</v>
      </c>
    </row>
    <row r="83" spans="1:12" x14ac:dyDescent="0.25">
      <c r="A83" s="17" t="s">
        <v>63</v>
      </c>
      <c r="B83" s="22">
        <v>2612</v>
      </c>
      <c r="C83" s="22">
        <v>6406080</v>
      </c>
      <c r="D83" s="22">
        <f>POWER(C83/($O$5-1),0.5)</f>
        <v>469.99926632371205</v>
      </c>
      <c r="E83" s="22">
        <f>B83+3*D83</f>
        <v>4021.997798971136</v>
      </c>
      <c r="F83" s="22">
        <f>B83-3*D83</f>
        <v>1202.002201028864</v>
      </c>
      <c r="G83" s="22">
        <f>D83/B83*100</f>
        <v>17.993846337048698</v>
      </c>
      <c r="H83" s="22">
        <f t="shared" si="35"/>
        <v>85.809733392125082</v>
      </c>
      <c r="I83" s="22">
        <f t="shared" si="36"/>
        <v>171.61946678425016</v>
      </c>
      <c r="J83" s="22">
        <f>I83/B83*100</f>
        <v>6.5704236900555202</v>
      </c>
      <c r="K83" s="23">
        <f t="shared" si="38"/>
        <v>52</v>
      </c>
      <c r="L83" s="23" t="str">
        <f xml:space="preserve"> B83 &amp; " ± " &amp; (ROUNDUP(I83, 3))</f>
        <v>2612 ± 171,62</v>
      </c>
    </row>
    <row r="84" spans="1:12" x14ac:dyDescent="0.25">
      <c r="A84" s="17" t="s">
        <v>64</v>
      </c>
      <c r="B84" s="22">
        <v>2584</v>
      </c>
      <c r="C84" s="22">
        <v>6133920</v>
      </c>
      <c r="D84" s="22">
        <f>POWER(C84/($O$5-1),0.5)</f>
        <v>459.90703708317045</v>
      </c>
      <c r="E84" s="22">
        <f>B84+3*D84</f>
        <v>3963.7211112495115</v>
      </c>
      <c r="F84" s="22">
        <f>B84-3*D84</f>
        <v>1204.2788887504887</v>
      </c>
      <c r="G84" s="22">
        <f>D84/B84*100</f>
        <v>17.798259949039107</v>
      </c>
      <c r="H84" s="22">
        <f t="shared" si="35"/>
        <v>83.96715285527246</v>
      </c>
      <c r="I84" s="22">
        <f t="shared" si="36"/>
        <v>167.93430571054492</v>
      </c>
      <c r="J84" s="22">
        <f>I84/B84*100</f>
        <v>6.4990056389529771</v>
      </c>
      <c r="K84" s="23">
        <f t="shared" si="38"/>
        <v>51</v>
      </c>
      <c r="L84" s="23" t="str">
        <f xml:space="preserve"> B84 &amp; " ± " &amp; (ROUNDUP(I84, 3))</f>
        <v>2584 ± 167,935</v>
      </c>
    </row>
    <row r="85" spans="1:12" x14ac:dyDescent="0.25">
      <c r="A85" s="17" t="s">
        <v>65</v>
      </c>
      <c r="B85" s="22">
        <v>3214</v>
      </c>
      <c r="C85" s="22">
        <v>559320</v>
      </c>
      <c r="D85" s="22">
        <f t="shared" si="31"/>
        <v>138.87727154478569</v>
      </c>
      <c r="E85" s="22">
        <f t="shared" si="32"/>
        <v>3630.6318146343569</v>
      </c>
      <c r="F85" s="22">
        <f t="shared" si="33"/>
        <v>2797.3681853656431</v>
      </c>
      <c r="G85" s="22">
        <f t="shared" si="34"/>
        <v>4.3210103156436119</v>
      </c>
      <c r="H85" s="22">
        <f t="shared" si="35"/>
        <v>25.355404783283149</v>
      </c>
      <c r="I85" s="22">
        <f t="shared" si="36"/>
        <v>50.710809566566297</v>
      </c>
      <c r="J85" s="22">
        <f t="shared" si="37"/>
        <v>1.5778098807270162</v>
      </c>
      <c r="K85" s="23">
        <f t="shared" si="38"/>
        <v>3</v>
      </c>
      <c r="L85" s="23" t="str">
        <f t="shared" si="39"/>
        <v>3214 ± 50,711</v>
      </c>
    </row>
    <row r="86" spans="1:12" x14ac:dyDescent="0.25">
      <c r="A86" s="17" t="s">
        <v>66</v>
      </c>
      <c r="B86" s="22">
        <v>3170</v>
      </c>
      <c r="C86" s="22">
        <v>555000</v>
      </c>
      <c r="D86" s="22">
        <f t="shared" si="31"/>
        <v>138.33991121322421</v>
      </c>
      <c r="E86" s="22">
        <f t="shared" si="32"/>
        <v>3585.0197336396727</v>
      </c>
      <c r="F86" s="22">
        <f t="shared" si="33"/>
        <v>2754.9802663603273</v>
      </c>
      <c r="G86" s="22">
        <f t="shared" si="34"/>
        <v>4.364035054044928</v>
      </c>
      <c r="H86" s="22">
        <f t="shared" si="35"/>
        <v>25.257296658248258</v>
      </c>
      <c r="I86" s="22">
        <f t="shared" si="36"/>
        <v>50.514593316496516</v>
      </c>
      <c r="J86" s="22">
        <f t="shared" si="37"/>
        <v>1.5935202938957893</v>
      </c>
      <c r="K86" s="23">
        <f t="shared" si="38"/>
        <v>4</v>
      </c>
      <c r="L86" s="23" t="str">
        <f t="shared" si="39"/>
        <v>3170 ± 50,515</v>
      </c>
    </row>
    <row r="87" spans="1:12" x14ac:dyDescent="0.25">
      <c r="A87" s="17" t="s">
        <v>67</v>
      </c>
      <c r="B87" s="22">
        <v>2236</v>
      </c>
      <c r="C87" s="22">
        <v>13254720</v>
      </c>
      <c r="D87" s="22">
        <f t="shared" si="31"/>
        <v>676.06161726933408</v>
      </c>
      <c r="E87" s="22">
        <f t="shared" si="32"/>
        <v>4264.1848518080023</v>
      </c>
      <c r="F87" s="22">
        <f t="shared" si="33"/>
        <v>207.81514819199765</v>
      </c>
      <c r="G87" s="22">
        <f t="shared" si="34"/>
        <v>30.235313831365566</v>
      </c>
      <c r="H87" s="22">
        <f t="shared" si="35"/>
        <v>123.43139934727948</v>
      </c>
      <c r="I87" s="22">
        <f t="shared" si="36"/>
        <v>246.86279869455896</v>
      </c>
      <c r="J87" s="22">
        <f t="shared" si="37"/>
        <v>11.040375612457915</v>
      </c>
      <c r="K87" s="23">
        <f t="shared" si="38"/>
        <v>147</v>
      </c>
      <c r="L87" s="23" t="str">
        <f t="shared" si="39"/>
        <v>2236 ± 246,863</v>
      </c>
    </row>
    <row r="88" spans="1:12" x14ac:dyDescent="0.25">
      <c r="A88" s="17" t="s">
        <v>68</v>
      </c>
      <c r="B88" s="22">
        <v>1804</v>
      </c>
      <c r="C88" s="22">
        <v>17265120</v>
      </c>
      <c r="D88" s="22">
        <f t="shared" si="31"/>
        <v>771.58859861796907</v>
      </c>
      <c r="E88" s="22">
        <f t="shared" si="32"/>
        <v>4118.7657958539075</v>
      </c>
      <c r="F88" s="22">
        <f t="shared" si="33"/>
        <v>-510.76579585390709</v>
      </c>
      <c r="G88" s="22">
        <f t="shared" si="34"/>
        <v>42.77098661962134</v>
      </c>
      <c r="H88" s="22">
        <f t="shared" si="35"/>
        <v>140.87216019228703</v>
      </c>
      <c r="I88" s="22">
        <f t="shared" si="36"/>
        <v>281.74432038457405</v>
      </c>
      <c r="J88" s="22">
        <f t="shared" si="37"/>
        <v>15.617756118878829</v>
      </c>
      <c r="K88" s="23">
        <f t="shared" si="38"/>
        <v>293</v>
      </c>
      <c r="L88" s="23" t="str">
        <f t="shared" si="39"/>
        <v>1804 ± 281,745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7ECB-1CA7-429F-9B37-F2BB90AE82BD}">
  <sheetPr codeName="Лист5"/>
  <dimension ref="A1:V92"/>
  <sheetViews>
    <sheetView topLeftCell="A54" workbookViewId="0">
      <selection activeCell="C6" sqref="C6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14</v>
      </c>
      <c r="C1" s="25" t="s">
        <v>13</v>
      </c>
      <c r="D1" s="25" t="s">
        <v>12</v>
      </c>
      <c r="E1" s="25" t="s">
        <v>11</v>
      </c>
      <c r="F1" s="25" t="s">
        <v>10</v>
      </c>
      <c r="G1" s="25" t="s">
        <v>9</v>
      </c>
      <c r="H1" s="25" t="s">
        <v>8</v>
      </c>
      <c r="I1" s="25" t="s">
        <v>7</v>
      </c>
      <c r="J1" s="25" t="s">
        <v>6</v>
      </c>
      <c r="K1" s="26" t="s">
        <v>5</v>
      </c>
      <c r="L1" s="26" t="s">
        <v>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3418</v>
      </c>
      <c r="C3" s="21">
        <v>3480</v>
      </c>
      <c r="D3" s="21">
        <f t="shared" ref="D3:D13" si="0">POWER(C3/($O$5-1),0.5)</f>
        <v>10.954451150103322</v>
      </c>
      <c r="E3" s="21">
        <f t="shared" ref="E3:E13" si="1">B3+3*D3</f>
        <v>3450.8633534503101</v>
      </c>
      <c r="F3" s="21">
        <f t="shared" ref="F3:F13" si="2">B3-3*D3</f>
        <v>3385.1366465496899</v>
      </c>
      <c r="G3" s="21">
        <f t="shared" ref="G3:G13" si="3">D3/B3*100</f>
        <v>0.32049301199834179</v>
      </c>
      <c r="H3" s="21">
        <f t="shared" ref="H3:H13" si="4">D3/POWER($O$5, 0.5)</f>
        <v>2</v>
      </c>
      <c r="I3" s="21">
        <f t="shared" ref="I3:I13" si="5">H3*$P$5</f>
        <v>4</v>
      </c>
      <c r="J3" s="21">
        <f t="shared" ref="J3:J8" si="6">I3/B3*100</f>
        <v>0.11702750146284377</v>
      </c>
      <c r="K3" s="30">
        <f t="shared" ref="K3:K8" si="7">ROUNDUP(POWER(G3*$P$5/$Q$5,2),0)</f>
        <v>1</v>
      </c>
      <c r="L3" s="30" t="str">
        <f t="shared" ref="L3:L66" si="8" xml:space="preserve"> B3 &amp; " ± " &amp; (ROUNDUP(I3, 3))</f>
        <v>3418 ± 4</v>
      </c>
    </row>
    <row r="4" spans="1:17" x14ac:dyDescent="0.25">
      <c r="A4" s="16">
        <f>A3+1</f>
        <v>2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3412</v>
      </c>
      <c r="C8" s="22">
        <v>26880</v>
      </c>
      <c r="D8" s="22">
        <f t="shared" si="0"/>
        <v>30.444975804295492</v>
      </c>
      <c r="E8" s="22">
        <f t="shared" si="1"/>
        <v>3503.3349274128864</v>
      </c>
      <c r="F8" s="22">
        <f t="shared" si="2"/>
        <v>3320.6650725871136</v>
      </c>
      <c r="G8" s="22">
        <f t="shared" si="3"/>
        <v>0.89229120176715981</v>
      </c>
      <c r="H8" s="22">
        <f t="shared" si="4"/>
        <v>5.5584666702372099</v>
      </c>
      <c r="I8" s="22">
        <f t="shared" si="5"/>
        <v>11.11693334047442</v>
      </c>
      <c r="J8" s="22">
        <f t="shared" si="6"/>
        <v>0.32581867938084469</v>
      </c>
      <c r="K8" s="23">
        <f t="shared" si="7"/>
        <v>1</v>
      </c>
      <c r="L8" s="23" t="str">
        <f t="shared" si="8"/>
        <v>3412 ± 11,117</v>
      </c>
    </row>
    <row r="9" spans="1:17" x14ac:dyDescent="0.25">
      <c r="A9" s="16">
        <f t="shared" si="9"/>
        <v>7</v>
      </c>
      <c r="D9" s="22">
        <f t="shared" si="0"/>
        <v>0</v>
      </c>
      <c r="E9" s="22">
        <f t="shared" si="1"/>
        <v>0</v>
      </c>
      <c r="F9" s="22">
        <f t="shared" si="2"/>
        <v>0</v>
      </c>
      <c r="G9" s="22" t="e">
        <f t="shared" si="3"/>
        <v>#DIV/0!</v>
      </c>
      <c r="H9" s="22">
        <f t="shared" si="4"/>
        <v>0</v>
      </c>
      <c r="I9" s="22">
        <f t="shared" si="5"/>
        <v>0</v>
      </c>
      <c r="J9" s="22" t="e">
        <f t="shared" ref="J9:J72" si="10">I9/B9*100</f>
        <v>#DIV/0!</v>
      </c>
      <c r="K9" s="23" t="e">
        <f t="shared" ref="K9:K72" si="11">ROUNDUP(POWER(G9*$P$5/$Q$5,2),0)</f>
        <v>#DIV/0!</v>
      </c>
      <c r="L9" s="30" t="str">
        <f t="shared" si="8"/>
        <v xml:space="preserve"> ± 0</v>
      </c>
    </row>
    <row r="10" spans="1:17" x14ac:dyDescent="0.25">
      <c r="A10" s="16">
        <f t="shared" si="9"/>
        <v>8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 t="e">
        <f t="shared" si="3"/>
        <v>#DIV/0!</v>
      </c>
      <c r="H10" s="22">
        <f t="shared" si="4"/>
        <v>0</v>
      </c>
      <c r="I10" s="22">
        <f t="shared" si="5"/>
        <v>0</v>
      </c>
      <c r="J10" s="22" t="e">
        <f t="shared" si="10"/>
        <v>#DIV/0!</v>
      </c>
      <c r="K10" s="23" t="e">
        <f t="shared" si="11"/>
        <v>#DIV/0!</v>
      </c>
      <c r="L10" s="23" t="str">
        <f t="shared" si="8"/>
        <v xml:space="preserve"> ± 0</v>
      </c>
    </row>
    <row r="11" spans="1:17" x14ac:dyDescent="0.25">
      <c r="A11" s="16">
        <f t="shared" si="9"/>
        <v>9</v>
      </c>
      <c r="D11" s="22">
        <f t="shared" si="0"/>
        <v>0</v>
      </c>
      <c r="E11" s="22">
        <f t="shared" si="1"/>
        <v>0</v>
      </c>
      <c r="F11" s="22">
        <f t="shared" si="2"/>
        <v>0</v>
      </c>
      <c r="G11" s="22" t="e">
        <f t="shared" si="3"/>
        <v>#DIV/0!</v>
      </c>
      <c r="H11" s="22">
        <f t="shared" si="4"/>
        <v>0</v>
      </c>
      <c r="I11" s="22">
        <f t="shared" si="5"/>
        <v>0</v>
      </c>
      <c r="J11" s="22" t="e">
        <f t="shared" si="10"/>
        <v>#DIV/0!</v>
      </c>
      <c r="K11" s="23" t="e">
        <f t="shared" si="11"/>
        <v>#DIV/0!</v>
      </c>
      <c r="L11" s="23" t="str">
        <f t="shared" si="8"/>
        <v xml:space="preserve"> ± 0</v>
      </c>
    </row>
    <row r="12" spans="1:17" x14ac:dyDescent="0.25">
      <c r="A12" s="16">
        <f t="shared" si="9"/>
        <v>10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 t="e">
        <f t="shared" si="3"/>
        <v>#DIV/0!</v>
      </c>
      <c r="H12" s="22">
        <f t="shared" si="4"/>
        <v>0</v>
      </c>
      <c r="I12" s="22">
        <f t="shared" si="5"/>
        <v>0</v>
      </c>
      <c r="J12" s="22" t="e">
        <f t="shared" si="10"/>
        <v>#DIV/0!</v>
      </c>
      <c r="K12" s="23" t="e">
        <f t="shared" si="11"/>
        <v>#DIV/0!</v>
      </c>
      <c r="L12" s="23" t="str">
        <f t="shared" si="8"/>
        <v xml:space="preserve"> ± 0</v>
      </c>
    </row>
    <row r="13" spans="1:17" x14ac:dyDescent="0.25">
      <c r="A13" s="17">
        <f t="shared" si="9"/>
        <v>11</v>
      </c>
      <c r="B13" s="22">
        <v>3416</v>
      </c>
      <c r="C13" s="22">
        <v>13920</v>
      </c>
      <c r="D13" s="22">
        <f t="shared" si="0"/>
        <v>21.908902300206645</v>
      </c>
      <c r="E13" s="22">
        <f t="shared" si="1"/>
        <v>3481.7267069006198</v>
      </c>
      <c r="F13" s="22">
        <f t="shared" si="2"/>
        <v>3350.2732930993802</v>
      </c>
      <c r="G13" s="22">
        <f t="shared" si="3"/>
        <v>0.64136130855405871</v>
      </c>
      <c r="H13" s="22">
        <f t="shared" si="4"/>
        <v>4</v>
      </c>
      <c r="I13" s="22">
        <f t="shared" si="5"/>
        <v>8</v>
      </c>
      <c r="J13" s="22">
        <f t="shared" si="10"/>
        <v>0.23419203747072601</v>
      </c>
      <c r="K13" s="23">
        <f t="shared" si="11"/>
        <v>1</v>
      </c>
      <c r="L13" s="23" t="str">
        <f t="shared" si="8"/>
        <v>3416 ± 8</v>
      </c>
    </row>
    <row r="14" spans="1:17" x14ac:dyDescent="0.25">
      <c r="A14" s="16">
        <f t="shared" si="9"/>
        <v>12</v>
      </c>
      <c r="D14" s="22">
        <f t="shared" ref="D14:D77" si="12">POWER(C14/($O$5-1),0.5)</f>
        <v>0</v>
      </c>
      <c r="E14" s="22">
        <f t="shared" ref="E14:E77" si="13">B14+3*D14</f>
        <v>0</v>
      </c>
      <c r="F14" s="22">
        <f t="shared" ref="F14:F77" si="14">B14-3*D14</f>
        <v>0</v>
      </c>
      <c r="G14" s="22" t="e">
        <f t="shared" ref="G14:G77" si="15">D14/B14*100</f>
        <v>#DIV/0!</v>
      </c>
      <c r="H14" s="22">
        <f t="shared" ref="H14:H77" si="16">D14/POWER($O$5, 0.5)</f>
        <v>0</v>
      </c>
      <c r="I14" s="22">
        <f t="shared" ref="I14:I77" si="17">H14*$P$5</f>
        <v>0</v>
      </c>
      <c r="J14" s="22" t="e">
        <f t="shared" si="10"/>
        <v>#DIV/0!</v>
      </c>
      <c r="K14" s="23" t="e">
        <f t="shared" si="11"/>
        <v>#DIV/0!</v>
      </c>
      <c r="L14" s="23" t="str">
        <f t="shared" si="8"/>
        <v xml:space="preserve"> ± 0</v>
      </c>
    </row>
    <row r="15" spans="1:17" x14ac:dyDescent="0.25">
      <c r="A15" s="16">
        <f t="shared" si="9"/>
        <v>13</v>
      </c>
      <c r="D15" s="22">
        <f t="shared" si="12"/>
        <v>0</v>
      </c>
      <c r="E15" s="22">
        <f t="shared" si="13"/>
        <v>0</v>
      </c>
      <c r="F15" s="22">
        <f t="shared" si="14"/>
        <v>0</v>
      </c>
      <c r="G15" s="22" t="e">
        <f t="shared" si="15"/>
        <v>#DIV/0!</v>
      </c>
      <c r="H15" s="22">
        <f t="shared" si="16"/>
        <v>0</v>
      </c>
      <c r="I15" s="22">
        <f t="shared" si="17"/>
        <v>0</v>
      </c>
      <c r="J15" s="22" t="e">
        <f t="shared" si="10"/>
        <v>#DIV/0!</v>
      </c>
      <c r="K15" s="23" t="e">
        <f t="shared" si="11"/>
        <v>#DIV/0!</v>
      </c>
      <c r="L15" s="30" t="str">
        <f t="shared" si="8"/>
        <v xml:space="preserve"> ± 0</v>
      </c>
    </row>
    <row r="16" spans="1:17" x14ac:dyDescent="0.25">
      <c r="A16" s="16">
        <f t="shared" si="9"/>
        <v>14</v>
      </c>
      <c r="D16" s="22">
        <f t="shared" si="12"/>
        <v>0</v>
      </c>
      <c r="E16" s="22">
        <f t="shared" si="13"/>
        <v>0</v>
      </c>
      <c r="F16" s="22">
        <f t="shared" si="14"/>
        <v>0</v>
      </c>
      <c r="G16" s="22" t="e">
        <f t="shared" si="15"/>
        <v>#DIV/0!</v>
      </c>
      <c r="H16" s="22">
        <f t="shared" si="16"/>
        <v>0</v>
      </c>
      <c r="I16" s="22">
        <f t="shared" si="17"/>
        <v>0</v>
      </c>
      <c r="J16" s="22" t="e">
        <f t="shared" si="10"/>
        <v>#DIV/0!</v>
      </c>
      <c r="K16" s="23" t="e">
        <f t="shared" si="11"/>
        <v>#DIV/0!</v>
      </c>
      <c r="L16" s="23" t="str">
        <f t="shared" si="8"/>
        <v xml:space="preserve"> ± 0</v>
      </c>
    </row>
    <row r="17" spans="1:12" x14ac:dyDescent="0.25">
      <c r="A17" s="16">
        <f t="shared" si="9"/>
        <v>15</v>
      </c>
      <c r="D17" s="22">
        <f t="shared" si="12"/>
        <v>0</v>
      </c>
      <c r="E17" s="22">
        <f t="shared" si="13"/>
        <v>0</v>
      </c>
      <c r="F17" s="22">
        <f t="shared" si="14"/>
        <v>0</v>
      </c>
      <c r="G17" s="22" t="e">
        <f t="shared" si="15"/>
        <v>#DIV/0!</v>
      </c>
      <c r="H17" s="22">
        <f t="shared" si="16"/>
        <v>0</v>
      </c>
      <c r="I17" s="22">
        <f t="shared" si="17"/>
        <v>0</v>
      </c>
      <c r="J17" s="22" t="e">
        <f t="shared" si="10"/>
        <v>#DIV/0!</v>
      </c>
      <c r="K17" s="23" t="e">
        <f t="shared" si="11"/>
        <v>#DIV/0!</v>
      </c>
      <c r="L17" s="23" t="str">
        <f t="shared" si="8"/>
        <v xml:space="preserve"> ± 0</v>
      </c>
    </row>
    <row r="18" spans="1:12" x14ac:dyDescent="0.25">
      <c r="A18" s="17">
        <f t="shared" si="9"/>
        <v>16</v>
      </c>
      <c r="B18" s="22">
        <v>3380</v>
      </c>
      <c r="C18" s="22">
        <v>74400</v>
      </c>
      <c r="D18" s="22">
        <f t="shared" si="12"/>
        <v>50.650935246837349</v>
      </c>
      <c r="E18" s="22">
        <f t="shared" si="13"/>
        <v>3531.9528057405118</v>
      </c>
      <c r="F18" s="22">
        <f t="shared" si="14"/>
        <v>3228.0471942594882</v>
      </c>
      <c r="G18" s="22">
        <f t="shared" si="15"/>
        <v>1.4985483800839452</v>
      </c>
      <c r="H18" s="22">
        <f t="shared" si="16"/>
        <v>9.2475532644754388</v>
      </c>
      <c r="I18" s="22">
        <f t="shared" si="17"/>
        <v>18.495106528950878</v>
      </c>
      <c r="J18" s="22">
        <f t="shared" si="10"/>
        <v>0.54719250085653492</v>
      </c>
      <c r="K18" s="23">
        <f t="shared" si="11"/>
        <v>1</v>
      </c>
      <c r="L18" s="23" t="str">
        <f t="shared" si="8"/>
        <v>3380 ± 18,496</v>
      </c>
    </row>
    <row r="19" spans="1:12" x14ac:dyDescent="0.25">
      <c r="A19" s="16">
        <f t="shared" si="9"/>
        <v>17</v>
      </c>
      <c r="D19" s="22">
        <f t="shared" si="12"/>
        <v>0</v>
      </c>
      <c r="E19" s="22">
        <f t="shared" si="13"/>
        <v>0</v>
      </c>
      <c r="F19" s="22">
        <f t="shared" si="14"/>
        <v>0</v>
      </c>
      <c r="G19" s="22" t="e">
        <f t="shared" si="15"/>
        <v>#DIV/0!</v>
      </c>
      <c r="H19" s="22">
        <f t="shared" si="16"/>
        <v>0</v>
      </c>
      <c r="I19" s="22">
        <f t="shared" si="17"/>
        <v>0</v>
      </c>
      <c r="J19" s="22" t="e">
        <f t="shared" si="10"/>
        <v>#DIV/0!</v>
      </c>
      <c r="K19" s="23" t="e">
        <f t="shared" si="11"/>
        <v>#DIV/0!</v>
      </c>
      <c r="L19" s="23" t="str">
        <f t="shared" si="8"/>
        <v xml:space="preserve"> ± 0</v>
      </c>
    </row>
    <row r="20" spans="1:12" x14ac:dyDescent="0.25">
      <c r="A20" s="16">
        <f t="shared" si="9"/>
        <v>18</v>
      </c>
      <c r="D20" s="22">
        <f t="shared" si="12"/>
        <v>0</v>
      </c>
      <c r="E20" s="22">
        <f t="shared" si="13"/>
        <v>0</v>
      </c>
      <c r="F20" s="22">
        <f t="shared" si="14"/>
        <v>0</v>
      </c>
      <c r="G20" s="22" t="e">
        <f t="shared" si="15"/>
        <v>#DIV/0!</v>
      </c>
      <c r="H20" s="22">
        <f t="shared" si="16"/>
        <v>0</v>
      </c>
      <c r="I20" s="22">
        <f t="shared" si="17"/>
        <v>0</v>
      </c>
      <c r="J20" s="22" t="e">
        <f t="shared" si="10"/>
        <v>#DIV/0!</v>
      </c>
      <c r="K20" s="23" t="e">
        <f t="shared" si="11"/>
        <v>#DIV/0!</v>
      </c>
      <c r="L20" s="23" t="str">
        <f t="shared" si="8"/>
        <v xml:space="preserve"> ± 0</v>
      </c>
    </row>
    <row r="21" spans="1:12" x14ac:dyDescent="0.25">
      <c r="A21" s="16">
        <f t="shared" si="9"/>
        <v>19</v>
      </c>
      <c r="D21" s="22">
        <f t="shared" si="12"/>
        <v>0</v>
      </c>
      <c r="E21" s="22">
        <f t="shared" si="13"/>
        <v>0</v>
      </c>
      <c r="F21" s="22">
        <f t="shared" si="14"/>
        <v>0</v>
      </c>
      <c r="G21" s="22" t="e">
        <f t="shared" si="15"/>
        <v>#DIV/0!</v>
      </c>
      <c r="H21" s="22">
        <f t="shared" si="16"/>
        <v>0</v>
      </c>
      <c r="I21" s="22">
        <f t="shared" si="17"/>
        <v>0</v>
      </c>
      <c r="J21" s="22" t="e">
        <f t="shared" si="10"/>
        <v>#DIV/0!</v>
      </c>
      <c r="K21" s="23" t="e">
        <f t="shared" si="11"/>
        <v>#DIV/0!</v>
      </c>
      <c r="L21" s="30" t="str">
        <f t="shared" si="8"/>
        <v xml:space="preserve"> ± 0</v>
      </c>
    </row>
    <row r="22" spans="1:12" x14ac:dyDescent="0.25">
      <c r="A22" s="16">
        <f t="shared" si="9"/>
        <v>20</v>
      </c>
      <c r="D22" s="22">
        <f t="shared" si="12"/>
        <v>0</v>
      </c>
      <c r="E22" s="22">
        <f t="shared" si="13"/>
        <v>0</v>
      </c>
      <c r="F22" s="22">
        <f t="shared" si="14"/>
        <v>0</v>
      </c>
      <c r="G22" s="22" t="e">
        <f t="shared" si="15"/>
        <v>#DIV/0!</v>
      </c>
      <c r="H22" s="22">
        <f t="shared" si="16"/>
        <v>0</v>
      </c>
      <c r="I22" s="22">
        <f t="shared" si="17"/>
        <v>0</v>
      </c>
      <c r="J22" s="22" t="e">
        <f t="shared" si="10"/>
        <v>#DIV/0!</v>
      </c>
      <c r="K22" s="23" t="e">
        <f t="shared" si="11"/>
        <v>#DIV/0!</v>
      </c>
      <c r="L22" s="23" t="str">
        <f t="shared" si="8"/>
        <v xml:space="preserve"> ± 0</v>
      </c>
    </row>
    <row r="23" spans="1:12" x14ac:dyDescent="0.25">
      <c r="A23" s="17">
        <f t="shared" si="9"/>
        <v>21</v>
      </c>
      <c r="B23" s="22">
        <v>3406</v>
      </c>
      <c r="C23" s="22">
        <v>26520</v>
      </c>
      <c r="D23" s="22">
        <f t="shared" si="12"/>
        <v>30.240415979623851</v>
      </c>
      <c r="E23" s="22">
        <f t="shared" si="13"/>
        <v>3496.7212479388718</v>
      </c>
      <c r="F23" s="22">
        <f t="shared" si="14"/>
        <v>3315.2787520611282</v>
      </c>
      <c r="G23" s="22">
        <f t="shared" si="15"/>
        <v>0.88785719259024809</v>
      </c>
      <c r="H23" s="22">
        <f t="shared" si="16"/>
        <v>5.5211193267932233</v>
      </c>
      <c r="I23" s="22">
        <f t="shared" si="17"/>
        <v>11.042238653586447</v>
      </c>
      <c r="J23" s="22">
        <f t="shared" si="10"/>
        <v>0.32419960814992499</v>
      </c>
      <c r="K23" s="23">
        <f t="shared" si="11"/>
        <v>1</v>
      </c>
      <c r="L23" s="23" t="str">
        <f t="shared" si="8"/>
        <v>3406 ± 11,043</v>
      </c>
    </row>
    <row r="24" spans="1:12" x14ac:dyDescent="0.25">
      <c r="A24" s="3">
        <f t="shared" si="9"/>
        <v>22</v>
      </c>
      <c r="D24" s="22">
        <f t="shared" si="12"/>
        <v>0</v>
      </c>
      <c r="E24" s="22">
        <f t="shared" si="13"/>
        <v>0</v>
      </c>
      <c r="F24" s="22">
        <f t="shared" si="14"/>
        <v>0</v>
      </c>
      <c r="G24" s="22" t="e">
        <f t="shared" si="15"/>
        <v>#DIV/0!</v>
      </c>
      <c r="H24" s="22">
        <f t="shared" si="16"/>
        <v>0</v>
      </c>
      <c r="I24" s="22">
        <f t="shared" si="17"/>
        <v>0</v>
      </c>
      <c r="J24" s="22" t="e">
        <f t="shared" si="10"/>
        <v>#DIV/0!</v>
      </c>
      <c r="K24" s="23" t="e">
        <f t="shared" si="11"/>
        <v>#DIV/0!</v>
      </c>
      <c r="L24" s="23" t="str">
        <f t="shared" si="8"/>
        <v xml:space="preserve"> ± 0</v>
      </c>
    </row>
    <row r="25" spans="1:12" x14ac:dyDescent="0.25">
      <c r="A25" s="3">
        <f t="shared" si="9"/>
        <v>23</v>
      </c>
      <c r="D25" s="22">
        <f t="shared" si="12"/>
        <v>0</v>
      </c>
      <c r="E25" s="22">
        <f t="shared" si="13"/>
        <v>0</v>
      </c>
      <c r="F25" s="22">
        <f t="shared" si="14"/>
        <v>0</v>
      </c>
      <c r="G25" s="22" t="e">
        <f t="shared" si="15"/>
        <v>#DIV/0!</v>
      </c>
      <c r="H25" s="22">
        <f t="shared" si="16"/>
        <v>0</v>
      </c>
      <c r="I25" s="22">
        <f t="shared" si="17"/>
        <v>0</v>
      </c>
      <c r="J25" s="22" t="e">
        <f t="shared" si="10"/>
        <v>#DIV/0!</v>
      </c>
      <c r="K25" s="23" t="e">
        <f t="shared" si="11"/>
        <v>#DIV/0!</v>
      </c>
      <c r="L25" s="23" t="str">
        <f t="shared" si="8"/>
        <v xml:space="preserve"> ± 0</v>
      </c>
    </row>
    <row r="26" spans="1:12" x14ac:dyDescent="0.25">
      <c r="A26" s="3">
        <f t="shared" si="9"/>
        <v>24</v>
      </c>
      <c r="D26" s="22">
        <f t="shared" si="12"/>
        <v>0</v>
      </c>
      <c r="E26" s="22">
        <f t="shared" si="13"/>
        <v>0</v>
      </c>
      <c r="F26" s="22">
        <f t="shared" si="14"/>
        <v>0</v>
      </c>
      <c r="G26" s="22" t="e">
        <f t="shared" si="15"/>
        <v>#DIV/0!</v>
      </c>
      <c r="H26" s="22">
        <f t="shared" si="16"/>
        <v>0</v>
      </c>
      <c r="I26" s="22">
        <f t="shared" si="17"/>
        <v>0</v>
      </c>
      <c r="J26" s="22" t="e">
        <f t="shared" si="10"/>
        <v>#DIV/0!</v>
      </c>
      <c r="K26" s="23" t="e">
        <f t="shared" si="11"/>
        <v>#DIV/0!</v>
      </c>
      <c r="L26" s="23" t="str">
        <f t="shared" si="8"/>
        <v xml:space="preserve"> ± 0</v>
      </c>
    </row>
    <row r="27" spans="1:12" x14ac:dyDescent="0.25">
      <c r="A27" s="3">
        <f t="shared" si="9"/>
        <v>25</v>
      </c>
      <c r="D27" s="22">
        <f t="shared" si="12"/>
        <v>0</v>
      </c>
      <c r="E27" s="22">
        <f t="shared" si="13"/>
        <v>0</v>
      </c>
      <c r="F27" s="22">
        <f t="shared" si="14"/>
        <v>0</v>
      </c>
      <c r="G27" s="22" t="e">
        <f t="shared" si="15"/>
        <v>#DIV/0!</v>
      </c>
      <c r="H27" s="22">
        <f t="shared" si="16"/>
        <v>0</v>
      </c>
      <c r="I27" s="22">
        <f t="shared" si="17"/>
        <v>0</v>
      </c>
      <c r="J27" s="22" t="e">
        <f t="shared" si="10"/>
        <v>#DIV/0!</v>
      </c>
      <c r="K27" s="23" t="e">
        <f t="shared" si="11"/>
        <v>#DIV/0!</v>
      </c>
      <c r="L27" s="30" t="str">
        <f t="shared" si="8"/>
        <v xml:space="preserve"> ± 0</v>
      </c>
    </row>
    <row r="28" spans="1:12" x14ac:dyDescent="0.25">
      <c r="A28" s="17">
        <f t="shared" si="9"/>
        <v>26</v>
      </c>
      <c r="B28" s="22">
        <v>3214</v>
      </c>
      <c r="C28" s="22">
        <v>840120</v>
      </c>
      <c r="D28" s="22">
        <f t="shared" si="12"/>
        <v>170.20474485869596</v>
      </c>
      <c r="E28" s="22">
        <f t="shared" si="13"/>
        <v>3724.6142345760877</v>
      </c>
      <c r="F28" s="22">
        <f t="shared" si="14"/>
        <v>2703.3857654239123</v>
      </c>
      <c r="G28" s="22">
        <f t="shared" si="15"/>
        <v>5.2957294604448029</v>
      </c>
      <c r="H28" s="22">
        <f t="shared" si="16"/>
        <v>31.074992717839741</v>
      </c>
      <c r="I28" s="22">
        <f t="shared" si="17"/>
        <v>62.149985435679483</v>
      </c>
      <c r="J28" s="22">
        <f t="shared" si="10"/>
        <v>1.933726989286854</v>
      </c>
      <c r="K28" s="23">
        <f t="shared" si="11"/>
        <v>5</v>
      </c>
      <c r="L28" s="23" t="str">
        <f t="shared" si="8"/>
        <v>3214 ± 62,15</v>
      </c>
    </row>
    <row r="29" spans="1:12" x14ac:dyDescent="0.25">
      <c r="A29" s="3">
        <f t="shared" si="9"/>
        <v>27</v>
      </c>
      <c r="D29" s="22">
        <f t="shared" si="12"/>
        <v>0</v>
      </c>
      <c r="E29" s="22">
        <f t="shared" si="13"/>
        <v>0</v>
      </c>
      <c r="F29" s="22">
        <f t="shared" si="14"/>
        <v>0</v>
      </c>
      <c r="G29" s="22" t="e">
        <f t="shared" si="15"/>
        <v>#DIV/0!</v>
      </c>
      <c r="H29" s="22">
        <f t="shared" si="16"/>
        <v>0</v>
      </c>
      <c r="I29" s="22">
        <f t="shared" si="17"/>
        <v>0</v>
      </c>
      <c r="J29" s="22" t="e">
        <f t="shared" si="10"/>
        <v>#DIV/0!</v>
      </c>
      <c r="K29" s="23" t="e">
        <f t="shared" si="11"/>
        <v>#DIV/0!</v>
      </c>
      <c r="L29" s="23" t="str">
        <f t="shared" si="8"/>
        <v xml:space="preserve"> ± 0</v>
      </c>
    </row>
    <row r="30" spans="1:12" x14ac:dyDescent="0.25">
      <c r="A30" s="3">
        <f t="shared" si="9"/>
        <v>28</v>
      </c>
      <c r="D30" s="22">
        <f t="shared" si="12"/>
        <v>0</v>
      </c>
      <c r="E30" s="22">
        <f t="shared" si="13"/>
        <v>0</v>
      </c>
      <c r="F30" s="22">
        <f t="shared" si="14"/>
        <v>0</v>
      </c>
      <c r="G30" s="22" t="e">
        <f t="shared" si="15"/>
        <v>#DIV/0!</v>
      </c>
      <c r="H30" s="22">
        <f t="shared" si="16"/>
        <v>0</v>
      </c>
      <c r="I30" s="22">
        <f t="shared" si="17"/>
        <v>0</v>
      </c>
      <c r="J30" s="22" t="e">
        <f t="shared" si="10"/>
        <v>#DIV/0!</v>
      </c>
      <c r="K30" s="23" t="e">
        <f t="shared" si="11"/>
        <v>#DIV/0!</v>
      </c>
      <c r="L30" s="23" t="str">
        <f t="shared" si="8"/>
        <v xml:space="preserve"> ± 0</v>
      </c>
    </row>
    <row r="31" spans="1:12" x14ac:dyDescent="0.25">
      <c r="A31" s="3">
        <f t="shared" si="9"/>
        <v>29</v>
      </c>
      <c r="D31" s="22">
        <f t="shared" si="12"/>
        <v>0</v>
      </c>
      <c r="E31" s="22">
        <f t="shared" si="13"/>
        <v>0</v>
      </c>
      <c r="F31" s="22">
        <f t="shared" si="14"/>
        <v>0</v>
      </c>
      <c r="G31" s="22" t="e">
        <f t="shared" si="15"/>
        <v>#DIV/0!</v>
      </c>
      <c r="H31" s="22">
        <f t="shared" si="16"/>
        <v>0</v>
      </c>
      <c r="I31" s="22">
        <f t="shared" si="17"/>
        <v>0</v>
      </c>
      <c r="J31" s="22" t="e">
        <f t="shared" si="10"/>
        <v>#DIV/0!</v>
      </c>
      <c r="K31" s="23" t="e">
        <f t="shared" si="11"/>
        <v>#DIV/0!</v>
      </c>
      <c r="L31" s="23" t="str">
        <f t="shared" si="8"/>
        <v xml:space="preserve"> ± 0</v>
      </c>
    </row>
    <row r="32" spans="1:12" x14ac:dyDescent="0.25">
      <c r="A32" s="3">
        <f t="shared" si="9"/>
        <v>30</v>
      </c>
      <c r="D32" s="22">
        <f t="shared" si="12"/>
        <v>0</v>
      </c>
      <c r="E32" s="22">
        <f t="shared" si="13"/>
        <v>0</v>
      </c>
      <c r="F32" s="22">
        <f t="shared" si="14"/>
        <v>0</v>
      </c>
      <c r="G32" s="22" t="e">
        <f t="shared" si="15"/>
        <v>#DIV/0!</v>
      </c>
      <c r="H32" s="22">
        <f t="shared" si="16"/>
        <v>0</v>
      </c>
      <c r="I32" s="22">
        <f t="shared" si="17"/>
        <v>0</v>
      </c>
      <c r="J32" s="22" t="e">
        <f t="shared" si="10"/>
        <v>#DIV/0!</v>
      </c>
      <c r="K32" s="23" t="e">
        <f t="shared" si="11"/>
        <v>#DIV/0!</v>
      </c>
      <c r="L32" s="23" t="str">
        <f t="shared" si="8"/>
        <v xml:space="preserve"> ± 0</v>
      </c>
    </row>
    <row r="33" spans="1:12" x14ac:dyDescent="0.25">
      <c r="A33" s="17">
        <f t="shared" si="9"/>
        <v>31</v>
      </c>
      <c r="B33" s="22">
        <v>3390</v>
      </c>
      <c r="C33" s="22">
        <v>63000</v>
      </c>
      <c r="D33" s="22">
        <f t="shared" si="12"/>
        <v>46.609159969939903</v>
      </c>
      <c r="E33" s="22">
        <f t="shared" si="13"/>
        <v>3529.8274799098199</v>
      </c>
      <c r="F33" s="22">
        <f t="shared" si="14"/>
        <v>3250.1725200901801</v>
      </c>
      <c r="G33" s="22">
        <f t="shared" si="15"/>
        <v>1.3749014740395251</v>
      </c>
      <c r="H33" s="22">
        <f t="shared" si="16"/>
        <v>8.5096294339676319</v>
      </c>
      <c r="I33" s="22">
        <f t="shared" si="17"/>
        <v>17.019258867935264</v>
      </c>
      <c r="J33" s="22">
        <f t="shared" si="10"/>
        <v>0.50204303445236764</v>
      </c>
      <c r="K33" s="23">
        <f t="shared" si="11"/>
        <v>1</v>
      </c>
      <c r="L33" s="30" t="str">
        <f t="shared" si="8"/>
        <v>3390 ± 17,02</v>
      </c>
    </row>
    <row r="34" spans="1:12" x14ac:dyDescent="0.25">
      <c r="A34" s="3">
        <f t="shared" si="9"/>
        <v>32</v>
      </c>
      <c r="D34" s="22">
        <f t="shared" si="12"/>
        <v>0</v>
      </c>
      <c r="E34" s="22">
        <f t="shared" si="13"/>
        <v>0</v>
      </c>
      <c r="F34" s="22">
        <f t="shared" si="14"/>
        <v>0</v>
      </c>
      <c r="G34" s="22" t="e">
        <f t="shared" si="15"/>
        <v>#DIV/0!</v>
      </c>
      <c r="H34" s="22">
        <f t="shared" si="16"/>
        <v>0</v>
      </c>
      <c r="I34" s="22">
        <f t="shared" si="17"/>
        <v>0</v>
      </c>
      <c r="J34" s="22" t="e">
        <f t="shared" si="10"/>
        <v>#DIV/0!</v>
      </c>
      <c r="K34" s="23" t="e">
        <f t="shared" si="11"/>
        <v>#DIV/0!</v>
      </c>
      <c r="L34" s="23" t="str">
        <f t="shared" si="8"/>
        <v xml:space="preserve"> ± 0</v>
      </c>
    </row>
    <row r="35" spans="1:12" x14ac:dyDescent="0.25">
      <c r="A35" s="3">
        <f t="shared" si="9"/>
        <v>33</v>
      </c>
      <c r="D35" s="22">
        <f t="shared" si="12"/>
        <v>0</v>
      </c>
      <c r="E35" s="22">
        <f t="shared" si="13"/>
        <v>0</v>
      </c>
      <c r="F35" s="22">
        <f t="shared" si="14"/>
        <v>0</v>
      </c>
      <c r="G35" s="22" t="e">
        <f t="shared" si="15"/>
        <v>#DIV/0!</v>
      </c>
      <c r="H35" s="22">
        <f t="shared" si="16"/>
        <v>0</v>
      </c>
      <c r="I35" s="22">
        <f t="shared" si="17"/>
        <v>0</v>
      </c>
      <c r="J35" s="22" t="e">
        <f t="shared" si="10"/>
        <v>#DIV/0!</v>
      </c>
      <c r="K35" s="23" t="e">
        <f t="shared" si="11"/>
        <v>#DIV/0!</v>
      </c>
      <c r="L35" s="23" t="str">
        <f t="shared" si="8"/>
        <v xml:space="preserve"> ± 0</v>
      </c>
    </row>
    <row r="36" spans="1:12" x14ac:dyDescent="0.25">
      <c r="A36" s="3">
        <f t="shared" si="9"/>
        <v>34</v>
      </c>
      <c r="D36" s="22">
        <f t="shared" si="12"/>
        <v>0</v>
      </c>
      <c r="E36" s="22">
        <f t="shared" si="13"/>
        <v>0</v>
      </c>
      <c r="F36" s="22">
        <f t="shared" si="14"/>
        <v>0</v>
      </c>
      <c r="G36" s="22" t="e">
        <f t="shared" si="15"/>
        <v>#DIV/0!</v>
      </c>
      <c r="H36" s="22">
        <f t="shared" si="16"/>
        <v>0</v>
      </c>
      <c r="I36" s="22">
        <f t="shared" si="17"/>
        <v>0</v>
      </c>
      <c r="J36" s="22" t="e">
        <f t="shared" si="10"/>
        <v>#DIV/0!</v>
      </c>
      <c r="K36" s="23" t="e">
        <f t="shared" si="11"/>
        <v>#DIV/0!</v>
      </c>
      <c r="L36" s="23" t="str">
        <f t="shared" si="8"/>
        <v xml:space="preserve"> ± 0</v>
      </c>
    </row>
    <row r="37" spans="1:12" x14ac:dyDescent="0.25">
      <c r="A37" s="3">
        <f t="shared" si="9"/>
        <v>35</v>
      </c>
      <c r="D37" s="22">
        <f t="shared" si="12"/>
        <v>0</v>
      </c>
      <c r="E37" s="22">
        <f t="shared" si="13"/>
        <v>0</v>
      </c>
      <c r="F37" s="22">
        <f t="shared" si="14"/>
        <v>0</v>
      </c>
      <c r="G37" s="22" t="e">
        <f t="shared" si="15"/>
        <v>#DIV/0!</v>
      </c>
      <c r="H37" s="22">
        <f t="shared" si="16"/>
        <v>0</v>
      </c>
      <c r="I37" s="22">
        <f t="shared" si="17"/>
        <v>0</v>
      </c>
      <c r="J37" s="22" t="e">
        <f t="shared" si="10"/>
        <v>#DIV/0!</v>
      </c>
      <c r="K37" s="23" t="e">
        <f t="shared" si="11"/>
        <v>#DIV/0!</v>
      </c>
      <c r="L37" s="23" t="str">
        <f t="shared" si="8"/>
        <v xml:space="preserve"> ± 0</v>
      </c>
    </row>
    <row r="38" spans="1:12" x14ac:dyDescent="0.25">
      <c r="A38" s="17">
        <f t="shared" si="9"/>
        <v>36</v>
      </c>
      <c r="B38" s="22">
        <v>3382</v>
      </c>
      <c r="C38" s="22">
        <v>61080</v>
      </c>
      <c r="D38" s="22">
        <f t="shared" si="12"/>
        <v>45.893429775423456</v>
      </c>
      <c r="E38" s="22">
        <f t="shared" si="13"/>
        <v>3519.6802893262702</v>
      </c>
      <c r="F38" s="22">
        <f t="shared" si="14"/>
        <v>3244.3197106737298</v>
      </c>
      <c r="G38" s="22">
        <f t="shared" si="15"/>
        <v>1.3569908271857911</v>
      </c>
      <c r="H38" s="22">
        <f t="shared" si="16"/>
        <v>8.3789555764262253</v>
      </c>
      <c r="I38" s="22">
        <f t="shared" si="17"/>
        <v>16.757911152852451</v>
      </c>
      <c r="J38" s="22">
        <f t="shared" si="10"/>
        <v>0.4955029909181683</v>
      </c>
      <c r="K38" s="23">
        <f t="shared" si="11"/>
        <v>1</v>
      </c>
      <c r="L38" s="23" t="str">
        <f t="shared" si="8"/>
        <v>3382 ± 16,758</v>
      </c>
    </row>
    <row r="39" spans="1:12" x14ac:dyDescent="0.25">
      <c r="A39" s="3">
        <f t="shared" si="9"/>
        <v>37</v>
      </c>
      <c r="D39" s="22">
        <f t="shared" si="12"/>
        <v>0</v>
      </c>
      <c r="E39" s="22">
        <f t="shared" si="13"/>
        <v>0</v>
      </c>
      <c r="F39" s="22">
        <f t="shared" si="14"/>
        <v>0</v>
      </c>
      <c r="G39" s="22" t="e">
        <f t="shared" si="15"/>
        <v>#DIV/0!</v>
      </c>
      <c r="H39" s="22">
        <f t="shared" si="16"/>
        <v>0</v>
      </c>
      <c r="I39" s="22">
        <f t="shared" si="17"/>
        <v>0</v>
      </c>
      <c r="J39" s="22" t="e">
        <f t="shared" si="10"/>
        <v>#DIV/0!</v>
      </c>
      <c r="K39" s="23" t="e">
        <f t="shared" si="11"/>
        <v>#DIV/0!</v>
      </c>
      <c r="L39" s="30" t="str">
        <f t="shared" si="8"/>
        <v xml:space="preserve"> ± 0</v>
      </c>
    </row>
    <row r="40" spans="1:12" x14ac:dyDescent="0.25">
      <c r="A40" s="3">
        <f t="shared" si="9"/>
        <v>38</v>
      </c>
      <c r="D40" s="22">
        <f t="shared" si="12"/>
        <v>0</v>
      </c>
      <c r="E40" s="22">
        <f t="shared" si="13"/>
        <v>0</v>
      </c>
      <c r="F40" s="22">
        <f t="shared" si="14"/>
        <v>0</v>
      </c>
      <c r="G40" s="22" t="e">
        <f t="shared" si="15"/>
        <v>#DIV/0!</v>
      </c>
      <c r="H40" s="22">
        <f t="shared" si="16"/>
        <v>0</v>
      </c>
      <c r="I40" s="22">
        <f t="shared" si="17"/>
        <v>0</v>
      </c>
      <c r="J40" s="22" t="e">
        <f t="shared" si="10"/>
        <v>#DIV/0!</v>
      </c>
      <c r="K40" s="23" t="e">
        <f t="shared" si="11"/>
        <v>#DIV/0!</v>
      </c>
      <c r="L40" s="23" t="str">
        <f t="shared" si="8"/>
        <v xml:space="preserve"> ± 0</v>
      </c>
    </row>
    <row r="41" spans="1:12" x14ac:dyDescent="0.25">
      <c r="A41" s="3">
        <f t="shared" si="9"/>
        <v>39</v>
      </c>
      <c r="D41" s="22">
        <f t="shared" si="12"/>
        <v>0</v>
      </c>
      <c r="E41" s="22">
        <f t="shared" si="13"/>
        <v>0</v>
      </c>
      <c r="F41" s="22">
        <f t="shared" si="14"/>
        <v>0</v>
      </c>
      <c r="G41" s="22" t="e">
        <f t="shared" si="15"/>
        <v>#DIV/0!</v>
      </c>
      <c r="H41" s="22">
        <f t="shared" si="16"/>
        <v>0</v>
      </c>
      <c r="I41" s="22">
        <f t="shared" si="17"/>
        <v>0</v>
      </c>
      <c r="J41" s="22" t="e">
        <f t="shared" si="10"/>
        <v>#DIV/0!</v>
      </c>
      <c r="K41" s="23" t="e">
        <f t="shared" si="11"/>
        <v>#DIV/0!</v>
      </c>
      <c r="L41" s="23" t="str">
        <f t="shared" si="8"/>
        <v xml:space="preserve"> ± 0</v>
      </c>
    </row>
    <row r="42" spans="1:12" x14ac:dyDescent="0.25">
      <c r="A42" s="3">
        <f t="shared" si="9"/>
        <v>40</v>
      </c>
      <c r="D42" s="22">
        <f t="shared" si="12"/>
        <v>0</v>
      </c>
      <c r="E42" s="22">
        <f t="shared" si="13"/>
        <v>0</v>
      </c>
      <c r="F42" s="22">
        <f t="shared" si="14"/>
        <v>0</v>
      </c>
      <c r="G42" s="22" t="e">
        <f t="shared" si="15"/>
        <v>#DIV/0!</v>
      </c>
      <c r="H42" s="22">
        <f t="shared" si="16"/>
        <v>0</v>
      </c>
      <c r="I42" s="22">
        <f t="shared" si="17"/>
        <v>0</v>
      </c>
      <c r="J42" s="22" t="e">
        <f t="shared" si="10"/>
        <v>#DIV/0!</v>
      </c>
      <c r="K42" s="23" t="e">
        <f t="shared" si="11"/>
        <v>#DIV/0!</v>
      </c>
      <c r="L42" s="23" t="str">
        <f t="shared" si="8"/>
        <v xml:space="preserve"> ± 0</v>
      </c>
    </row>
    <row r="43" spans="1:12" x14ac:dyDescent="0.25">
      <c r="A43" s="17">
        <f t="shared" si="9"/>
        <v>41</v>
      </c>
      <c r="B43" s="22">
        <v>3400</v>
      </c>
      <c r="C43" s="22">
        <v>24000</v>
      </c>
      <c r="D43" s="22">
        <f t="shared" si="12"/>
        <v>28.767798089123048</v>
      </c>
      <c r="E43" s="22">
        <f t="shared" si="13"/>
        <v>3486.3033942673692</v>
      </c>
      <c r="F43" s="22">
        <f t="shared" si="14"/>
        <v>3313.6966057326308</v>
      </c>
      <c r="G43" s="22">
        <f t="shared" si="15"/>
        <v>0.84611170850361905</v>
      </c>
      <c r="H43" s="22">
        <f t="shared" si="16"/>
        <v>5.2522573143889018</v>
      </c>
      <c r="I43" s="22">
        <f t="shared" si="17"/>
        <v>10.504514628777804</v>
      </c>
      <c r="J43" s="22">
        <f t="shared" si="10"/>
        <v>0.30895631261111184</v>
      </c>
      <c r="K43" s="23">
        <f t="shared" si="11"/>
        <v>1</v>
      </c>
      <c r="L43" s="23" t="str">
        <f t="shared" si="8"/>
        <v>3400 ± 10,505</v>
      </c>
    </row>
    <row r="44" spans="1:12" x14ac:dyDescent="0.25">
      <c r="A44" s="16">
        <f t="shared" si="9"/>
        <v>42</v>
      </c>
      <c r="D44" s="22">
        <f t="shared" si="12"/>
        <v>0</v>
      </c>
      <c r="E44" s="22">
        <f t="shared" si="13"/>
        <v>0</v>
      </c>
      <c r="F44" s="22">
        <f t="shared" si="14"/>
        <v>0</v>
      </c>
      <c r="G44" s="22" t="e">
        <f t="shared" si="15"/>
        <v>#DIV/0!</v>
      </c>
      <c r="H44" s="22">
        <f t="shared" si="16"/>
        <v>0</v>
      </c>
      <c r="I44" s="22">
        <f t="shared" si="17"/>
        <v>0</v>
      </c>
      <c r="J44" s="22" t="e">
        <f t="shared" si="10"/>
        <v>#DIV/0!</v>
      </c>
      <c r="K44" s="23" t="e">
        <f t="shared" si="11"/>
        <v>#DIV/0!</v>
      </c>
      <c r="L44" s="23" t="str">
        <f t="shared" si="8"/>
        <v xml:space="preserve"> ± 0</v>
      </c>
    </row>
    <row r="45" spans="1:12" x14ac:dyDescent="0.25">
      <c r="A45" s="16">
        <f t="shared" si="9"/>
        <v>43</v>
      </c>
      <c r="D45" s="22">
        <f t="shared" si="12"/>
        <v>0</v>
      </c>
      <c r="E45" s="22">
        <f t="shared" si="13"/>
        <v>0</v>
      </c>
      <c r="F45" s="22">
        <f t="shared" si="14"/>
        <v>0</v>
      </c>
      <c r="G45" s="22" t="e">
        <f t="shared" si="15"/>
        <v>#DIV/0!</v>
      </c>
      <c r="H45" s="22">
        <f t="shared" si="16"/>
        <v>0</v>
      </c>
      <c r="I45" s="22">
        <f t="shared" si="17"/>
        <v>0</v>
      </c>
      <c r="J45" s="22" t="e">
        <f t="shared" si="10"/>
        <v>#DIV/0!</v>
      </c>
      <c r="K45" s="23" t="e">
        <f t="shared" si="11"/>
        <v>#DIV/0!</v>
      </c>
      <c r="L45" s="30" t="str">
        <f t="shared" si="8"/>
        <v xml:space="preserve"> ± 0</v>
      </c>
    </row>
    <row r="46" spans="1:12" x14ac:dyDescent="0.25">
      <c r="A46" s="16">
        <f t="shared" si="9"/>
        <v>44</v>
      </c>
      <c r="D46" s="22">
        <f t="shared" si="12"/>
        <v>0</v>
      </c>
      <c r="E46" s="22">
        <f t="shared" si="13"/>
        <v>0</v>
      </c>
      <c r="F46" s="22">
        <f t="shared" si="14"/>
        <v>0</v>
      </c>
      <c r="G46" s="22" t="e">
        <f t="shared" si="15"/>
        <v>#DIV/0!</v>
      </c>
      <c r="H46" s="22">
        <f t="shared" si="16"/>
        <v>0</v>
      </c>
      <c r="I46" s="22">
        <f t="shared" si="17"/>
        <v>0</v>
      </c>
      <c r="J46" s="22" t="e">
        <f t="shared" si="10"/>
        <v>#DIV/0!</v>
      </c>
      <c r="K46" s="23" t="e">
        <f t="shared" si="11"/>
        <v>#DIV/0!</v>
      </c>
      <c r="L46" s="23" t="str">
        <f t="shared" si="8"/>
        <v xml:space="preserve"> ± 0</v>
      </c>
    </row>
    <row r="47" spans="1:12" x14ac:dyDescent="0.25">
      <c r="A47" s="16">
        <f t="shared" si="9"/>
        <v>45</v>
      </c>
      <c r="D47" s="22">
        <f t="shared" si="12"/>
        <v>0</v>
      </c>
      <c r="E47" s="22">
        <f t="shared" si="13"/>
        <v>0</v>
      </c>
      <c r="F47" s="22">
        <f t="shared" si="14"/>
        <v>0</v>
      </c>
      <c r="G47" s="22" t="e">
        <f t="shared" si="15"/>
        <v>#DIV/0!</v>
      </c>
      <c r="H47" s="22">
        <f t="shared" si="16"/>
        <v>0</v>
      </c>
      <c r="I47" s="22">
        <f t="shared" si="17"/>
        <v>0</v>
      </c>
      <c r="J47" s="22" t="e">
        <f t="shared" si="10"/>
        <v>#DIV/0!</v>
      </c>
      <c r="K47" s="23" t="e">
        <f t="shared" si="11"/>
        <v>#DIV/0!</v>
      </c>
      <c r="L47" s="23" t="str">
        <f t="shared" si="8"/>
        <v xml:space="preserve"> ± 0</v>
      </c>
    </row>
    <row r="48" spans="1:12" x14ac:dyDescent="0.25">
      <c r="A48" s="17">
        <f t="shared" si="9"/>
        <v>46</v>
      </c>
      <c r="B48" s="22">
        <v>3396</v>
      </c>
      <c r="C48" s="22">
        <v>47520</v>
      </c>
      <c r="D48" s="22">
        <f t="shared" si="12"/>
        <v>40.479880059792329</v>
      </c>
      <c r="E48" s="22">
        <f t="shared" si="13"/>
        <v>3517.439640179377</v>
      </c>
      <c r="F48" s="22">
        <f t="shared" si="14"/>
        <v>3274.560359820623</v>
      </c>
      <c r="G48" s="22">
        <f t="shared" si="15"/>
        <v>1.1919870453413524</v>
      </c>
      <c r="H48" s="22">
        <f t="shared" si="16"/>
        <v>7.3905811446172773</v>
      </c>
      <c r="I48" s="22">
        <f t="shared" si="17"/>
        <v>14.781162289234555</v>
      </c>
      <c r="J48" s="22">
        <f t="shared" si="10"/>
        <v>0.43525212865826135</v>
      </c>
      <c r="K48" s="23">
        <f t="shared" si="11"/>
        <v>1</v>
      </c>
      <c r="L48" s="23" t="str">
        <f t="shared" si="8"/>
        <v>3396 ± 14,782</v>
      </c>
    </row>
    <row r="49" spans="1:12" x14ac:dyDescent="0.25">
      <c r="A49" s="16">
        <f t="shared" si="9"/>
        <v>47</v>
      </c>
      <c r="D49" s="22">
        <f t="shared" si="12"/>
        <v>0</v>
      </c>
      <c r="E49" s="22">
        <f t="shared" si="13"/>
        <v>0</v>
      </c>
      <c r="F49" s="22">
        <f t="shared" si="14"/>
        <v>0</v>
      </c>
      <c r="G49" s="22" t="e">
        <f t="shared" si="15"/>
        <v>#DIV/0!</v>
      </c>
      <c r="H49" s="22">
        <f t="shared" si="16"/>
        <v>0</v>
      </c>
      <c r="I49" s="22">
        <f t="shared" si="17"/>
        <v>0</v>
      </c>
      <c r="J49" s="22" t="e">
        <f t="shared" si="10"/>
        <v>#DIV/0!</v>
      </c>
      <c r="K49" s="23" t="e">
        <f t="shared" si="11"/>
        <v>#DIV/0!</v>
      </c>
      <c r="L49" s="23" t="str">
        <f t="shared" si="8"/>
        <v xml:space="preserve"> ± 0</v>
      </c>
    </row>
    <row r="50" spans="1:12" x14ac:dyDescent="0.25">
      <c r="A50" s="3">
        <f t="shared" si="9"/>
        <v>48</v>
      </c>
      <c r="D50" s="22">
        <f t="shared" si="12"/>
        <v>0</v>
      </c>
      <c r="E50" s="22">
        <f t="shared" si="13"/>
        <v>0</v>
      </c>
      <c r="F50" s="22">
        <f t="shared" si="14"/>
        <v>0</v>
      </c>
      <c r="G50" s="22" t="e">
        <f t="shared" si="15"/>
        <v>#DIV/0!</v>
      </c>
      <c r="H50" s="22">
        <f t="shared" si="16"/>
        <v>0</v>
      </c>
      <c r="I50" s="22">
        <f t="shared" si="17"/>
        <v>0</v>
      </c>
      <c r="J50" s="22" t="e">
        <f t="shared" si="10"/>
        <v>#DIV/0!</v>
      </c>
      <c r="K50" s="23" t="e">
        <f t="shared" si="11"/>
        <v>#DIV/0!</v>
      </c>
      <c r="L50" s="23" t="str">
        <f t="shared" si="8"/>
        <v xml:space="preserve"> ± 0</v>
      </c>
    </row>
    <row r="51" spans="1:12" x14ac:dyDescent="0.25">
      <c r="A51" s="3">
        <f t="shared" si="9"/>
        <v>49</v>
      </c>
      <c r="D51" s="22">
        <f t="shared" si="12"/>
        <v>0</v>
      </c>
      <c r="E51" s="22">
        <f t="shared" si="13"/>
        <v>0</v>
      </c>
      <c r="F51" s="22">
        <f t="shared" si="14"/>
        <v>0</v>
      </c>
      <c r="G51" s="22" t="e">
        <f t="shared" si="15"/>
        <v>#DIV/0!</v>
      </c>
      <c r="H51" s="22">
        <f t="shared" si="16"/>
        <v>0</v>
      </c>
      <c r="I51" s="22">
        <f t="shared" si="17"/>
        <v>0</v>
      </c>
      <c r="J51" s="22" t="e">
        <f t="shared" si="10"/>
        <v>#DIV/0!</v>
      </c>
      <c r="K51" s="23" t="e">
        <f t="shared" si="11"/>
        <v>#DIV/0!</v>
      </c>
      <c r="L51" s="30" t="str">
        <f t="shared" si="8"/>
        <v xml:space="preserve"> ± 0</v>
      </c>
    </row>
    <row r="52" spans="1:12" x14ac:dyDescent="0.25">
      <c r="A52" s="3">
        <f t="shared" si="9"/>
        <v>50</v>
      </c>
      <c r="D52" s="22">
        <f t="shared" si="12"/>
        <v>0</v>
      </c>
      <c r="E52" s="22">
        <f t="shared" si="13"/>
        <v>0</v>
      </c>
      <c r="F52" s="22">
        <f t="shared" si="14"/>
        <v>0</v>
      </c>
      <c r="G52" s="22" t="e">
        <f t="shared" si="15"/>
        <v>#DIV/0!</v>
      </c>
      <c r="H52" s="22">
        <f t="shared" si="16"/>
        <v>0</v>
      </c>
      <c r="I52" s="22">
        <f t="shared" si="17"/>
        <v>0</v>
      </c>
      <c r="J52" s="22" t="e">
        <f t="shared" si="10"/>
        <v>#DIV/0!</v>
      </c>
      <c r="K52" s="23" t="e">
        <f t="shared" si="11"/>
        <v>#DIV/0!</v>
      </c>
      <c r="L52" s="23" t="str">
        <f t="shared" si="8"/>
        <v xml:space="preserve"> ± 0</v>
      </c>
    </row>
    <row r="53" spans="1:12" x14ac:dyDescent="0.25">
      <c r="A53" s="17">
        <f t="shared" si="9"/>
        <v>51</v>
      </c>
      <c r="B53" s="22">
        <v>3380</v>
      </c>
      <c r="C53" s="22">
        <v>74400</v>
      </c>
      <c r="D53" s="22">
        <f t="shared" si="12"/>
        <v>50.650935246837349</v>
      </c>
      <c r="E53" s="22">
        <f t="shared" si="13"/>
        <v>3531.9528057405118</v>
      </c>
      <c r="F53" s="22">
        <f t="shared" si="14"/>
        <v>3228.0471942594882</v>
      </c>
      <c r="G53" s="22">
        <f t="shared" si="15"/>
        <v>1.4985483800839452</v>
      </c>
      <c r="H53" s="22">
        <f t="shared" si="16"/>
        <v>9.2475532644754388</v>
      </c>
      <c r="I53" s="22">
        <f t="shared" si="17"/>
        <v>18.495106528950878</v>
      </c>
      <c r="J53" s="22">
        <f t="shared" si="10"/>
        <v>0.54719250085653492</v>
      </c>
      <c r="K53" s="23">
        <f t="shared" si="11"/>
        <v>1</v>
      </c>
      <c r="L53" s="23" t="str">
        <f t="shared" si="8"/>
        <v>3380 ± 18,496</v>
      </c>
    </row>
    <row r="54" spans="1:12" x14ac:dyDescent="0.25">
      <c r="A54" s="17">
        <f t="shared" si="9"/>
        <v>52</v>
      </c>
      <c r="B54" s="22">
        <v>3352</v>
      </c>
      <c r="C54" s="22">
        <v>98800</v>
      </c>
      <c r="D54" s="22">
        <f t="shared" si="12"/>
        <v>58.368626433420019</v>
      </c>
      <c r="E54" s="22">
        <f t="shared" si="13"/>
        <v>3527.1058793002599</v>
      </c>
      <c r="F54" s="22">
        <f t="shared" si="14"/>
        <v>3176.8941206997401</v>
      </c>
      <c r="G54" s="22">
        <f t="shared" si="15"/>
        <v>1.7413074711640817</v>
      </c>
      <c r="H54" s="22">
        <f t="shared" si="16"/>
        <v>10.656604449392152</v>
      </c>
      <c r="I54" s="22">
        <f t="shared" si="17"/>
        <v>21.313208898784303</v>
      </c>
      <c r="J54" s="22">
        <f t="shared" si="10"/>
        <v>0.63583558767256276</v>
      </c>
      <c r="K54" s="23">
        <f t="shared" si="11"/>
        <v>1</v>
      </c>
      <c r="L54" s="23" t="str">
        <f t="shared" si="8"/>
        <v>3352 ± 21,314</v>
      </c>
    </row>
    <row r="55" spans="1:12" x14ac:dyDescent="0.25">
      <c r="A55" s="3">
        <f t="shared" si="9"/>
        <v>53</v>
      </c>
      <c r="D55" s="22">
        <f t="shared" si="12"/>
        <v>0</v>
      </c>
      <c r="E55" s="22">
        <f t="shared" si="13"/>
        <v>0</v>
      </c>
      <c r="F55" s="22">
        <f t="shared" si="14"/>
        <v>0</v>
      </c>
      <c r="G55" s="22" t="e">
        <f t="shared" si="15"/>
        <v>#DIV/0!</v>
      </c>
      <c r="H55" s="22">
        <f t="shared" si="16"/>
        <v>0</v>
      </c>
      <c r="I55" s="22">
        <f t="shared" si="17"/>
        <v>0</v>
      </c>
      <c r="J55" s="22" t="e">
        <f t="shared" si="10"/>
        <v>#DIV/0!</v>
      </c>
      <c r="K55" s="23" t="e">
        <f t="shared" si="11"/>
        <v>#DIV/0!</v>
      </c>
      <c r="L55" s="23" t="str">
        <f t="shared" si="8"/>
        <v xml:space="preserve"> ± 0</v>
      </c>
    </row>
    <row r="56" spans="1:12" x14ac:dyDescent="0.25">
      <c r="A56" s="3">
        <f t="shared" si="9"/>
        <v>54</v>
      </c>
      <c r="D56" s="22">
        <f t="shared" si="12"/>
        <v>0</v>
      </c>
      <c r="E56" s="22">
        <f t="shared" si="13"/>
        <v>0</v>
      </c>
      <c r="F56" s="22">
        <f t="shared" si="14"/>
        <v>0</v>
      </c>
      <c r="G56" s="22" t="e">
        <f t="shared" si="15"/>
        <v>#DIV/0!</v>
      </c>
      <c r="H56" s="22">
        <f t="shared" si="16"/>
        <v>0</v>
      </c>
      <c r="I56" s="22">
        <f t="shared" si="17"/>
        <v>0</v>
      </c>
      <c r="J56" s="22" t="e">
        <f t="shared" si="10"/>
        <v>#DIV/0!</v>
      </c>
      <c r="K56" s="23" t="e">
        <f t="shared" si="11"/>
        <v>#DIV/0!</v>
      </c>
      <c r="L56" s="23" t="str">
        <f t="shared" si="8"/>
        <v xml:space="preserve"> ± 0</v>
      </c>
    </row>
    <row r="57" spans="1:12" x14ac:dyDescent="0.25">
      <c r="A57" s="3">
        <f t="shared" si="9"/>
        <v>55</v>
      </c>
      <c r="D57" s="22">
        <f t="shared" si="12"/>
        <v>0</v>
      </c>
      <c r="E57" s="22">
        <f>B57+3*D57</f>
        <v>0</v>
      </c>
      <c r="F57" s="22">
        <f>B57-3*D57</f>
        <v>0</v>
      </c>
      <c r="G57" s="22" t="e">
        <f>D57/B57*100</f>
        <v>#DIV/0!</v>
      </c>
      <c r="H57" s="22">
        <f t="shared" si="16"/>
        <v>0</v>
      </c>
      <c r="I57" s="22">
        <f t="shared" si="17"/>
        <v>0</v>
      </c>
      <c r="J57" s="22" t="e">
        <f>I57/B57*100</f>
        <v>#DIV/0!</v>
      </c>
      <c r="K57" s="23" t="e">
        <f t="shared" si="11"/>
        <v>#DIV/0!</v>
      </c>
      <c r="L57" s="30" t="str">
        <f xml:space="preserve"> B57 &amp; " ± " &amp; (ROUNDUP(I57, 3))</f>
        <v xml:space="preserve"> ± 0</v>
      </c>
    </row>
    <row r="58" spans="1:12" x14ac:dyDescent="0.25">
      <c r="A58" s="17">
        <f t="shared" si="9"/>
        <v>56</v>
      </c>
      <c r="B58" s="22">
        <v>3374</v>
      </c>
      <c r="C58" s="22">
        <v>105720</v>
      </c>
      <c r="D58" s="22">
        <f t="shared" si="12"/>
        <v>60.378118895667079</v>
      </c>
      <c r="E58" s="22">
        <f>B58+3*D58</f>
        <v>3555.1343566870014</v>
      </c>
      <c r="F58" s="22">
        <f>B58-3*D58</f>
        <v>3192.8656433129986</v>
      </c>
      <c r="G58" s="22">
        <f>D58/B58*100</f>
        <v>1.7895115262497652</v>
      </c>
      <c r="H58" s="22">
        <f t="shared" si="16"/>
        <v>11.023485899628589</v>
      </c>
      <c r="I58" s="22">
        <f t="shared" si="17"/>
        <v>22.046971799257179</v>
      </c>
      <c r="J58" s="22">
        <f>I58/B58*100</f>
        <v>0.65343721989499648</v>
      </c>
      <c r="K58" s="23">
        <f t="shared" si="11"/>
        <v>1</v>
      </c>
      <c r="L58" s="23" t="str">
        <f xml:space="preserve"> B58 &amp; " ± " &amp; (ROUNDUP(I58, 3))</f>
        <v>3374 ± 22,047</v>
      </c>
    </row>
    <row r="59" spans="1:12" x14ac:dyDescent="0.25">
      <c r="A59" s="17">
        <f t="shared" si="9"/>
        <v>57</v>
      </c>
      <c r="B59" s="22">
        <v>3358</v>
      </c>
      <c r="C59" s="22">
        <v>161880</v>
      </c>
      <c r="D59" s="22">
        <f t="shared" si="12"/>
        <v>74.713244913584376</v>
      </c>
      <c r="E59" s="22">
        <f t="shared" si="13"/>
        <v>3582.1397347407533</v>
      </c>
      <c r="F59" s="22">
        <f t="shared" si="14"/>
        <v>3133.8602652592467</v>
      </c>
      <c r="G59" s="22">
        <f t="shared" si="15"/>
        <v>2.2249328443592726</v>
      </c>
      <c r="H59" s="22">
        <f t="shared" si="16"/>
        <v>13.640709861192759</v>
      </c>
      <c r="I59" s="22">
        <f t="shared" si="17"/>
        <v>27.281419722385518</v>
      </c>
      <c r="J59" s="22">
        <f t="shared" si="10"/>
        <v>0.81243060519313637</v>
      </c>
      <c r="K59" s="23">
        <f t="shared" si="11"/>
        <v>1</v>
      </c>
      <c r="L59" s="23" t="str">
        <f t="shared" si="8"/>
        <v>3358 ± 27,282</v>
      </c>
    </row>
    <row r="60" spans="1:12" x14ac:dyDescent="0.25">
      <c r="A60" s="3">
        <f t="shared" si="9"/>
        <v>58</v>
      </c>
      <c r="D60" s="22">
        <f t="shared" si="12"/>
        <v>0</v>
      </c>
      <c r="E60" s="22">
        <f t="shared" si="13"/>
        <v>0</v>
      </c>
      <c r="F60" s="22">
        <f t="shared" si="14"/>
        <v>0</v>
      </c>
      <c r="G60" s="22" t="e">
        <f t="shared" si="15"/>
        <v>#DIV/0!</v>
      </c>
      <c r="H60" s="22">
        <f t="shared" si="16"/>
        <v>0</v>
      </c>
      <c r="I60" s="22">
        <f t="shared" si="17"/>
        <v>0</v>
      </c>
      <c r="J60" s="22" t="e">
        <f t="shared" si="10"/>
        <v>#DIV/0!</v>
      </c>
      <c r="K60" s="23" t="e">
        <f t="shared" si="11"/>
        <v>#DIV/0!</v>
      </c>
      <c r="L60" s="23" t="str">
        <f t="shared" si="8"/>
        <v xml:space="preserve"> ± 0</v>
      </c>
    </row>
    <row r="61" spans="1:12" x14ac:dyDescent="0.25">
      <c r="A61" s="3">
        <f t="shared" si="9"/>
        <v>59</v>
      </c>
      <c r="D61" s="22">
        <f t="shared" si="12"/>
        <v>0</v>
      </c>
      <c r="E61" s="22">
        <f t="shared" si="13"/>
        <v>0</v>
      </c>
      <c r="F61" s="22">
        <f t="shared" si="14"/>
        <v>0</v>
      </c>
      <c r="G61" s="22" t="e">
        <f t="shared" si="15"/>
        <v>#DIV/0!</v>
      </c>
      <c r="H61" s="22">
        <f t="shared" si="16"/>
        <v>0</v>
      </c>
      <c r="I61" s="22">
        <f t="shared" si="17"/>
        <v>0</v>
      </c>
      <c r="J61" s="22" t="e">
        <f t="shared" si="10"/>
        <v>#DIV/0!</v>
      </c>
      <c r="K61" s="23" t="e">
        <f t="shared" si="11"/>
        <v>#DIV/0!</v>
      </c>
      <c r="L61" s="23" t="str">
        <f t="shared" si="8"/>
        <v xml:space="preserve"> ± 0</v>
      </c>
    </row>
    <row r="62" spans="1:12" x14ac:dyDescent="0.25">
      <c r="A62" s="3">
        <f t="shared" si="9"/>
        <v>60</v>
      </c>
      <c r="D62" s="22">
        <f t="shared" si="12"/>
        <v>0</v>
      </c>
      <c r="E62" s="22">
        <f t="shared" si="13"/>
        <v>0</v>
      </c>
      <c r="F62" s="22">
        <f t="shared" si="14"/>
        <v>0</v>
      </c>
      <c r="G62" s="22" t="e">
        <f t="shared" si="15"/>
        <v>#DIV/0!</v>
      </c>
      <c r="H62" s="22">
        <f t="shared" si="16"/>
        <v>0</v>
      </c>
      <c r="I62" s="22">
        <f t="shared" si="17"/>
        <v>0</v>
      </c>
      <c r="J62" s="22" t="e">
        <f t="shared" si="10"/>
        <v>#DIV/0!</v>
      </c>
      <c r="K62" s="23" t="e">
        <f t="shared" si="11"/>
        <v>#DIV/0!</v>
      </c>
      <c r="L62" s="23" t="str">
        <f t="shared" si="8"/>
        <v xml:space="preserve"> ± 0</v>
      </c>
    </row>
    <row r="63" spans="1:12" x14ac:dyDescent="0.25">
      <c r="A63" s="18">
        <f t="shared" si="9"/>
        <v>61</v>
      </c>
      <c r="B63" s="22">
        <v>3398</v>
      </c>
      <c r="C63" s="22">
        <v>46680</v>
      </c>
      <c r="D63" s="22">
        <f t="shared" si="12"/>
        <v>40.120508127562303</v>
      </c>
      <c r="E63" s="22">
        <f t="shared" si="13"/>
        <v>3518.3615243826871</v>
      </c>
      <c r="F63" s="22">
        <f t="shared" si="14"/>
        <v>3277.6384756173129</v>
      </c>
      <c r="G63" s="22">
        <f t="shared" si="15"/>
        <v>1.180709479916489</v>
      </c>
      <c r="H63" s="22">
        <f t="shared" si="16"/>
        <v>7.3249691066784095</v>
      </c>
      <c r="I63" s="22">
        <f t="shared" si="17"/>
        <v>14.649938213356819</v>
      </c>
      <c r="J63" s="22">
        <f t="shared" si="10"/>
        <v>0.43113414400696942</v>
      </c>
      <c r="K63" s="23">
        <f t="shared" si="11"/>
        <v>1</v>
      </c>
      <c r="L63" s="30" t="str">
        <f t="shared" si="8"/>
        <v>3398 ± 14,65</v>
      </c>
    </row>
    <row r="64" spans="1:12" x14ac:dyDescent="0.25">
      <c r="A64" s="16">
        <f t="shared" si="9"/>
        <v>62</v>
      </c>
      <c r="D64" s="22">
        <f t="shared" si="12"/>
        <v>0</v>
      </c>
      <c r="E64" s="22">
        <f t="shared" si="13"/>
        <v>0</v>
      </c>
      <c r="F64" s="22">
        <f t="shared" si="14"/>
        <v>0</v>
      </c>
      <c r="G64" s="22" t="e">
        <f t="shared" si="15"/>
        <v>#DIV/0!</v>
      </c>
      <c r="H64" s="22">
        <f t="shared" si="16"/>
        <v>0</v>
      </c>
      <c r="I64" s="22">
        <f t="shared" si="17"/>
        <v>0</v>
      </c>
      <c r="J64" s="22" t="e">
        <f t="shared" si="10"/>
        <v>#DIV/0!</v>
      </c>
      <c r="K64" s="23" t="e">
        <f t="shared" si="11"/>
        <v>#DIV/0!</v>
      </c>
      <c r="L64" s="23" t="str">
        <f t="shared" si="8"/>
        <v xml:space="preserve"> ± 0</v>
      </c>
    </row>
    <row r="65" spans="1:12" x14ac:dyDescent="0.25">
      <c r="A65" s="16">
        <f t="shared" si="9"/>
        <v>63</v>
      </c>
      <c r="D65" s="22">
        <f t="shared" si="12"/>
        <v>0</v>
      </c>
      <c r="E65" s="22">
        <f t="shared" si="13"/>
        <v>0</v>
      </c>
      <c r="F65" s="22">
        <f t="shared" si="14"/>
        <v>0</v>
      </c>
      <c r="G65" s="22" t="e">
        <f t="shared" si="15"/>
        <v>#DIV/0!</v>
      </c>
      <c r="H65" s="22">
        <f t="shared" si="16"/>
        <v>0</v>
      </c>
      <c r="I65" s="22">
        <f t="shared" si="17"/>
        <v>0</v>
      </c>
      <c r="J65" s="22" t="e">
        <f t="shared" si="10"/>
        <v>#DIV/0!</v>
      </c>
      <c r="K65" s="23" t="e">
        <f t="shared" si="11"/>
        <v>#DIV/0!</v>
      </c>
      <c r="L65" s="23" t="str">
        <f t="shared" si="8"/>
        <v xml:space="preserve"> ± 0</v>
      </c>
    </row>
    <row r="66" spans="1:12" x14ac:dyDescent="0.25">
      <c r="A66" s="16">
        <f t="shared" si="9"/>
        <v>64</v>
      </c>
      <c r="D66" s="22">
        <f t="shared" si="12"/>
        <v>0</v>
      </c>
      <c r="E66" s="22">
        <f t="shared" si="13"/>
        <v>0</v>
      </c>
      <c r="F66" s="22">
        <f t="shared" si="14"/>
        <v>0</v>
      </c>
      <c r="G66" s="22" t="e">
        <f t="shared" si="15"/>
        <v>#DIV/0!</v>
      </c>
      <c r="H66" s="22">
        <f t="shared" si="16"/>
        <v>0</v>
      </c>
      <c r="I66" s="22">
        <f t="shared" si="17"/>
        <v>0</v>
      </c>
      <c r="J66" s="22" t="e">
        <f t="shared" si="10"/>
        <v>#DIV/0!</v>
      </c>
      <c r="K66" s="23" t="e">
        <f t="shared" si="11"/>
        <v>#DIV/0!</v>
      </c>
      <c r="L66" s="23" t="str">
        <f t="shared" si="8"/>
        <v xml:space="preserve"> ± 0</v>
      </c>
    </row>
    <row r="67" spans="1:12" x14ac:dyDescent="0.25">
      <c r="A67" s="16">
        <f t="shared" si="9"/>
        <v>65</v>
      </c>
      <c r="D67" s="22">
        <f t="shared" si="12"/>
        <v>0</v>
      </c>
      <c r="E67" s="22">
        <f t="shared" si="13"/>
        <v>0</v>
      </c>
      <c r="F67" s="22">
        <f t="shared" si="14"/>
        <v>0</v>
      </c>
      <c r="G67" s="22" t="e">
        <f t="shared" si="15"/>
        <v>#DIV/0!</v>
      </c>
      <c r="H67" s="22">
        <f t="shared" si="16"/>
        <v>0</v>
      </c>
      <c r="I67" s="22">
        <f t="shared" si="17"/>
        <v>0</v>
      </c>
      <c r="J67" s="22" t="e">
        <f t="shared" si="10"/>
        <v>#DIV/0!</v>
      </c>
      <c r="K67" s="23" t="e">
        <f t="shared" si="11"/>
        <v>#DIV/0!</v>
      </c>
      <c r="L67" s="23" t="str">
        <f t="shared" ref="L67:L78" si="18" xml:space="preserve"> B67 &amp; " ± " &amp; (ROUNDUP(I67, 3))</f>
        <v xml:space="preserve"> ± 0</v>
      </c>
    </row>
    <row r="68" spans="1:12" x14ac:dyDescent="0.25">
      <c r="A68" s="17">
        <f t="shared" si="9"/>
        <v>66</v>
      </c>
      <c r="B68" s="22">
        <v>3360</v>
      </c>
      <c r="C68" s="22">
        <v>136800</v>
      </c>
      <c r="D68" s="22">
        <f t="shared" si="12"/>
        <v>68.682176576680689</v>
      </c>
      <c r="E68" s="22">
        <f t="shared" si="13"/>
        <v>3566.046529730042</v>
      </c>
      <c r="F68" s="22">
        <f t="shared" si="14"/>
        <v>3153.953470269958</v>
      </c>
      <c r="G68" s="22">
        <f t="shared" si="15"/>
        <v>2.0441123981154967</v>
      </c>
      <c r="H68" s="22">
        <f t="shared" si="16"/>
        <v>12.539592469866987</v>
      </c>
      <c r="I68" s="22">
        <f t="shared" si="17"/>
        <v>25.079184939733974</v>
      </c>
      <c r="J68" s="22">
        <f t="shared" si="10"/>
        <v>0.74640431368255877</v>
      </c>
      <c r="K68" s="23">
        <f t="shared" si="11"/>
        <v>1</v>
      </c>
      <c r="L68" s="23" t="str">
        <f t="shared" si="18"/>
        <v>3360 ± 25,08</v>
      </c>
    </row>
    <row r="69" spans="1:12" x14ac:dyDescent="0.25">
      <c r="A69" s="16">
        <f t="shared" ref="A69:A78" si="19">A68+1</f>
        <v>67</v>
      </c>
      <c r="D69" s="22">
        <f t="shared" si="12"/>
        <v>0</v>
      </c>
      <c r="E69" s="22">
        <f t="shared" si="13"/>
        <v>0</v>
      </c>
      <c r="F69" s="22">
        <f t="shared" si="14"/>
        <v>0</v>
      </c>
      <c r="G69" s="22" t="e">
        <f t="shared" si="15"/>
        <v>#DIV/0!</v>
      </c>
      <c r="H69" s="22">
        <f t="shared" si="16"/>
        <v>0</v>
      </c>
      <c r="I69" s="22">
        <f t="shared" si="17"/>
        <v>0</v>
      </c>
      <c r="J69" s="22" t="e">
        <f t="shared" si="10"/>
        <v>#DIV/0!</v>
      </c>
      <c r="K69" s="23" t="e">
        <f t="shared" si="11"/>
        <v>#DIV/0!</v>
      </c>
      <c r="L69" s="30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2"/>
        <v>0</v>
      </c>
      <c r="E70" s="22">
        <f t="shared" si="13"/>
        <v>0</v>
      </c>
      <c r="F70" s="22">
        <f t="shared" si="14"/>
        <v>0</v>
      </c>
      <c r="G70" s="22" t="e">
        <f t="shared" si="15"/>
        <v>#DIV/0!</v>
      </c>
      <c r="H70" s="22">
        <f t="shared" si="16"/>
        <v>0</v>
      </c>
      <c r="I70" s="22">
        <f t="shared" si="17"/>
        <v>0</v>
      </c>
      <c r="J70" s="22" t="e">
        <f t="shared" si="10"/>
        <v>#DIV/0!</v>
      </c>
      <c r="K70" s="23" t="e">
        <f t="shared" si="11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2"/>
        <v>0</v>
      </c>
      <c r="E71" s="22">
        <f t="shared" si="13"/>
        <v>0</v>
      </c>
      <c r="F71" s="22">
        <f t="shared" si="14"/>
        <v>0</v>
      </c>
      <c r="G71" s="22" t="e">
        <f t="shared" si="15"/>
        <v>#DIV/0!</v>
      </c>
      <c r="H71" s="22">
        <f t="shared" si="16"/>
        <v>0</v>
      </c>
      <c r="I71" s="22">
        <f t="shared" si="17"/>
        <v>0</v>
      </c>
      <c r="J71" s="22" t="e">
        <f t="shared" si="10"/>
        <v>#DIV/0!</v>
      </c>
      <c r="K71" s="23" t="e">
        <f t="shared" si="11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2"/>
        <v>0</v>
      </c>
      <c r="E72" s="22">
        <f t="shared" si="13"/>
        <v>0</v>
      </c>
      <c r="F72" s="22">
        <f t="shared" si="14"/>
        <v>0</v>
      </c>
      <c r="G72" s="22" t="e">
        <f t="shared" si="15"/>
        <v>#DIV/0!</v>
      </c>
      <c r="H72" s="22">
        <f t="shared" si="16"/>
        <v>0</v>
      </c>
      <c r="I72" s="22">
        <f t="shared" si="17"/>
        <v>0</v>
      </c>
      <c r="J72" s="22" t="e">
        <f t="shared" si="10"/>
        <v>#DIV/0!</v>
      </c>
      <c r="K72" s="23" t="e">
        <f t="shared" si="11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3374</v>
      </c>
      <c r="C73" s="22">
        <v>112920</v>
      </c>
      <c r="D73" s="22">
        <f t="shared" si="12"/>
        <v>62.400265251425623</v>
      </c>
      <c r="E73" s="22">
        <f t="shared" si="13"/>
        <v>3561.2007957542769</v>
      </c>
      <c r="F73" s="22">
        <f t="shared" si="14"/>
        <v>3186.7992042457231</v>
      </c>
      <c r="G73" s="22">
        <f t="shared" si="15"/>
        <v>1.8494447318146301</v>
      </c>
      <c r="H73" s="22">
        <f t="shared" si="16"/>
        <v>11.392677624170529</v>
      </c>
      <c r="I73" s="22">
        <f t="shared" si="17"/>
        <v>22.785355248341059</v>
      </c>
      <c r="J73" s="22">
        <f t="shared" ref="J73:J78" si="20">I73/B73*100</f>
        <v>0.67532173231597681</v>
      </c>
      <c r="K73" s="23">
        <f t="shared" ref="K73:K78" si="21">ROUNDUP(POWER(G73*$P$5/$Q$5,2),0)</f>
        <v>1</v>
      </c>
      <c r="L73" s="23" t="str">
        <f t="shared" si="18"/>
        <v>3374 ± 22,786</v>
      </c>
    </row>
    <row r="74" spans="1:12" x14ac:dyDescent="0.25">
      <c r="A74" s="16">
        <f t="shared" si="19"/>
        <v>72</v>
      </c>
      <c r="D74" s="22">
        <f t="shared" si="12"/>
        <v>0</v>
      </c>
      <c r="E74" s="22">
        <f t="shared" si="13"/>
        <v>0</v>
      </c>
      <c r="F74" s="22">
        <f t="shared" si="14"/>
        <v>0</v>
      </c>
      <c r="G74" s="22" t="e">
        <f t="shared" si="15"/>
        <v>#DIV/0!</v>
      </c>
      <c r="H74" s="22">
        <f t="shared" si="16"/>
        <v>0</v>
      </c>
      <c r="I74" s="22">
        <f t="shared" si="17"/>
        <v>0</v>
      </c>
      <c r="J74" s="22" t="e">
        <f t="shared" si="20"/>
        <v>#DIV/0!</v>
      </c>
      <c r="K74" s="23" t="e">
        <f t="shared" si="21"/>
        <v>#DIV/0!</v>
      </c>
      <c r="L74" s="23" t="str">
        <f t="shared" si="18"/>
        <v xml:space="preserve"> ± 0</v>
      </c>
    </row>
    <row r="75" spans="1:12" x14ac:dyDescent="0.25">
      <c r="A75" s="16">
        <f t="shared" si="19"/>
        <v>73</v>
      </c>
      <c r="D75" s="22">
        <f t="shared" si="12"/>
        <v>0</v>
      </c>
      <c r="E75" s="22">
        <f t="shared" si="13"/>
        <v>0</v>
      </c>
      <c r="F75" s="22">
        <f t="shared" si="14"/>
        <v>0</v>
      </c>
      <c r="G75" s="22" t="e">
        <f t="shared" si="15"/>
        <v>#DIV/0!</v>
      </c>
      <c r="H75" s="22">
        <f t="shared" si="16"/>
        <v>0</v>
      </c>
      <c r="I75" s="22">
        <f t="shared" si="17"/>
        <v>0</v>
      </c>
      <c r="J75" s="22" t="e">
        <f t="shared" si="20"/>
        <v>#DIV/0!</v>
      </c>
      <c r="K75" s="23" t="e">
        <f t="shared" si="21"/>
        <v>#DIV/0!</v>
      </c>
      <c r="L75" s="30" t="str">
        <f t="shared" si="18"/>
        <v xml:space="preserve"> ± 0</v>
      </c>
    </row>
    <row r="76" spans="1:12" x14ac:dyDescent="0.25">
      <c r="A76" s="16">
        <f t="shared" si="19"/>
        <v>74</v>
      </c>
      <c r="D76" s="22">
        <f t="shared" si="12"/>
        <v>0</v>
      </c>
      <c r="E76" s="22">
        <f t="shared" si="13"/>
        <v>0</v>
      </c>
      <c r="F76" s="22">
        <f t="shared" si="14"/>
        <v>0</v>
      </c>
      <c r="G76" s="22" t="e">
        <f t="shared" si="15"/>
        <v>#DIV/0!</v>
      </c>
      <c r="H76" s="22">
        <f t="shared" si="16"/>
        <v>0</v>
      </c>
      <c r="I76" s="22">
        <f t="shared" si="17"/>
        <v>0</v>
      </c>
      <c r="J76" s="22" t="e">
        <f t="shared" si="20"/>
        <v>#DIV/0!</v>
      </c>
      <c r="K76" s="23" t="e">
        <f t="shared" si="21"/>
        <v>#DIV/0!</v>
      </c>
      <c r="L76" s="23" t="str">
        <f t="shared" si="18"/>
        <v xml:space="preserve"> ± 0</v>
      </c>
    </row>
    <row r="77" spans="1:12" x14ac:dyDescent="0.25">
      <c r="A77" s="16">
        <f t="shared" si="19"/>
        <v>75</v>
      </c>
      <c r="D77" s="22">
        <f t="shared" si="12"/>
        <v>0</v>
      </c>
      <c r="E77" s="22">
        <f t="shared" si="13"/>
        <v>0</v>
      </c>
      <c r="F77" s="22">
        <f t="shared" si="14"/>
        <v>0</v>
      </c>
      <c r="G77" s="22" t="e">
        <f t="shared" si="15"/>
        <v>#DIV/0!</v>
      </c>
      <c r="H77" s="22">
        <f t="shared" si="16"/>
        <v>0</v>
      </c>
      <c r="I77" s="22">
        <f t="shared" si="17"/>
        <v>0</v>
      </c>
      <c r="J77" s="22" t="e">
        <f t="shared" si="20"/>
        <v>#DIV/0!</v>
      </c>
      <c r="K77" s="23" t="e">
        <f t="shared" si="21"/>
        <v>#DIV/0!</v>
      </c>
      <c r="L77" s="23" t="str">
        <f t="shared" si="18"/>
        <v xml:space="preserve"> ± 0</v>
      </c>
    </row>
    <row r="78" spans="1:12" x14ac:dyDescent="0.25">
      <c r="A78" s="17">
        <f t="shared" si="19"/>
        <v>76</v>
      </c>
      <c r="B78" s="22">
        <v>3374</v>
      </c>
      <c r="C78" s="22">
        <v>112920</v>
      </c>
      <c r="D78" s="22">
        <f t="shared" ref="D78" si="22">POWER(C78/($O$5-1),0.5)</f>
        <v>62.400265251425623</v>
      </c>
      <c r="E78" s="22">
        <f t="shared" ref="E78" si="23">B78+3*D78</f>
        <v>3561.2007957542769</v>
      </c>
      <c r="F78" s="22">
        <f t="shared" ref="F78" si="24">B78-3*D78</f>
        <v>3186.7992042457231</v>
      </c>
      <c r="G78" s="22">
        <f t="shared" ref="G78" si="25">D78/B78*100</f>
        <v>1.8494447318146301</v>
      </c>
      <c r="H78" s="22">
        <f t="shared" ref="H78" si="26">D78/POWER($O$5, 0.5)</f>
        <v>11.392677624170529</v>
      </c>
      <c r="I78" s="22">
        <f t="shared" ref="I78" si="27">H78*$P$5</f>
        <v>22.785355248341059</v>
      </c>
      <c r="J78" s="22">
        <f t="shared" si="20"/>
        <v>0.67532173231597681</v>
      </c>
      <c r="K78" s="23">
        <f t="shared" si="21"/>
        <v>1</v>
      </c>
      <c r="L78" s="23" t="str">
        <f t="shared" si="18"/>
        <v>3374 ± 22,786</v>
      </c>
    </row>
    <row r="79" spans="1:12" x14ac:dyDescent="0.25">
      <c r="A79" s="16"/>
      <c r="D79" s="22">
        <f>POWER(C79/($O$5-1),0.5)</f>
        <v>0</v>
      </c>
      <c r="E79" s="22">
        <f>B79+3*D79</f>
        <v>0</v>
      </c>
      <c r="F79" s="22">
        <f>B79-3*D79</f>
        <v>0</v>
      </c>
      <c r="G79" s="22" t="e">
        <f>D79/B79*100</f>
        <v>#DIV/0!</v>
      </c>
      <c r="H79" s="22">
        <f t="shared" ref="H79" si="28">D79/POWER($O$5, 0.5)</f>
        <v>0</v>
      </c>
      <c r="I79" s="22">
        <f t="shared" ref="I79" si="29">H79*$P$5</f>
        <v>0</v>
      </c>
      <c r="J79" s="22" t="e">
        <f>I79/B79*100</f>
        <v>#DIV/0!</v>
      </c>
      <c r="K79" s="23" t="e">
        <f t="shared" ref="K79" si="30">ROUNDUP(POWER(G79*$P$5/$Q$5,2),0)</f>
        <v>#DIV/0!</v>
      </c>
      <c r="L79" s="23" t="str">
        <f xml:space="preserve"> B79 &amp; " ± " &amp; (ROUNDUP(I79, 3))</f>
        <v xml:space="preserve"> ± 0</v>
      </c>
    </row>
    <row r="80" spans="1:12" x14ac:dyDescent="0.25">
      <c r="A80" s="16"/>
    </row>
    <row r="81" spans="1:12" x14ac:dyDescent="0.25">
      <c r="A81" s="17" t="s">
        <v>61</v>
      </c>
      <c r="B81" s="22">
        <v>3418</v>
      </c>
      <c r="C81" s="22">
        <v>3480</v>
      </c>
      <c r="D81" s="22">
        <f>POWER(C81/($O$5-1),0.5)</f>
        <v>10.954451150103322</v>
      </c>
      <c r="E81" s="22">
        <f>B81+3*D81</f>
        <v>3450.8633534503101</v>
      </c>
      <c r="F81" s="22">
        <f>B81-3*D81</f>
        <v>3385.1366465496899</v>
      </c>
      <c r="G81" s="22">
        <f>D81/B81*100</f>
        <v>0.32049301199834179</v>
      </c>
      <c r="H81" s="22">
        <f t="shared" ref="H81:H88" si="31">D81/POWER($O$5, 0.5)</f>
        <v>2</v>
      </c>
      <c r="I81" s="22">
        <f t="shared" ref="I81:I88" si="32">H81*$P$5</f>
        <v>4</v>
      </c>
      <c r="J81" s="22">
        <f>I81/B81*100</f>
        <v>0.11702750146284377</v>
      </c>
      <c r="K81" s="23">
        <f t="shared" ref="K81:K88" si="33">ROUNDUP(POWER(G81*$P$5/$Q$5,2),0)</f>
        <v>1</v>
      </c>
      <c r="L81" s="23" t="str">
        <f xml:space="preserve"> B81 &amp; " ± " &amp; (ROUNDUP(I81, 3))</f>
        <v>3418 ± 4</v>
      </c>
    </row>
    <row r="82" spans="1:12" x14ac:dyDescent="0.25">
      <c r="A82" s="17" t="s">
        <v>62</v>
      </c>
      <c r="B82" s="22">
        <v>3420</v>
      </c>
      <c r="C82" s="22">
        <v>0</v>
      </c>
      <c r="D82" s="22">
        <f>POWER(C82/($O$5-1),0.5)</f>
        <v>0</v>
      </c>
      <c r="E82" s="22">
        <f>B82+3*D82</f>
        <v>3420</v>
      </c>
      <c r="F82" s="22">
        <f>B82-3*D82</f>
        <v>3420</v>
      </c>
      <c r="G82" s="22">
        <f>D82/B82*100</f>
        <v>0</v>
      </c>
      <c r="H82" s="22">
        <f t="shared" si="31"/>
        <v>0</v>
      </c>
      <c r="I82" s="22">
        <f t="shared" si="32"/>
        <v>0</v>
      </c>
      <c r="J82" s="22">
        <f>I82/B82*100</f>
        <v>0</v>
      </c>
      <c r="K82" s="23">
        <f t="shared" si="33"/>
        <v>0</v>
      </c>
      <c r="L82" s="23" t="str">
        <f xml:space="preserve"> B82 &amp; " ± " &amp; (ROUNDUP(I82, 3))</f>
        <v>3420 ± 0</v>
      </c>
    </row>
    <row r="83" spans="1:12" x14ac:dyDescent="0.25">
      <c r="A83" s="17" t="s">
        <v>63</v>
      </c>
      <c r="B83" s="22">
        <v>3036</v>
      </c>
      <c r="C83" s="22">
        <v>4201920</v>
      </c>
      <c r="D83" s="22">
        <f>POWER(C83/($O$5-1),0.5)</f>
        <v>380.64917325990382</v>
      </c>
      <c r="E83" s="22">
        <f>B83+3*D83</f>
        <v>4177.947519779711</v>
      </c>
      <c r="F83" s="22">
        <f>B83-3*D83</f>
        <v>1894.0524802202885</v>
      </c>
      <c r="G83" s="22">
        <f>D83/B83*100</f>
        <v>12.537851556650322</v>
      </c>
      <c r="H83" s="22">
        <f t="shared" si="31"/>
        <v>69.496712896713873</v>
      </c>
      <c r="I83" s="22">
        <f t="shared" si="32"/>
        <v>138.99342579342775</v>
      </c>
      <c r="J83" s="22">
        <f>I83/B83*100</f>
        <v>4.5781760801524287</v>
      </c>
      <c r="K83" s="23">
        <f t="shared" si="33"/>
        <v>26</v>
      </c>
      <c r="L83" s="23" t="str">
        <f xml:space="preserve"> B83 &amp; " ± " &amp; (ROUNDUP(I83, 3))</f>
        <v>3036 ± 138,994</v>
      </c>
    </row>
    <row r="84" spans="1:12" x14ac:dyDescent="0.25">
      <c r="A84" s="17" t="s">
        <v>64</v>
      </c>
      <c r="B84" s="22">
        <v>3036</v>
      </c>
      <c r="C84" s="22">
        <v>4194720</v>
      </c>
      <c r="D84" s="22">
        <f>POWER(C84/($O$5-1),0.5)</f>
        <v>380.32291180177316</v>
      </c>
      <c r="E84" s="22">
        <f>B84+3*D84</f>
        <v>4176.9687354053194</v>
      </c>
      <c r="F84" s="22">
        <f>B84-3*D84</f>
        <v>1895.0312645946806</v>
      </c>
      <c r="G84" s="22">
        <f>D84/B84*100</f>
        <v>12.527105131810709</v>
      </c>
      <c r="H84" s="22">
        <f t="shared" si="31"/>
        <v>69.437145976626311</v>
      </c>
      <c r="I84" s="22">
        <f t="shared" si="32"/>
        <v>138.87429195325262</v>
      </c>
      <c r="J84" s="22">
        <f>I84/B84*100</f>
        <v>4.5742520406209692</v>
      </c>
      <c r="K84" s="23">
        <f t="shared" si="33"/>
        <v>26</v>
      </c>
      <c r="L84" s="23" t="str">
        <f xml:space="preserve"> B84 &amp; " ± " &amp; (ROUNDUP(I84, 3))</f>
        <v>3036 ± 138,875</v>
      </c>
    </row>
    <row r="85" spans="1:12" x14ac:dyDescent="0.25">
      <c r="A85" s="17" t="s">
        <v>65</v>
      </c>
      <c r="B85" s="22">
        <v>3316</v>
      </c>
      <c r="C85" s="22">
        <v>445920</v>
      </c>
      <c r="D85" s="22">
        <f>POWER(C85/($O$5-1),0.5)</f>
        <v>124.00222467414821</v>
      </c>
      <c r="E85" s="22">
        <f>B85+3*D85</f>
        <v>3688.0066740224447</v>
      </c>
      <c r="F85" s="22">
        <f>B85-3*D85</f>
        <v>2943.9933259775553</v>
      </c>
      <c r="G85" s="22">
        <f>D85/B85*100</f>
        <v>3.739512203683601</v>
      </c>
      <c r="H85" s="22">
        <f t="shared" si="31"/>
        <v>22.639605211618225</v>
      </c>
      <c r="I85" s="22">
        <f t="shared" si="32"/>
        <v>45.279210423236449</v>
      </c>
      <c r="J85" s="22">
        <f>I85/B85*100</f>
        <v>1.3654767920155746</v>
      </c>
      <c r="K85" s="23">
        <f t="shared" si="33"/>
        <v>3</v>
      </c>
      <c r="L85" s="23" t="str">
        <f xml:space="preserve"> B85 &amp; " ± " &amp; (ROUNDUP(I85, 3))</f>
        <v>3316 ± 45,28</v>
      </c>
    </row>
    <row r="86" spans="1:12" x14ac:dyDescent="0.25">
      <c r="A86" s="17" t="s">
        <v>66</v>
      </c>
      <c r="B86" s="22">
        <v>3326</v>
      </c>
      <c r="C86" s="22">
        <v>307320</v>
      </c>
      <c r="D86" s="22">
        <f>POWER(C86/($O$5-1),0.5)</f>
        <v>102.94290349174315</v>
      </c>
      <c r="E86" s="22">
        <f>B86+3*D86</f>
        <v>3634.8287104752294</v>
      </c>
      <c r="F86" s="22">
        <f>B86-3*D86</f>
        <v>3017.1712895247706</v>
      </c>
      <c r="G86" s="22">
        <f>D86/B86*100</f>
        <v>3.0950963166489225</v>
      </c>
      <c r="H86" s="22">
        <f t="shared" si="31"/>
        <v>18.794716792501685</v>
      </c>
      <c r="I86" s="22">
        <f t="shared" si="32"/>
        <v>37.58943358500337</v>
      </c>
      <c r="J86" s="22">
        <f>I86/B86*100</f>
        <v>1.1301693801865114</v>
      </c>
      <c r="K86" s="23">
        <f t="shared" si="33"/>
        <v>2</v>
      </c>
      <c r="L86" s="23" t="str">
        <f xml:space="preserve"> B86 &amp; " ± " &amp; (ROUNDUP(I86, 3))</f>
        <v>3326 ± 37,59</v>
      </c>
    </row>
    <row r="87" spans="1:12" x14ac:dyDescent="0.25">
      <c r="A87" s="17" t="s">
        <v>67</v>
      </c>
      <c r="B87" s="22">
        <v>2960</v>
      </c>
      <c r="C87" s="22">
        <v>4041600</v>
      </c>
      <c r="D87" s="22">
        <f>POWER(C87/($O$5-1),0.5)</f>
        <v>373.31691261096023</v>
      </c>
      <c r="E87" s="22">
        <f>B87+3*D87</f>
        <v>4079.9507378328808</v>
      </c>
      <c r="F87" s="22">
        <f>B87-3*D87</f>
        <v>1840.0492621671192</v>
      </c>
      <c r="G87" s="22">
        <f>D87/B87*100</f>
        <v>12.612057858478387</v>
      </c>
      <c r="H87" s="22">
        <f t="shared" si="31"/>
        <v>68.158031378402583</v>
      </c>
      <c r="I87" s="22">
        <f t="shared" si="32"/>
        <v>136.31606275680517</v>
      </c>
      <c r="J87" s="22">
        <f>I87/B87*100</f>
        <v>4.6052723904326065</v>
      </c>
      <c r="K87" s="23">
        <f t="shared" si="33"/>
        <v>26</v>
      </c>
      <c r="L87" s="23" t="str">
        <f xml:space="preserve"> B87 &amp; " ± " &amp; (ROUNDUP(I87, 3))</f>
        <v>2960 ± 136,317</v>
      </c>
    </row>
    <row r="88" spans="1:12" x14ac:dyDescent="0.25">
      <c r="A88" s="17" t="s">
        <v>68</v>
      </c>
      <c r="B88" s="22">
        <v>2504</v>
      </c>
      <c r="C88" s="22">
        <v>14017920</v>
      </c>
      <c r="D88" s="22">
        <f>POWER(C88/($O$5-1),0.5)</f>
        <v>695.25286890752056</v>
      </c>
      <c r="E88" s="22">
        <f>B88+3*D88</f>
        <v>4589.758606722562</v>
      </c>
      <c r="F88" s="22">
        <f>B88-3*D88</f>
        <v>418.24139327743842</v>
      </c>
      <c r="G88" s="22">
        <f>D88/B88*100</f>
        <v>27.765689652856253</v>
      </c>
      <c r="H88" s="22">
        <f t="shared" si="31"/>
        <v>126.93522649027705</v>
      </c>
      <c r="I88" s="22">
        <f t="shared" si="32"/>
        <v>253.87045298055409</v>
      </c>
      <c r="J88" s="22">
        <f>I88/B88*100</f>
        <v>10.138596365038103</v>
      </c>
      <c r="K88" s="23">
        <f t="shared" si="33"/>
        <v>124</v>
      </c>
      <c r="L88" s="23" t="str">
        <f xml:space="preserve"> B88 &amp; " ± " &amp; (ROUNDUP(I88, 3))</f>
        <v>2504 ± 253,871</v>
      </c>
    </row>
    <row r="92" spans="1:12" x14ac:dyDescent="0.25">
      <c r="B92" s="22">
        <v>3036</v>
      </c>
      <c r="C92" s="22">
        <v>4194720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CA74-C9A7-4189-BBDF-1FF757598C16}">
  <sheetPr codeName="Лист6"/>
  <dimension ref="A1:V92"/>
  <sheetViews>
    <sheetView topLeftCell="A54" workbookViewId="0">
      <pane xSplit="1" topLeftCell="B1" activePane="topRight" state="frozen"/>
      <selection activeCell="D22" sqref="D22"/>
      <selection pane="topRight" activeCell="P77" sqref="P77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22</v>
      </c>
      <c r="C1" s="25" t="s">
        <v>21</v>
      </c>
      <c r="D1" s="25" t="s">
        <v>12</v>
      </c>
      <c r="E1" s="25" t="s">
        <v>20</v>
      </c>
      <c r="F1" s="25" t="s">
        <v>19</v>
      </c>
      <c r="G1" s="25" t="s">
        <v>9</v>
      </c>
      <c r="H1" s="25" t="s">
        <v>8</v>
      </c>
      <c r="I1" s="25" t="s">
        <v>18</v>
      </c>
      <c r="J1" s="25" t="s">
        <v>17</v>
      </c>
      <c r="K1" s="26" t="s">
        <v>5</v>
      </c>
      <c r="L1" s="26" t="s">
        <v>16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2</v>
      </c>
      <c r="C3" s="21">
        <v>3480</v>
      </c>
      <c r="D3" s="21">
        <f>POWER(C3/($O$5-1),0.5)</f>
        <v>10.954451150103322</v>
      </c>
      <c r="E3" s="21">
        <f t="shared" ref="E3:E8" si="0">B3+3*D3</f>
        <v>34.863353450309965</v>
      </c>
      <c r="F3" s="21">
        <f t="shared" ref="F3:F8" si="1">B3-3*D3</f>
        <v>-30.863353450309965</v>
      </c>
      <c r="G3" s="21">
        <f t="shared" ref="G3:G8" si="2">D3/B3*100</f>
        <v>547.72255750516615</v>
      </c>
      <c r="H3" s="21">
        <f t="shared" ref="H3:H8" si="3">D3/POWER($O$5, 0.5)</f>
        <v>2</v>
      </c>
      <c r="I3" s="21">
        <f t="shared" ref="I3:I8" si="4">H3*$P$5</f>
        <v>4</v>
      </c>
      <c r="J3" s="21">
        <f t="shared" ref="J3:J8" si="5">I3/B3*100</f>
        <v>200</v>
      </c>
      <c r="K3" s="30">
        <f t="shared" ref="K3:K8" si="6">ROUNDUP(POWER(G3*$P$5/$Q$5,2),0)</f>
        <v>48000</v>
      </c>
      <c r="L3" s="30" t="str">
        <f t="shared" ref="L3:L8" si="7" xml:space="preserve"> B3 &amp; " ± " &amp; (ROUNDUP(I3, 3))</f>
        <v>2 ± 4</v>
      </c>
    </row>
    <row r="4" spans="1:17" x14ac:dyDescent="0.25">
      <c r="A4" s="16">
        <f>A3+1</f>
        <v>2</v>
      </c>
      <c r="D4" s="22">
        <f t="shared" ref="D4:D8" si="8">POWER(C4/($O$5-1),0.5)</f>
        <v>0</v>
      </c>
      <c r="E4" s="22">
        <f t="shared" si="0"/>
        <v>0</v>
      </c>
      <c r="F4" s="22">
        <f t="shared" si="1"/>
        <v>0</v>
      </c>
      <c r="G4" s="22" t="e">
        <f t="shared" si="2"/>
        <v>#DIV/0!</v>
      </c>
      <c r="H4" s="22">
        <f t="shared" si="3"/>
        <v>0</v>
      </c>
      <c r="I4" s="22">
        <f t="shared" si="4"/>
        <v>0</v>
      </c>
      <c r="J4" s="22" t="e">
        <f t="shared" si="5"/>
        <v>#DIV/0!</v>
      </c>
      <c r="K4" s="23" t="e">
        <f t="shared" si="6"/>
        <v>#DIV/0!</v>
      </c>
      <c r="L4" s="23" t="str">
        <f t="shared" si="7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8"/>
        <v>0</v>
      </c>
      <c r="E5" s="22">
        <f t="shared" si="0"/>
        <v>0</v>
      </c>
      <c r="F5" s="22">
        <f t="shared" si="1"/>
        <v>0</v>
      </c>
      <c r="G5" s="22" t="e">
        <f t="shared" si="2"/>
        <v>#DIV/0!</v>
      </c>
      <c r="H5" s="22">
        <f t="shared" si="3"/>
        <v>0</v>
      </c>
      <c r="I5" s="22">
        <f t="shared" si="4"/>
        <v>0</v>
      </c>
      <c r="J5" s="22" t="e">
        <f t="shared" si="5"/>
        <v>#DIV/0!</v>
      </c>
      <c r="K5" s="23" t="e">
        <f t="shared" si="6"/>
        <v>#DIV/0!</v>
      </c>
      <c r="L5" s="23" t="str">
        <f t="shared" si="7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8"/>
        <v>0</v>
      </c>
      <c r="E6" s="22">
        <f t="shared" si="0"/>
        <v>0</v>
      </c>
      <c r="F6" s="22">
        <f t="shared" si="1"/>
        <v>0</v>
      </c>
      <c r="G6" s="22" t="e">
        <f t="shared" si="2"/>
        <v>#DIV/0!</v>
      </c>
      <c r="H6" s="22">
        <f t="shared" si="3"/>
        <v>0</v>
      </c>
      <c r="I6" s="22">
        <f t="shared" si="4"/>
        <v>0</v>
      </c>
      <c r="J6" s="22" t="e">
        <f t="shared" si="5"/>
        <v>#DIV/0!</v>
      </c>
      <c r="K6" s="23" t="e">
        <f t="shared" si="6"/>
        <v>#DIV/0!</v>
      </c>
      <c r="L6" s="23" t="str">
        <f t="shared" si="7"/>
        <v xml:space="preserve"> ± 0</v>
      </c>
    </row>
    <row r="7" spans="1:17" x14ac:dyDescent="0.25">
      <c r="A7" s="16">
        <f t="shared" si="9"/>
        <v>5</v>
      </c>
      <c r="D7" s="22">
        <f t="shared" si="8"/>
        <v>0</v>
      </c>
      <c r="E7" s="22">
        <f t="shared" si="0"/>
        <v>0</v>
      </c>
      <c r="F7" s="22">
        <f t="shared" si="1"/>
        <v>0</v>
      </c>
      <c r="G7" s="22" t="e">
        <f t="shared" si="2"/>
        <v>#DIV/0!</v>
      </c>
      <c r="H7" s="22">
        <f t="shared" si="3"/>
        <v>0</v>
      </c>
      <c r="I7" s="22">
        <f t="shared" si="4"/>
        <v>0</v>
      </c>
      <c r="J7" s="22" t="e">
        <f t="shared" si="5"/>
        <v>#DIV/0!</v>
      </c>
      <c r="K7" s="23" t="e">
        <f t="shared" si="6"/>
        <v>#DIV/0!</v>
      </c>
      <c r="L7" s="23" t="str">
        <f t="shared" si="7"/>
        <v xml:space="preserve"> ± 0</v>
      </c>
    </row>
    <row r="8" spans="1:17" x14ac:dyDescent="0.25">
      <c r="A8" s="17">
        <f t="shared" si="9"/>
        <v>6</v>
      </c>
      <c r="B8" s="22">
        <v>10</v>
      </c>
      <c r="C8" s="22">
        <v>29400</v>
      </c>
      <c r="D8" s="22">
        <f t="shared" si="8"/>
        <v>31.840117830313943</v>
      </c>
      <c r="E8" s="22">
        <f t="shared" si="0"/>
        <v>105.52035349094183</v>
      </c>
      <c r="F8" s="22">
        <f t="shared" si="1"/>
        <v>-85.520353490941829</v>
      </c>
      <c r="G8" s="22">
        <f t="shared" si="2"/>
        <v>318.40117830313943</v>
      </c>
      <c r="H8" s="22">
        <f t="shared" si="3"/>
        <v>5.8131835897617981</v>
      </c>
      <c r="I8" s="22">
        <f t="shared" si="4"/>
        <v>11.626367179523596</v>
      </c>
      <c r="J8" s="22">
        <f t="shared" si="5"/>
        <v>116.26367179523595</v>
      </c>
      <c r="K8" s="23">
        <f t="shared" si="6"/>
        <v>16221</v>
      </c>
      <c r="L8" s="23" t="str">
        <f t="shared" si="7"/>
        <v>10 ± 11,627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4</v>
      </c>
      <c r="C13" s="22">
        <v>13920</v>
      </c>
      <c r="D13" s="22">
        <f t="shared" si="10"/>
        <v>21.908902300206645</v>
      </c>
      <c r="E13" s="22">
        <f t="shared" si="11"/>
        <v>69.726706900619931</v>
      </c>
      <c r="F13" s="22">
        <f t="shared" si="12"/>
        <v>-61.726706900619931</v>
      </c>
      <c r="G13" s="22">
        <f t="shared" si="13"/>
        <v>547.72255750516615</v>
      </c>
      <c r="H13" s="22">
        <f t="shared" si="14"/>
        <v>4</v>
      </c>
      <c r="I13" s="22">
        <f t="shared" si="15"/>
        <v>8</v>
      </c>
      <c r="J13" s="22">
        <f t="shared" si="16"/>
        <v>200</v>
      </c>
      <c r="K13" s="23">
        <f t="shared" si="17"/>
        <v>48000</v>
      </c>
      <c r="L13" s="23" t="str">
        <f t="shared" si="18"/>
        <v>4 ± 8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108</v>
      </c>
      <c r="C18" s="22">
        <v>146880</v>
      </c>
      <c r="D18" s="22">
        <f t="shared" si="10"/>
        <v>71.167602082737744</v>
      </c>
      <c r="E18" s="22">
        <f t="shared" si="11"/>
        <v>321.50280624821323</v>
      </c>
      <c r="F18" s="22">
        <f t="shared" si="12"/>
        <v>-105.50280624821323</v>
      </c>
      <c r="G18" s="22">
        <f t="shared" si="13"/>
        <v>65.895927854386798</v>
      </c>
      <c r="H18" s="22">
        <f t="shared" si="14"/>
        <v>12.993367008089034</v>
      </c>
      <c r="I18" s="22">
        <f t="shared" si="15"/>
        <v>25.986734016178069</v>
      </c>
      <c r="J18" s="22">
        <f t="shared" si="16"/>
        <v>24.061790755720434</v>
      </c>
      <c r="K18" s="23">
        <f t="shared" si="17"/>
        <v>695</v>
      </c>
      <c r="L18" s="23" t="str">
        <f t="shared" si="18"/>
        <v>108 ± 25,987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34</v>
      </c>
      <c r="C23" s="22">
        <v>62520</v>
      </c>
      <c r="D23" s="22">
        <f t="shared" si="10"/>
        <v>46.431261763660025</v>
      </c>
      <c r="E23" s="22">
        <f t="shared" si="11"/>
        <v>173.29378529098008</v>
      </c>
      <c r="F23" s="22">
        <f t="shared" si="12"/>
        <v>-105.29378529098008</v>
      </c>
      <c r="G23" s="22">
        <f t="shared" si="13"/>
        <v>136.56253459900006</v>
      </c>
      <c r="H23" s="22">
        <f t="shared" si="14"/>
        <v>8.4771498137945667</v>
      </c>
      <c r="I23" s="22">
        <f t="shared" si="15"/>
        <v>16.954299627589133</v>
      </c>
      <c r="J23" s="22">
        <f t="shared" si="16"/>
        <v>49.865587139968035</v>
      </c>
      <c r="K23" s="23">
        <f t="shared" si="17"/>
        <v>2984</v>
      </c>
      <c r="L23" s="23" t="str">
        <f t="shared" si="18"/>
        <v>34 ± 16,955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438</v>
      </c>
      <c r="C28" s="22">
        <v>1433880</v>
      </c>
      <c r="D28" s="22">
        <f t="shared" si="10"/>
        <v>222.36037850982913</v>
      </c>
      <c r="E28" s="22">
        <f t="shared" si="11"/>
        <v>1105.0811355294873</v>
      </c>
      <c r="F28" s="22">
        <f t="shared" si="12"/>
        <v>-229.08113552948737</v>
      </c>
      <c r="G28" s="22">
        <f t="shared" si="13"/>
        <v>50.767209705440443</v>
      </c>
      <c r="H28" s="22">
        <f t="shared" si="14"/>
        <v>40.597265068406799</v>
      </c>
      <c r="I28" s="22">
        <f t="shared" si="15"/>
        <v>81.194530136813597</v>
      </c>
      <c r="J28" s="22">
        <f t="shared" si="16"/>
        <v>18.537563958176619</v>
      </c>
      <c r="K28" s="23">
        <f t="shared" si="17"/>
        <v>413</v>
      </c>
      <c r="L28" s="23" t="str">
        <f t="shared" si="18"/>
        <v>438 ± 81,195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64</v>
      </c>
      <c r="C33" s="22">
        <v>78720</v>
      </c>
      <c r="D33" s="22">
        <f t="shared" si="10"/>
        <v>52.100698254636569</v>
      </c>
      <c r="E33" s="22">
        <f t="shared" si="11"/>
        <v>220.30209476390971</v>
      </c>
      <c r="F33" s="22">
        <f t="shared" si="12"/>
        <v>-92.302094763909707</v>
      </c>
      <c r="G33" s="22">
        <f t="shared" si="13"/>
        <v>81.407341022869645</v>
      </c>
      <c r="H33" s="22">
        <f t="shared" si="14"/>
        <v>9.5122425652781626</v>
      </c>
      <c r="I33" s="22">
        <f t="shared" si="15"/>
        <v>19.024485130556325</v>
      </c>
      <c r="J33" s="22">
        <f t="shared" si="16"/>
        <v>29.725758016494257</v>
      </c>
      <c r="K33" s="23">
        <f t="shared" si="17"/>
        <v>1061</v>
      </c>
      <c r="L33" s="23" t="str">
        <f t="shared" si="18"/>
        <v>64 ± 19,025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74</v>
      </c>
      <c r="C38" s="22">
        <v>69720</v>
      </c>
      <c r="D38" s="22">
        <f t="shared" si="10"/>
        <v>49.032009249412603</v>
      </c>
      <c r="E38" s="22">
        <f t="shared" si="11"/>
        <v>221.09602774823782</v>
      </c>
      <c r="F38" s="22">
        <f t="shared" si="12"/>
        <v>-73.096027748237816</v>
      </c>
      <c r="G38" s="22">
        <f t="shared" si="13"/>
        <v>66.259471958665685</v>
      </c>
      <c r="H38" s="22">
        <f t="shared" si="14"/>
        <v>8.9519791685684105</v>
      </c>
      <c r="I38" s="22">
        <f t="shared" si="15"/>
        <v>17.903958337136821</v>
      </c>
      <c r="J38" s="22">
        <f t="shared" si="16"/>
        <v>24.194538293428135</v>
      </c>
      <c r="K38" s="23">
        <f t="shared" si="17"/>
        <v>703</v>
      </c>
      <c r="L38" s="23" t="str">
        <f t="shared" si="18"/>
        <v>74 ± 17,904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30</v>
      </c>
      <c r="C43" s="22">
        <v>27000</v>
      </c>
      <c r="D43" s="22">
        <f t="shared" si="10"/>
        <v>30.512857662936469</v>
      </c>
      <c r="E43" s="22">
        <f t="shared" si="11"/>
        <v>121.53857298880941</v>
      </c>
      <c r="F43" s="22">
        <f t="shared" si="12"/>
        <v>-61.538572988809406</v>
      </c>
      <c r="G43" s="22">
        <f t="shared" si="13"/>
        <v>101.70952554312156</v>
      </c>
      <c r="H43" s="22">
        <f t="shared" si="14"/>
        <v>5.5708601453115563</v>
      </c>
      <c r="I43" s="22">
        <f t="shared" si="15"/>
        <v>11.141720290623113</v>
      </c>
      <c r="J43" s="22">
        <f t="shared" si="16"/>
        <v>37.139067635410377</v>
      </c>
      <c r="K43" s="23">
        <f t="shared" si="17"/>
        <v>1656</v>
      </c>
      <c r="L43" s="23" t="str">
        <f t="shared" si="18"/>
        <v>30 ± 11,142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>B44+3*D44</f>
        <v>0</v>
      </c>
      <c r="F44" s="22">
        <f>B44-3*D44</f>
        <v>0</v>
      </c>
      <c r="G44" s="22" t="e">
        <f>D44/B44*100</f>
        <v>#DIV/0!</v>
      </c>
      <c r="H44" s="22">
        <f t="shared" si="14"/>
        <v>0</v>
      </c>
      <c r="I44" s="22">
        <f t="shared" si="15"/>
        <v>0</v>
      </c>
      <c r="J44" s="22" t="e">
        <f>I44/B44*100</f>
        <v>#DIV/0!</v>
      </c>
      <c r="K44" s="23" t="e">
        <f t="shared" si="17"/>
        <v>#DIV/0!</v>
      </c>
      <c r="L44" s="23" t="str">
        <f xml:space="preserve"> B44 &amp; " ± " &amp; (ROUNDUP(I44, 3))</f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>B45+3*D45</f>
        <v>0</v>
      </c>
      <c r="F45" s="22">
        <f>B45-3*D45</f>
        <v>0</v>
      </c>
      <c r="G45" s="22" t="e">
        <f>D45/B45*100</f>
        <v>#DIV/0!</v>
      </c>
      <c r="H45" s="22">
        <f t="shared" si="14"/>
        <v>0</v>
      </c>
      <c r="I45" s="22">
        <f t="shared" si="15"/>
        <v>0</v>
      </c>
      <c r="J45" s="22" t="e">
        <f>I45/B45*100</f>
        <v>#DIV/0!</v>
      </c>
      <c r="K45" s="23" t="e">
        <f t="shared" si="17"/>
        <v>#DIV/0!</v>
      </c>
      <c r="L45" s="23" t="str">
        <f xml:space="preserve"> B45 &amp; " ± " &amp; (ROUNDUP(I45, 3))</f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72</v>
      </c>
      <c r="C48" s="22">
        <v>74880</v>
      </c>
      <c r="D48" s="22">
        <f t="shared" si="10"/>
        <v>50.814062674787593</v>
      </c>
      <c r="E48" s="22">
        <f t="shared" si="11"/>
        <v>224.44218802436279</v>
      </c>
      <c r="F48" s="22">
        <f t="shared" si="12"/>
        <v>-80.442188024362792</v>
      </c>
      <c r="G48" s="22">
        <f t="shared" si="13"/>
        <v>70.575087048316092</v>
      </c>
      <c r="H48" s="22">
        <f t="shared" si="14"/>
        <v>9.2773361218208201</v>
      </c>
      <c r="I48" s="22">
        <f t="shared" si="15"/>
        <v>18.55467224364164</v>
      </c>
      <c r="J48" s="22">
        <f t="shared" si="16"/>
        <v>25.770378116168946</v>
      </c>
      <c r="K48" s="23">
        <f t="shared" si="17"/>
        <v>797</v>
      </c>
      <c r="L48" s="23" t="str">
        <f t="shared" si="18"/>
        <v>72 ± 18,555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108</v>
      </c>
      <c r="C53" s="22">
        <v>118080</v>
      </c>
      <c r="D53" s="22">
        <f t="shared" si="10"/>
        <v>63.810062983286848</v>
      </c>
      <c r="E53" s="22">
        <f t="shared" si="11"/>
        <v>299.43018894986051</v>
      </c>
      <c r="F53" s="22">
        <f t="shared" si="12"/>
        <v>-83.430188949860536</v>
      </c>
      <c r="G53" s="22">
        <f t="shared" si="13"/>
        <v>59.083391651191533</v>
      </c>
      <c r="H53" s="22">
        <f t="shared" si="14"/>
        <v>11.650070297257201</v>
      </c>
      <c r="I53" s="22">
        <f t="shared" si="15"/>
        <v>23.300140594514403</v>
      </c>
      <c r="J53" s="22">
        <f t="shared" si="16"/>
        <v>21.574204254180003</v>
      </c>
      <c r="K53" s="23">
        <f t="shared" si="17"/>
        <v>559</v>
      </c>
      <c r="L53" s="23" t="str">
        <f t="shared" si="18"/>
        <v>108 ± 23,301</v>
      </c>
    </row>
    <row r="54" spans="1:12" x14ac:dyDescent="0.25">
      <c r="A54" s="17">
        <f t="shared" si="9"/>
        <v>52</v>
      </c>
      <c r="B54" s="22">
        <v>110</v>
      </c>
      <c r="C54" s="22">
        <v>137400</v>
      </c>
      <c r="D54" s="22">
        <f t="shared" si="10"/>
        <v>68.832630593946931</v>
      </c>
      <c r="E54" s="22">
        <f t="shared" si="11"/>
        <v>316.49789178184079</v>
      </c>
      <c r="F54" s="22">
        <f t="shared" si="12"/>
        <v>-96.497891781840792</v>
      </c>
      <c r="G54" s="22">
        <f t="shared" si="13"/>
        <v>62.57511872176994</v>
      </c>
      <c r="H54" s="22">
        <f t="shared" si="14"/>
        <v>12.567061489574984</v>
      </c>
      <c r="I54" s="22">
        <f t="shared" si="15"/>
        <v>25.134122979149968</v>
      </c>
      <c r="J54" s="22">
        <f t="shared" si="16"/>
        <v>22.849202708318153</v>
      </c>
      <c r="K54" s="23">
        <f t="shared" si="17"/>
        <v>627</v>
      </c>
      <c r="L54" s="23" t="str">
        <f t="shared" si="18"/>
        <v>110 ± 25,135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134</v>
      </c>
      <c r="C58" s="22">
        <v>134520</v>
      </c>
      <c r="D58" s="22">
        <f t="shared" si="10"/>
        <v>68.107420224636115</v>
      </c>
      <c r="E58" s="22">
        <f t="shared" si="11"/>
        <v>338.32226067390832</v>
      </c>
      <c r="F58" s="22">
        <f t="shared" si="12"/>
        <v>-70.322260673908346</v>
      </c>
      <c r="G58" s="22">
        <f t="shared" si="13"/>
        <v>50.82643300345979</v>
      </c>
      <c r="H58" s="22">
        <f t="shared" si="14"/>
        <v>12.434656796838922</v>
      </c>
      <c r="I58" s="22">
        <f t="shared" si="15"/>
        <v>24.869313593677845</v>
      </c>
      <c r="J58" s="22">
        <f t="shared" si="16"/>
        <v>18.559189249013315</v>
      </c>
      <c r="K58" s="23">
        <f t="shared" si="17"/>
        <v>414</v>
      </c>
      <c r="L58" s="23" t="str">
        <f t="shared" si="18"/>
        <v>134 ± 24,87</v>
      </c>
    </row>
    <row r="59" spans="1:12" x14ac:dyDescent="0.25">
      <c r="A59" s="17">
        <f t="shared" si="9"/>
        <v>57</v>
      </c>
      <c r="B59" s="22">
        <v>148</v>
      </c>
      <c r="C59" s="22">
        <v>242880</v>
      </c>
      <c r="D59" s="22">
        <f t="shared" si="10"/>
        <v>91.515968080948056</v>
      </c>
      <c r="E59" s="22">
        <f t="shared" si="11"/>
        <v>422.5479042428442</v>
      </c>
      <c r="F59" s="22">
        <f t="shared" si="12"/>
        <v>-126.5479042428442</v>
      </c>
      <c r="G59" s="22">
        <f t="shared" si="13"/>
        <v>61.835113568208143</v>
      </c>
      <c r="H59" s="22">
        <f t="shared" si="14"/>
        <v>16.708453363286004</v>
      </c>
      <c r="I59" s="22">
        <f t="shared" si="15"/>
        <v>33.416906726572009</v>
      </c>
      <c r="J59" s="22">
        <f t="shared" si="16"/>
        <v>22.578991031467574</v>
      </c>
      <c r="K59" s="23">
        <f t="shared" si="17"/>
        <v>612</v>
      </c>
      <c r="L59" s="23" t="str">
        <f t="shared" si="18"/>
        <v>148 ± 33,417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50</v>
      </c>
      <c r="C63" s="22">
        <v>79800</v>
      </c>
      <c r="D63" s="22">
        <f t="shared" si="10"/>
        <v>52.456878842827031</v>
      </c>
      <c r="E63" s="22">
        <f t="shared" si="11"/>
        <v>207.3706365284811</v>
      </c>
      <c r="F63" s="22">
        <f t="shared" si="12"/>
        <v>-107.3706365284811</v>
      </c>
      <c r="G63" s="22">
        <f t="shared" si="13"/>
        <v>104.91375768565405</v>
      </c>
      <c r="H63" s="22">
        <f t="shared" si="14"/>
        <v>9.5772719461772873</v>
      </c>
      <c r="I63" s="22">
        <f t="shared" si="15"/>
        <v>19.154543892354575</v>
      </c>
      <c r="J63" s="22">
        <f t="shared" si="16"/>
        <v>38.309087784709149</v>
      </c>
      <c r="K63" s="23">
        <f t="shared" si="17"/>
        <v>1762</v>
      </c>
      <c r="L63" s="23" t="str">
        <f t="shared" si="18"/>
        <v>50 ± 19,155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152</v>
      </c>
      <c r="C68" s="22">
        <v>192480</v>
      </c>
      <c r="D68" s="22">
        <f t="shared" si="10"/>
        <v>81.469266470923529</v>
      </c>
      <c r="E68" s="22">
        <f t="shared" si="11"/>
        <v>396.4077994127706</v>
      </c>
      <c r="F68" s="22">
        <f t="shared" si="12"/>
        <v>-92.407799412770601</v>
      </c>
      <c r="G68" s="22">
        <f t="shared" si="13"/>
        <v>53.598201625607587</v>
      </c>
      <c r="H68" s="22">
        <f t="shared" si="14"/>
        <v>14.874184996508038</v>
      </c>
      <c r="I68" s="22">
        <f t="shared" si="15"/>
        <v>29.748369993016077</v>
      </c>
      <c r="J68" s="22">
        <f t="shared" si="16"/>
        <v>19.571296048036892</v>
      </c>
      <c r="K68" s="23">
        <f t="shared" si="17"/>
        <v>460</v>
      </c>
      <c r="L68" s="23" t="str">
        <f t="shared" si="18"/>
        <v>152 ± 29,749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116</v>
      </c>
      <c r="C73" s="22">
        <v>215520</v>
      </c>
      <c r="D73" s="22">
        <f t="shared" ref="D73:D78" si="20">POWER(C73/($O$5-1),0.5)</f>
        <v>86.207448274096564</v>
      </c>
      <c r="E73" s="22">
        <f t="shared" ref="E73:E78" si="21">B73+3*D73</f>
        <v>374.62234482228968</v>
      </c>
      <c r="F73" s="22">
        <f t="shared" ref="F73:F78" si="22">B73-3*D73</f>
        <v>-142.62234482228968</v>
      </c>
      <c r="G73" s="22">
        <f t="shared" ref="G73:G78" si="23">D73/B73*100</f>
        <v>74.316765753531527</v>
      </c>
      <c r="H73" s="22">
        <f t="shared" ref="H73:H78" si="24">D73/POWER($O$5, 0.5)</f>
        <v>15.73925468156083</v>
      </c>
      <c r="I73" s="22">
        <f t="shared" ref="I73:I78" si="25">H73*$P$5</f>
        <v>31.47850936312166</v>
      </c>
      <c r="J73" s="22">
        <f t="shared" ref="J73:J78" si="26">I73/B73*100</f>
        <v>27.136646002691084</v>
      </c>
      <c r="K73" s="23">
        <f t="shared" ref="K73:K78" si="27">ROUNDUP(POWER(G73*$P$5/$Q$5,2),0)</f>
        <v>884</v>
      </c>
      <c r="L73" s="23" t="str">
        <f t="shared" ref="L73:L78" si="28" xml:space="preserve"> B73 &amp; " ± " &amp; (ROUNDUP(I73, 3))</f>
        <v>116 ± 31,479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140</v>
      </c>
      <c r="C78" s="22">
        <v>268800</v>
      </c>
      <c r="D78" s="22">
        <f t="shared" si="20"/>
        <v>96.275466850290471</v>
      </c>
      <c r="E78" s="22">
        <f t="shared" si="21"/>
        <v>428.82640055087143</v>
      </c>
      <c r="F78" s="22">
        <f t="shared" si="22"/>
        <v>-148.82640055087143</v>
      </c>
      <c r="G78" s="22">
        <f t="shared" si="23"/>
        <v>68.768190607350334</v>
      </c>
      <c r="H78" s="22">
        <f t="shared" si="24"/>
        <v>17.577414976081645</v>
      </c>
      <c r="I78" s="22">
        <f t="shared" si="25"/>
        <v>35.15482995216329</v>
      </c>
      <c r="J78" s="22">
        <f t="shared" si="26"/>
        <v>25.110592822973775</v>
      </c>
      <c r="K78" s="23">
        <f t="shared" si="27"/>
        <v>757</v>
      </c>
      <c r="L78" s="23" t="str">
        <f t="shared" si="28"/>
        <v>140 ± 35,155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4</v>
      </c>
      <c r="C81" s="22">
        <v>6720</v>
      </c>
      <c r="D81" s="22">
        <f t="shared" si="38"/>
        <v>15.222487902147746</v>
      </c>
      <c r="E81" s="22">
        <f t="shared" si="39"/>
        <v>49.667463706443236</v>
      </c>
      <c r="F81" s="22">
        <f t="shared" si="40"/>
        <v>-41.667463706443236</v>
      </c>
      <c r="G81" s="22">
        <f t="shared" si="41"/>
        <v>380.56219755369364</v>
      </c>
      <c r="H81" s="22">
        <f t="shared" si="42"/>
        <v>2.7792333351186049</v>
      </c>
      <c r="I81" s="22">
        <f t="shared" si="43"/>
        <v>5.5584666702372099</v>
      </c>
      <c r="J81" s="22">
        <f t="shared" si="44"/>
        <v>138.96166675593025</v>
      </c>
      <c r="K81" s="23">
        <f t="shared" si="45"/>
        <v>23173</v>
      </c>
      <c r="L81" s="23" t="str">
        <f t="shared" si="46"/>
        <v>4 ± 5,559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808</v>
      </c>
      <c r="C83" s="22">
        <v>6406080</v>
      </c>
      <c r="D83" s="22">
        <f t="shared" si="38"/>
        <v>469.99926632371205</v>
      </c>
      <c r="E83" s="22">
        <f t="shared" si="39"/>
        <v>2217.997798971136</v>
      </c>
      <c r="F83" s="22">
        <f t="shared" si="40"/>
        <v>-601.99779897113604</v>
      </c>
      <c r="G83" s="22">
        <f t="shared" si="41"/>
        <v>58.168226030162387</v>
      </c>
      <c r="H83" s="22">
        <f t="shared" si="42"/>
        <v>85.809733392125082</v>
      </c>
      <c r="I83" s="22">
        <f t="shared" si="43"/>
        <v>171.61946678425016</v>
      </c>
      <c r="J83" s="22">
        <f t="shared" si="44"/>
        <v>21.240033017852745</v>
      </c>
      <c r="K83" s="23">
        <f t="shared" si="45"/>
        <v>542</v>
      </c>
      <c r="L83" s="23" t="str">
        <f t="shared" si="46"/>
        <v>808 ± 171,62</v>
      </c>
    </row>
    <row r="84" spans="1:12" x14ac:dyDescent="0.25">
      <c r="A84" s="17" t="s">
        <v>64</v>
      </c>
      <c r="B84" s="22">
        <v>836</v>
      </c>
      <c r="C84" s="22">
        <v>6133920</v>
      </c>
      <c r="D84" s="22">
        <f t="shared" si="38"/>
        <v>459.90703708317045</v>
      </c>
      <c r="E84" s="22">
        <f t="shared" si="39"/>
        <v>2215.7211112495115</v>
      </c>
      <c r="F84" s="22">
        <f t="shared" si="40"/>
        <v>-543.7211112495113</v>
      </c>
      <c r="G84" s="22">
        <f t="shared" si="41"/>
        <v>55.012803478848141</v>
      </c>
      <c r="H84" s="22">
        <f t="shared" si="42"/>
        <v>83.96715285527246</v>
      </c>
      <c r="I84" s="22">
        <f t="shared" si="43"/>
        <v>167.93430571054492</v>
      </c>
      <c r="J84" s="22">
        <f t="shared" si="44"/>
        <v>20.087835611309202</v>
      </c>
      <c r="K84" s="23">
        <f t="shared" si="45"/>
        <v>485</v>
      </c>
      <c r="L84" s="23" t="str">
        <f t="shared" si="46"/>
        <v>836 ± 167,935</v>
      </c>
    </row>
    <row r="85" spans="1:12" x14ac:dyDescent="0.25">
      <c r="A85" s="17" t="s">
        <v>65</v>
      </c>
      <c r="B85" s="22">
        <v>206</v>
      </c>
      <c r="C85" s="22">
        <v>559320</v>
      </c>
      <c r="D85" s="22">
        <f t="shared" si="38"/>
        <v>138.87727154478569</v>
      </c>
      <c r="E85" s="22">
        <f t="shared" si="39"/>
        <v>622.63181463435706</v>
      </c>
      <c r="F85" s="22">
        <f t="shared" si="40"/>
        <v>-210.63181463435706</v>
      </c>
      <c r="G85" s="22">
        <f t="shared" si="41"/>
        <v>67.416151235332862</v>
      </c>
      <c r="H85" s="22">
        <f t="shared" si="42"/>
        <v>25.355404783283149</v>
      </c>
      <c r="I85" s="22">
        <f t="shared" si="43"/>
        <v>50.710809566566297</v>
      </c>
      <c r="J85" s="22">
        <f t="shared" si="44"/>
        <v>24.616897847847717</v>
      </c>
      <c r="K85" s="23">
        <f t="shared" si="45"/>
        <v>728</v>
      </c>
      <c r="L85" s="23" t="str">
        <f t="shared" si="46"/>
        <v>206 ± 50,711</v>
      </c>
    </row>
    <row r="86" spans="1:12" x14ac:dyDescent="0.25">
      <c r="A86" s="17" t="s">
        <v>66</v>
      </c>
      <c r="B86" s="22">
        <v>250</v>
      </c>
      <c r="C86" s="22">
        <v>555000</v>
      </c>
      <c r="D86" s="22">
        <f t="shared" si="38"/>
        <v>138.33991121322421</v>
      </c>
      <c r="E86" s="22">
        <f t="shared" si="39"/>
        <v>665.01973363967261</v>
      </c>
      <c r="F86" s="22">
        <f t="shared" si="40"/>
        <v>-165.01973363967261</v>
      </c>
      <c r="G86" s="22">
        <f t="shared" si="41"/>
        <v>55.335964485289693</v>
      </c>
      <c r="H86" s="22">
        <f t="shared" si="42"/>
        <v>25.257296658248258</v>
      </c>
      <c r="I86" s="22">
        <f t="shared" si="43"/>
        <v>50.514593316496516</v>
      </c>
      <c r="J86" s="22">
        <f t="shared" si="44"/>
        <v>20.205837326598605</v>
      </c>
      <c r="K86" s="23">
        <f t="shared" si="45"/>
        <v>490</v>
      </c>
      <c r="L86" s="23" t="str">
        <f t="shared" si="46"/>
        <v>250 ± 50,515</v>
      </c>
    </row>
    <row r="87" spans="1:12" x14ac:dyDescent="0.25">
      <c r="A87" s="17" t="s">
        <v>67</v>
      </c>
      <c r="B87" s="22">
        <v>1184</v>
      </c>
      <c r="C87" s="22">
        <v>13254720</v>
      </c>
      <c r="D87" s="22">
        <f t="shared" si="38"/>
        <v>676.06161726933408</v>
      </c>
      <c r="E87" s="22">
        <f t="shared" si="39"/>
        <v>3212.1848518080023</v>
      </c>
      <c r="F87" s="22">
        <f t="shared" si="40"/>
        <v>-844.18485180800235</v>
      </c>
      <c r="G87" s="22">
        <f t="shared" si="41"/>
        <v>57.099798755855922</v>
      </c>
      <c r="H87" s="22">
        <f t="shared" si="42"/>
        <v>123.43139934727948</v>
      </c>
      <c r="I87" s="22">
        <f t="shared" si="43"/>
        <v>246.86279869455896</v>
      </c>
      <c r="J87" s="22">
        <f t="shared" si="44"/>
        <v>20.849898538391802</v>
      </c>
      <c r="K87" s="23">
        <f t="shared" si="45"/>
        <v>522</v>
      </c>
      <c r="L87" s="23" t="str">
        <f t="shared" si="46"/>
        <v>1184 ± 246,863</v>
      </c>
    </row>
    <row r="88" spans="1:12" x14ac:dyDescent="0.25">
      <c r="A88" s="17" t="s">
        <v>68</v>
      </c>
      <c r="B88" s="22">
        <v>1616</v>
      </c>
      <c r="C88" s="22">
        <v>17265120</v>
      </c>
      <c r="D88" s="22">
        <f t="shared" ref="D88" si="47">POWER(C88/($O$5-1),0.5)</f>
        <v>771.58859861796907</v>
      </c>
      <c r="E88" s="22">
        <f t="shared" ref="E88" si="48">B88+3*D88</f>
        <v>3930.7657958539071</v>
      </c>
      <c r="F88" s="22">
        <f t="shared" ref="F88" si="49">B88-3*D88</f>
        <v>-698.76579585390709</v>
      </c>
      <c r="G88" s="22">
        <f t="shared" ref="G88" si="50">D88/B88*100</f>
        <v>47.746819221408977</v>
      </c>
      <c r="H88" s="22">
        <f t="shared" ref="H88" si="51">D88/POWER($O$5, 0.5)</f>
        <v>140.87216019228703</v>
      </c>
      <c r="I88" s="22">
        <f t="shared" ref="I88" si="52">H88*$P$5</f>
        <v>281.74432038457405</v>
      </c>
      <c r="J88" s="22">
        <f t="shared" ref="J88" si="53">I88/B88*100</f>
        <v>17.434673291124632</v>
      </c>
      <c r="K88" s="23">
        <f t="shared" ref="K88" si="54">ROUNDUP(POWER(G88*$P$5/$Q$5,2),0)</f>
        <v>365</v>
      </c>
      <c r="L88" s="23" t="str">
        <f t="shared" ref="L88" si="55" xml:space="preserve"> B88 &amp; " ± " &amp; (ROUNDUP(I88, 3))</f>
        <v>1616 ± 281,745</v>
      </c>
    </row>
    <row r="92" spans="1:12" x14ac:dyDescent="0.25">
      <c r="B92" s="22">
        <v>836</v>
      </c>
      <c r="C92" s="22">
        <v>6133920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0E77-25C6-437C-98CB-F28225298D08}">
  <sheetPr codeName="Лист7"/>
  <dimension ref="A1:V88"/>
  <sheetViews>
    <sheetView topLeftCell="A51" workbookViewId="0">
      <selection activeCell="C75" sqref="C75"/>
    </sheetView>
  </sheetViews>
  <sheetFormatPr defaultColWidth="8.85546875" defaultRowHeight="15" x14ac:dyDescent="0.25"/>
  <cols>
    <col min="1" max="1" width="33.28515625" style="3" customWidth="1"/>
    <col min="2" max="2" width="15.7109375" style="2" customWidth="1"/>
    <col min="3" max="3" width="24" style="2" customWidth="1"/>
    <col min="4" max="4" width="12.140625" style="2" customWidth="1"/>
    <col min="5" max="5" width="15.7109375" style="2" customWidth="1"/>
    <col min="6" max="6" width="13.5703125" style="2" customWidth="1"/>
    <col min="7" max="10" width="8.85546875" style="2"/>
    <col min="11" max="11" width="8.85546875" style="1"/>
    <col min="12" max="12" width="18.42578125" style="1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4" t="s">
        <v>22</v>
      </c>
      <c r="C1" s="4" t="s">
        <v>21</v>
      </c>
      <c r="D1" s="4" t="s">
        <v>12</v>
      </c>
      <c r="E1" s="4" t="s">
        <v>20</v>
      </c>
      <c r="F1" s="4" t="s">
        <v>19</v>
      </c>
      <c r="G1" s="4" t="s">
        <v>9</v>
      </c>
      <c r="H1" s="4" t="s">
        <v>8</v>
      </c>
      <c r="I1" s="4" t="s">
        <v>18</v>
      </c>
      <c r="J1" s="4" t="s">
        <v>17</v>
      </c>
      <c r="K1" s="11" t="s">
        <v>5</v>
      </c>
      <c r="L1" s="11" t="s">
        <v>16</v>
      </c>
    </row>
    <row r="2" spans="1:17" s="29" customFormat="1" ht="15.75" thickBot="1" x14ac:dyDescent="0.3">
      <c r="A2" s="10"/>
      <c r="B2" s="9"/>
      <c r="C2" s="8"/>
      <c r="D2" s="8"/>
      <c r="E2" s="8"/>
      <c r="F2" s="8"/>
      <c r="G2" s="8"/>
      <c r="H2" s="8"/>
      <c r="I2" s="8"/>
      <c r="J2" s="8"/>
      <c r="K2" s="7"/>
      <c r="L2" s="7"/>
    </row>
    <row r="3" spans="1:17" s="30" customFormat="1" x14ac:dyDescent="0.25">
      <c r="A3" s="15">
        <v>1</v>
      </c>
      <c r="B3" s="6">
        <v>2</v>
      </c>
      <c r="C3" s="6">
        <v>3480</v>
      </c>
      <c r="D3" s="6">
        <f t="shared" ref="D3:D8" si="0">POWER(C3/($O$5-1),0.5)</f>
        <v>10.954451150103322</v>
      </c>
      <c r="E3" s="6">
        <f t="shared" ref="E3:E8" si="1">B3+3*D3</f>
        <v>34.863353450309965</v>
      </c>
      <c r="F3" s="6">
        <f t="shared" ref="F3:F8" si="2">B3-3*D3</f>
        <v>-30.863353450309965</v>
      </c>
      <c r="G3" s="6">
        <f t="shared" ref="G3:G8" si="3">D3/B3*100</f>
        <v>547.72255750516615</v>
      </c>
      <c r="H3" s="6">
        <f t="shared" ref="H3:H8" si="4">D3/POWER($O$5, 0.5)</f>
        <v>2</v>
      </c>
      <c r="I3" s="6">
        <f t="shared" ref="I3:I8" si="5">H3*$P$5</f>
        <v>4</v>
      </c>
      <c r="J3" s="6">
        <f t="shared" ref="J3:J8" si="6">I3/B3*100</f>
        <v>200</v>
      </c>
      <c r="K3" s="5">
        <f t="shared" ref="K3:K8" si="7">ROUNDUP(POWER(G3*$P$5/$Q$5,2),0)</f>
        <v>48000</v>
      </c>
      <c r="L3" s="5" t="str">
        <f t="shared" ref="L3:L8" si="8" xml:space="preserve"> B3 &amp; " ± " &amp; (ROUNDUP(I3, 3))</f>
        <v>2 ± 4</v>
      </c>
    </row>
    <row r="4" spans="1:17" x14ac:dyDescent="0.25">
      <c r="A4" s="16">
        <f>A3+1</f>
        <v>2</v>
      </c>
      <c r="D4" s="2">
        <f t="shared" si="0"/>
        <v>0</v>
      </c>
      <c r="E4" s="2">
        <f t="shared" si="1"/>
        <v>0</v>
      </c>
      <c r="F4" s="2">
        <f t="shared" si="2"/>
        <v>0</v>
      </c>
      <c r="G4" s="2" t="e">
        <f t="shared" si="3"/>
        <v>#DIV/0!</v>
      </c>
      <c r="H4" s="2">
        <f t="shared" si="4"/>
        <v>0</v>
      </c>
      <c r="I4" s="2">
        <f t="shared" si="5"/>
        <v>0</v>
      </c>
      <c r="J4" s="2" t="e">
        <f t="shared" si="6"/>
        <v>#DIV/0!</v>
      </c>
      <c r="K4" s="1" t="e">
        <f t="shared" si="7"/>
        <v>#DIV/0!</v>
      </c>
      <c r="L4" s="1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">
        <f t="shared" si="0"/>
        <v>0</v>
      </c>
      <c r="E5" s="2">
        <f t="shared" si="1"/>
        <v>0</v>
      </c>
      <c r="F5" s="2">
        <f t="shared" si="2"/>
        <v>0</v>
      </c>
      <c r="G5" s="2" t="e">
        <f t="shared" si="3"/>
        <v>#DIV/0!</v>
      </c>
      <c r="H5" s="2">
        <f t="shared" si="4"/>
        <v>0</v>
      </c>
      <c r="I5" s="2">
        <f t="shared" si="5"/>
        <v>0</v>
      </c>
      <c r="J5" s="2" t="e">
        <f t="shared" si="6"/>
        <v>#DIV/0!</v>
      </c>
      <c r="K5" s="1" t="e">
        <f t="shared" si="7"/>
        <v>#DIV/0!</v>
      </c>
      <c r="L5" s="1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">
        <f t="shared" si="0"/>
        <v>0</v>
      </c>
      <c r="E6" s="2">
        <f t="shared" si="1"/>
        <v>0</v>
      </c>
      <c r="F6" s="2">
        <f t="shared" si="2"/>
        <v>0</v>
      </c>
      <c r="G6" s="2" t="e">
        <f t="shared" si="3"/>
        <v>#DIV/0!</v>
      </c>
      <c r="H6" s="2">
        <f t="shared" si="4"/>
        <v>0</v>
      </c>
      <c r="I6" s="2">
        <f t="shared" si="5"/>
        <v>0</v>
      </c>
      <c r="J6" s="2" t="e">
        <f t="shared" si="6"/>
        <v>#DIV/0!</v>
      </c>
      <c r="K6" s="1" t="e">
        <f t="shared" si="7"/>
        <v>#DIV/0!</v>
      </c>
      <c r="L6" s="1" t="str">
        <f t="shared" si="8"/>
        <v xml:space="preserve"> ± 0</v>
      </c>
    </row>
    <row r="7" spans="1:17" x14ac:dyDescent="0.25">
      <c r="A7" s="16">
        <f t="shared" si="9"/>
        <v>5</v>
      </c>
      <c r="D7" s="2">
        <f t="shared" si="0"/>
        <v>0</v>
      </c>
      <c r="E7" s="2">
        <f t="shared" si="1"/>
        <v>0</v>
      </c>
      <c r="F7" s="2">
        <f t="shared" si="2"/>
        <v>0</v>
      </c>
      <c r="G7" s="2" t="e">
        <f t="shared" si="3"/>
        <v>#DIV/0!</v>
      </c>
      <c r="H7" s="2">
        <f t="shared" si="4"/>
        <v>0</v>
      </c>
      <c r="I7" s="2">
        <f t="shared" si="5"/>
        <v>0</v>
      </c>
      <c r="J7" s="2" t="e">
        <f t="shared" si="6"/>
        <v>#DIV/0!</v>
      </c>
      <c r="K7" s="1" t="e">
        <f t="shared" si="7"/>
        <v>#DIV/0!</v>
      </c>
      <c r="L7" s="1" t="str">
        <f t="shared" si="8"/>
        <v xml:space="preserve"> ± 0</v>
      </c>
    </row>
    <row r="8" spans="1:17" x14ac:dyDescent="0.25">
      <c r="A8" s="17">
        <f t="shared" si="9"/>
        <v>6</v>
      </c>
      <c r="B8" s="2">
        <v>8</v>
      </c>
      <c r="C8" s="2">
        <v>26880</v>
      </c>
      <c r="D8" s="2">
        <f t="shared" si="0"/>
        <v>30.444975804295492</v>
      </c>
      <c r="E8" s="2">
        <f t="shared" si="1"/>
        <v>99.334927412886472</v>
      </c>
      <c r="F8" s="2">
        <f t="shared" si="2"/>
        <v>-83.334927412886472</v>
      </c>
      <c r="G8" s="2">
        <f t="shared" si="3"/>
        <v>380.56219755369364</v>
      </c>
      <c r="H8" s="2">
        <f t="shared" si="4"/>
        <v>5.5584666702372099</v>
      </c>
      <c r="I8" s="2">
        <f t="shared" si="5"/>
        <v>11.11693334047442</v>
      </c>
      <c r="J8" s="2">
        <f t="shared" si="6"/>
        <v>138.96166675593025</v>
      </c>
      <c r="K8" s="1">
        <f t="shared" si="7"/>
        <v>23173</v>
      </c>
      <c r="L8" s="1" t="str">
        <f t="shared" si="8"/>
        <v>8 ± 11,117</v>
      </c>
    </row>
    <row r="9" spans="1:17" x14ac:dyDescent="0.25">
      <c r="A9" s="16">
        <f t="shared" si="9"/>
        <v>7</v>
      </c>
      <c r="D9" s="6">
        <f t="shared" ref="D9:D72" si="10">POWER(C9/($O$5-1),0.5)</f>
        <v>0</v>
      </c>
      <c r="E9" s="6">
        <f t="shared" ref="E9:E72" si="11">B9+3*D9</f>
        <v>0</v>
      </c>
      <c r="F9" s="6">
        <f t="shared" ref="F9:F72" si="12">B9-3*D9</f>
        <v>0</v>
      </c>
      <c r="G9" s="6" t="e">
        <f t="shared" ref="G9:G72" si="13">D9/B9*100</f>
        <v>#DIV/0!</v>
      </c>
      <c r="H9" s="6">
        <f t="shared" ref="H9:H72" si="14">D9/POWER($O$5, 0.5)</f>
        <v>0</v>
      </c>
      <c r="I9" s="6">
        <f t="shared" ref="I9:I72" si="15">H9*$P$5</f>
        <v>0</v>
      </c>
      <c r="J9" s="6" t="e">
        <f t="shared" ref="J9:J72" si="16">I9/B9*100</f>
        <v>#DIV/0!</v>
      </c>
      <c r="K9" s="5" t="e">
        <f t="shared" ref="K9:K72" si="17">ROUNDUP(POWER(G9*$P$5/$Q$5,2),0)</f>
        <v>#DIV/0!</v>
      </c>
      <c r="L9" s="5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">
        <f t="shared" si="10"/>
        <v>0</v>
      </c>
      <c r="E10" s="2">
        <f t="shared" si="11"/>
        <v>0</v>
      </c>
      <c r="F10" s="2">
        <f t="shared" si="12"/>
        <v>0</v>
      </c>
      <c r="G10" s="2" t="e">
        <f t="shared" si="13"/>
        <v>#DIV/0!</v>
      </c>
      <c r="H10" s="2">
        <f t="shared" si="14"/>
        <v>0</v>
      </c>
      <c r="I10" s="2">
        <f t="shared" si="15"/>
        <v>0</v>
      </c>
      <c r="J10" s="2" t="e">
        <f t="shared" si="16"/>
        <v>#DIV/0!</v>
      </c>
      <c r="K10" s="1" t="e">
        <f t="shared" si="17"/>
        <v>#DIV/0!</v>
      </c>
      <c r="L10" s="1" t="str">
        <f t="shared" si="18"/>
        <v xml:space="preserve"> ± 0</v>
      </c>
    </row>
    <row r="11" spans="1:17" x14ac:dyDescent="0.25">
      <c r="A11" s="16">
        <f t="shared" si="9"/>
        <v>9</v>
      </c>
      <c r="D11" s="2">
        <f t="shared" si="10"/>
        <v>0</v>
      </c>
      <c r="E11" s="2">
        <f t="shared" si="11"/>
        <v>0</v>
      </c>
      <c r="F11" s="2">
        <f t="shared" si="12"/>
        <v>0</v>
      </c>
      <c r="G11" s="2" t="e">
        <f t="shared" si="13"/>
        <v>#DIV/0!</v>
      </c>
      <c r="H11" s="2">
        <f t="shared" si="14"/>
        <v>0</v>
      </c>
      <c r="I11" s="2">
        <f t="shared" si="15"/>
        <v>0</v>
      </c>
      <c r="J11" s="2" t="e">
        <f t="shared" si="16"/>
        <v>#DIV/0!</v>
      </c>
      <c r="K11" s="1" t="e">
        <f t="shared" si="17"/>
        <v>#DIV/0!</v>
      </c>
      <c r="L11" s="1" t="str">
        <f t="shared" si="18"/>
        <v xml:space="preserve"> ± 0</v>
      </c>
    </row>
    <row r="12" spans="1:17" x14ac:dyDescent="0.25">
      <c r="A12" s="16">
        <f t="shared" si="9"/>
        <v>10</v>
      </c>
      <c r="D12" s="2">
        <f t="shared" si="10"/>
        <v>0</v>
      </c>
      <c r="E12" s="2">
        <f t="shared" si="11"/>
        <v>0</v>
      </c>
      <c r="F12" s="2">
        <f t="shared" si="12"/>
        <v>0</v>
      </c>
      <c r="G12" s="2" t="e">
        <f t="shared" si="13"/>
        <v>#DIV/0!</v>
      </c>
      <c r="H12" s="2">
        <f t="shared" si="14"/>
        <v>0</v>
      </c>
      <c r="I12" s="2">
        <f t="shared" si="15"/>
        <v>0</v>
      </c>
      <c r="J12" s="2" t="e">
        <f t="shared" si="16"/>
        <v>#DIV/0!</v>
      </c>
      <c r="K12" s="1" t="e">
        <f t="shared" si="17"/>
        <v>#DIV/0!</v>
      </c>
      <c r="L12" s="1" t="str">
        <f t="shared" si="18"/>
        <v xml:space="preserve"> ± 0</v>
      </c>
    </row>
    <row r="13" spans="1:17" x14ac:dyDescent="0.25">
      <c r="A13" s="17">
        <f t="shared" si="9"/>
        <v>11</v>
      </c>
      <c r="B13" s="2">
        <v>4</v>
      </c>
      <c r="C13" s="2">
        <v>13920</v>
      </c>
      <c r="D13" s="2">
        <f t="shared" si="10"/>
        <v>21.908902300206645</v>
      </c>
      <c r="E13" s="2">
        <f t="shared" si="11"/>
        <v>69.726706900619931</v>
      </c>
      <c r="F13" s="2">
        <f t="shared" si="12"/>
        <v>-61.726706900619931</v>
      </c>
      <c r="G13" s="2">
        <f t="shared" si="13"/>
        <v>547.72255750516615</v>
      </c>
      <c r="H13" s="2">
        <f t="shared" si="14"/>
        <v>4</v>
      </c>
      <c r="I13" s="2">
        <f t="shared" si="15"/>
        <v>8</v>
      </c>
      <c r="J13" s="2">
        <f t="shared" si="16"/>
        <v>200</v>
      </c>
      <c r="K13" s="1">
        <f t="shared" si="17"/>
        <v>48000</v>
      </c>
      <c r="L13" s="1" t="str">
        <f t="shared" si="18"/>
        <v>4 ± 8</v>
      </c>
    </row>
    <row r="14" spans="1:17" x14ac:dyDescent="0.25">
      <c r="A14" s="16">
        <f t="shared" si="9"/>
        <v>12</v>
      </c>
      <c r="D14" s="2">
        <f t="shared" si="10"/>
        <v>0</v>
      </c>
      <c r="E14" s="2">
        <f t="shared" si="11"/>
        <v>0</v>
      </c>
      <c r="F14" s="2">
        <f t="shared" si="12"/>
        <v>0</v>
      </c>
      <c r="G14" s="2" t="e">
        <f t="shared" si="13"/>
        <v>#DIV/0!</v>
      </c>
      <c r="H14" s="2">
        <f t="shared" si="14"/>
        <v>0</v>
      </c>
      <c r="I14" s="2">
        <f t="shared" si="15"/>
        <v>0</v>
      </c>
      <c r="J14" s="2" t="e">
        <f t="shared" si="16"/>
        <v>#DIV/0!</v>
      </c>
      <c r="K14" s="1" t="e">
        <f t="shared" si="17"/>
        <v>#DIV/0!</v>
      </c>
      <c r="L14" s="1" t="str">
        <f t="shared" si="18"/>
        <v xml:space="preserve"> ± 0</v>
      </c>
    </row>
    <row r="15" spans="1:17" x14ac:dyDescent="0.25">
      <c r="A15" s="16">
        <f t="shared" si="9"/>
        <v>13</v>
      </c>
      <c r="D15" s="6">
        <f t="shared" si="10"/>
        <v>0</v>
      </c>
      <c r="E15" s="6">
        <f t="shared" si="11"/>
        <v>0</v>
      </c>
      <c r="F15" s="6">
        <f t="shared" si="12"/>
        <v>0</v>
      </c>
      <c r="G15" s="6" t="e">
        <f t="shared" si="13"/>
        <v>#DIV/0!</v>
      </c>
      <c r="H15" s="6">
        <f t="shared" si="14"/>
        <v>0</v>
      </c>
      <c r="I15" s="6">
        <f t="shared" si="15"/>
        <v>0</v>
      </c>
      <c r="J15" s="6" t="e">
        <f t="shared" si="16"/>
        <v>#DIV/0!</v>
      </c>
      <c r="K15" s="5" t="e">
        <f t="shared" si="17"/>
        <v>#DIV/0!</v>
      </c>
      <c r="L15" s="5" t="str">
        <f t="shared" si="18"/>
        <v xml:space="preserve"> ± 0</v>
      </c>
    </row>
    <row r="16" spans="1:17" x14ac:dyDescent="0.25">
      <c r="A16" s="16">
        <f t="shared" si="9"/>
        <v>14</v>
      </c>
      <c r="D16" s="2">
        <f t="shared" si="10"/>
        <v>0</v>
      </c>
      <c r="E16" s="2">
        <f t="shared" si="11"/>
        <v>0</v>
      </c>
      <c r="F16" s="2">
        <f t="shared" si="12"/>
        <v>0</v>
      </c>
      <c r="G16" s="2" t="e">
        <f t="shared" si="13"/>
        <v>#DIV/0!</v>
      </c>
      <c r="H16" s="2">
        <f t="shared" si="14"/>
        <v>0</v>
      </c>
      <c r="I16" s="2">
        <f t="shared" si="15"/>
        <v>0</v>
      </c>
      <c r="J16" s="2" t="e">
        <f t="shared" si="16"/>
        <v>#DIV/0!</v>
      </c>
      <c r="K16" s="1" t="e">
        <f t="shared" si="17"/>
        <v>#DIV/0!</v>
      </c>
      <c r="L16" s="1" t="str">
        <f t="shared" si="18"/>
        <v xml:space="preserve"> ± 0</v>
      </c>
    </row>
    <row r="17" spans="1:12" x14ac:dyDescent="0.25">
      <c r="A17" s="16">
        <f t="shared" si="9"/>
        <v>15</v>
      </c>
      <c r="D17" s="2">
        <f t="shared" si="10"/>
        <v>0</v>
      </c>
      <c r="E17" s="2">
        <f t="shared" si="11"/>
        <v>0</v>
      </c>
      <c r="F17" s="2">
        <f t="shared" si="12"/>
        <v>0</v>
      </c>
      <c r="G17" s="2" t="e">
        <f t="shared" si="13"/>
        <v>#DIV/0!</v>
      </c>
      <c r="H17" s="2">
        <f t="shared" si="14"/>
        <v>0</v>
      </c>
      <c r="I17" s="2">
        <f t="shared" si="15"/>
        <v>0</v>
      </c>
      <c r="J17" s="2" t="e">
        <f t="shared" si="16"/>
        <v>#DIV/0!</v>
      </c>
      <c r="K17" s="1" t="e">
        <f t="shared" si="17"/>
        <v>#DIV/0!</v>
      </c>
      <c r="L17" s="1" t="str">
        <f t="shared" si="18"/>
        <v xml:space="preserve"> ± 0</v>
      </c>
    </row>
    <row r="18" spans="1:12" x14ac:dyDescent="0.25">
      <c r="A18" s="17">
        <f t="shared" si="9"/>
        <v>16</v>
      </c>
      <c r="B18" s="2">
        <v>40</v>
      </c>
      <c r="C18" s="2">
        <v>74400</v>
      </c>
      <c r="D18" s="2">
        <f t="shared" si="10"/>
        <v>50.650935246837349</v>
      </c>
      <c r="E18" s="2">
        <f t="shared" si="11"/>
        <v>191.95280574051205</v>
      </c>
      <c r="F18" s="2">
        <f t="shared" si="12"/>
        <v>-111.95280574051205</v>
      </c>
      <c r="G18" s="2">
        <f t="shared" si="13"/>
        <v>126.62733811709337</v>
      </c>
      <c r="H18" s="2">
        <f t="shared" si="14"/>
        <v>9.2475532644754388</v>
      </c>
      <c r="I18" s="2">
        <f t="shared" si="15"/>
        <v>18.495106528950878</v>
      </c>
      <c r="J18" s="2">
        <f t="shared" si="16"/>
        <v>46.237766322377198</v>
      </c>
      <c r="K18" s="1">
        <f t="shared" si="17"/>
        <v>2566</v>
      </c>
      <c r="L18" s="1" t="str">
        <f t="shared" si="18"/>
        <v>40 ± 18,496</v>
      </c>
    </row>
    <row r="19" spans="1:12" x14ac:dyDescent="0.25">
      <c r="A19" s="16">
        <f t="shared" si="9"/>
        <v>17</v>
      </c>
      <c r="D19" s="2">
        <f t="shared" si="10"/>
        <v>0</v>
      </c>
      <c r="E19" s="2">
        <f t="shared" si="11"/>
        <v>0</v>
      </c>
      <c r="F19" s="2">
        <f t="shared" si="12"/>
        <v>0</v>
      </c>
      <c r="G19" s="2" t="e">
        <f t="shared" si="13"/>
        <v>#DIV/0!</v>
      </c>
      <c r="H19" s="2">
        <f t="shared" si="14"/>
        <v>0</v>
      </c>
      <c r="I19" s="2">
        <f t="shared" si="15"/>
        <v>0</v>
      </c>
      <c r="J19" s="2" t="e">
        <f t="shared" si="16"/>
        <v>#DIV/0!</v>
      </c>
      <c r="K19" s="1" t="e">
        <f t="shared" si="17"/>
        <v>#DIV/0!</v>
      </c>
      <c r="L19" s="1" t="str">
        <f t="shared" si="18"/>
        <v xml:space="preserve"> ± 0</v>
      </c>
    </row>
    <row r="20" spans="1:12" x14ac:dyDescent="0.25">
      <c r="A20" s="16">
        <f t="shared" si="9"/>
        <v>18</v>
      </c>
      <c r="D20" s="2">
        <f t="shared" si="10"/>
        <v>0</v>
      </c>
      <c r="E20" s="2">
        <f t="shared" si="11"/>
        <v>0</v>
      </c>
      <c r="F20" s="2">
        <f t="shared" si="12"/>
        <v>0</v>
      </c>
      <c r="G20" s="2" t="e">
        <f t="shared" si="13"/>
        <v>#DIV/0!</v>
      </c>
      <c r="H20" s="2">
        <f t="shared" si="14"/>
        <v>0</v>
      </c>
      <c r="I20" s="2">
        <f t="shared" si="15"/>
        <v>0</v>
      </c>
      <c r="J20" s="2" t="e">
        <f t="shared" si="16"/>
        <v>#DIV/0!</v>
      </c>
      <c r="K20" s="1" t="e">
        <f t="shared" si="17"/>
        <v>#DIV/0!</v>
      </c>
      <c r="L20" s="1" t="str">
        <f t="shared" si="18"/>
        <v xml:space="preserve"> ± 0</v>
      </c>
    </row>
    <row r="21" spans="1:12" x14ac:dyDescent="0.25">
      <c r="A21" s="16">
        <f t="shared" si="9"/>
        <v>19</v>
      </c>
      <c r="D21" s="6">
        <f t="shared" si="10"/>
        <v>0</v>
      </c>
      <c r="E21" s="6">
        <f t="shared" si="11"/>
        <v>0</v>
      </c>
      <c r="F21" s="6">
        <f t="shared" si="12"/>
        <v>0</v>
      </c>
      <c r="G21" s="6" t="e">
        <f t="shared" si="13"/>
        <v>#DIV/0!</v>
      </c>
      <c r="H21" s="6">
        <f t="shared" si="14"/>
        <v>0</v>
      </c>
      <c r="I21" s="6">
        <f t="shared" si="15"/>
        <v>0</v>
      </c>
      <c r="J21" s="6" t="e">
        <f t="shared" si="16"/>
        <v>#DIV/0!</v>
      </c>
      <c r="K21" s="5" t="e">
        <f t="shared" si="17"/>
        <v>#DIV/0!</v>
      </c>
      <c r="L21" s="5" t="str">
        <f t="shared" si="18"/>
        <v xml:space="preserve"> ± 0</v>
      </c>
    </row>
    <row r="22" spans="1:12" x14ac:dyDescent="0.25">
      <c r="A22" s="16">
        <f t="shared" si="9"/>
        <v>20</v>
      </c>
      <c r="D22" s="2">
        <f t="shared" si="10"/>
        <v>0</v>
      </c>
      <c r="E22" s="2">
        <f t="shared" si="11"/>
        <v>0</v>
      </c>
      <c r="F22" s="2">
        <f t="shared" si="12"/>
        <v>0</v>
      </c>
      <c r="G22" s="2" t="e">
        <f t="shared" si="13"/>
        <v>#DIV/0!</v>
      </c>
      <c r="H22" s="2">
        <f t="shared" si="14"/>
        <v>0</v>
      </c>
      <c r="I22" s="2">
        <f t="shared" si="15"/>
        <v>0</v>
      </c>
      <c r="J22" s="2" t="e">
        <f t="shared" si="16"/>
        <v>#DIV/0!</v>
      </c>
      <c r="K22" s="1" t="e">
        <f t="shared" si="17"/>
        <v>#DIV/0!</v>
      </c>
      <c r="L22" s="1" t="str">
        <f t="shared" si="18"/>
        <v xml:space="preserve"> ± 0</v>
      </c>
    </row>
    <row r="23" spans="1:12" x14ac:dyDescent="0.25">
      <c r="A23" s="17">
        <f t="shared" si="9"/>
        <v>21</v>
      </c>
      <c r="B23" s="2">
        <v>14</v>
      </c>
      <c r="C23" s="2">
        <v>26520</v>
      </c>
      <c r="D23" s="2">
        <f t="shared" si="10"/>
        <v>30.240415979623851</v>
      </c>
      <c r="E23" s="2">
        <f t="shared" si="11"/>
        <v>104.72124793887156</v>
      </c>
      <c r="F23" s="2">
        <f t="shared" si="12"/>
        <v>-76.721247938871556</v>
      </c>
      <c r="G23" s="2">
        <f t="shared" si="13"/>
        <v>216.00297128302751</v>
      </c>
      <c r="H23" s="2">
        <f t="shared" si="14"/>
        <v>5.5211193267932233</v>
      </c>
      <c r="I23" s="2">
        <f t="shared" si="15"/>
        <v>11.042238653586447</v>
      </c>
      <c r="J23" s="2">
        <f t="shared" si="16"/>
        <v>78.873133239903197</v>
      </c>
      <c r="K23" s="1">
        <f t="shared" si="17"/>
        <v>7466</v>
      </c>
      <c r="L23" s="1" t="str">
        <f t="shared" si="18"/>
        <v>14 ± 11,043</v>
      </c>
    </row>
    <row r="24" spans="1:12" x14ac:dyDescent="0.25">
      <c r="A24" s="3">
        <f t="shared" si="9"/>
        <v>22</v>
      </c>
      <c r="D24" s="2">
        <f t="shared" si="10"/>
        <v>0</v>
      </c>
      <c r="E24" s="2">
        <f t="shared" si="11"/>
        <v>0</v>
      </c>
      <c r="F24" s="2">
        <f t="shared" si="12"/>
        <v>0</v>
      </c>
      <c r="G24" s="2" t="e">
        <f t="shared" si="13"/>
        <v>#DIV/0!</v>
      </c>
      <c r="H24" s="2">
        <f t="shared" si="14"/>
        <v>0</v>
      </c>
      <c r="I24" s="2">
        <f t="shared" si="15"/>
        <v>0</v>
      </c>
      <c r="J24" s="2" t="e">
        <f t="shared" si="16"/>
        <v>#DIV/0!</v>
      </c>
      <c r="K24" s="1" t="e">
        <f t="shared" si="17"/>
        <v>#DIV/0!</v>
      </c>
      <c r="L24" s="1" t="str">
        <f t="shared" si="18"/>
        <v xml:space="preserve"> ± 0</v>
      </c>
    </row>
    <row r="25" spans="1:12" x14ac:dyDescent="0.25">
      <c r="A25" s="3">
        <f t="shared" si="9"/>
        <v>23</v>
      </c>
      <c r="D25" s="2">
        <f t="shared" si="10"/>
        <v>0</v>
      </c>
      <c r="E25" s="2">
        <f t="shared" si="11"/>
        <v>0</v>
      </c>
      <c r="F25" s="2">
        <f t="shared" si="12"/>
        <v>0</v>
      </c>
      <c r="G25" s="2" t="e">
        <f t="shared" si="13"/>
        <v>#DIV/0!</v>
      </c>
      <c r="H25" s="2">
        <f t="shared" si="14"/>
        <v>0</v>
      </c>
      <c r="I25" s="2">
        <f t="shared" si="15"/>
        <v>0</v>
      </c>
      <c r="J25" s="2" t="e">
        <f t="shared" si="16"/>
        <v>#DIV/0!</v>
      </c>
      <c r="K25" s="1" t="e">
        <f t="shared" si="17"/>
        <v>#DIV/0!</v>
      </c>
      <c r="L25" s="1" t="str">
        <f t="shared" si="18"/>
        <v xml:space="preserve"> ± 0</v>
      </c>
    </row>
    <row r="26" spans="1:12" x14ac:dyDescent="0.25">
      <c r="A26" s="3">
        <f t="shared" si="9"/>
        <v>24</v>
      </c>
      <c r="D26" s="2">
        <f t="shared" si="10"/>
        <v>0</v>
      </c>
      <c r="E26" s="2">
        <f t="shared" si="11"/>
        <v>0</v>
      </c>
      <c r="F26" s="2">
        <f t="shared" si="12"/>
        <v>0</v>
      </c>
      <c r="G26" s="2" t="e">
        <f t="shared" si="13"/>
        <v>#DIV/0!</v>
      </c>
      <c r="H26" s="2">
        <f t="shared" si="14"/>
        <v>0</v>
      </c>
      <c r="I26" s="2">
        <f t="shared" si="15"/>
        <v>0</v>
      </c>
      <c r="J26" s="2" t="e">
        <f t="shared" si="16"/>
        <v>#DIV/0!</v>
      </c>
      <c r="K26" s="1" t="e">
        <f t="shared" si="17"/>
        <v>#DIV/0!</v>
      </c>
      <c r="L26" s="1" t="str">
        <f t="shared" si="18"/>
        <v xml:space="preserve"> ± 0</v>
      </c>
    </row>
    <row r="27" spans="1:12" x14ac:dyDescent="0.25">
      <c r="A27" s="3">
        <f t="shared" si="9"/>
        <v>25</v>
      </c>
      <c r="D27" s="6">
        <f t="shared" si="10"/>
        <v>0</v>
      </c>
      <c r="E27" s="6">
        <f t="shared" si="11"/>
        <v>0</v>
      </c>
      <c r="F27" s="6">
        <f t="shared" si="12"/>
        <v>0</v>
      </c>
      <c r="G27" s="6" t="e">
        <f t="shared" si="13"/>
        <v>#DIV/0!</v>
      </c>
      <c r="H27" s="6">
        <f t="shared" si="14"/>
        <v>0</v>
      </c>
      <c r="I27" s="6">
        <f t="shared" si="15"/>
        <v>0</v>
      </c>
      <c r="J27" s="6" t="e">
        <f t="shared" si="16"/>
        <v>#DIV/0!</v>
      </c>
      <c r="K27" s="5" t="e">
        <f t="shared" si="17"/>
        <v>#DIV/0!</v>
      </c>
      <c r="L27" s="5" t="str">
        <f t="shared" si="18"/>
        <v xml:space="preserve"> ± 0</v>
      </c>
    </row>
    <row r="28" spans="1:12" x14ac:dyDescent="0.25">
      <c r="A28" s="17">
        <f t="shared" si="9"/>
        <v>26</v>
      </c>
      <c r="B28" s="2">
        <v>206</v>
      </c>
      <c r="C28" s="2">
        <v>840120</v>
      </c>
      <c r="D28" s="2">
        <f t="shared" si="10"/>
        <v>170.20474485869596</v>
      </c>
      <c r="E28" s="2">
        <f t="shared" si="11"/>
        <v>716.61423457608794</v>
      </c>
      <c r="F28" s="2">
        <f t="shared" si="12"/>
        <v>-304.61423457608788</v>
      </c>
      <c r="G28" s="2">
        <f t="shared" si="13"/>
        <v>82.623662552765026</v>
      </c>
      <c r="H28" s="2">
        <f t="shared" si="14"/>
        <v>31.074992717839741</v>
      </c>
      <c r="I28" s="2">
        <f t="shared" si="15"/>
        <v>62.149985435679483</v>
      </c>
      <c r="J28" s="2">
        <f t="shared" si="16"/>
        <v>30.169895842562855</v>
      </c>
      <c r="K28" s="1">
        <f t="shared" si="17"/>
        <v>1093</v>
      </c>
      <c r="L28" s="1" t="str">
        <f t="shared" si="18"/>
        <v>206 ± 62,15</v>
      </c>
    </row>
    <row r="29" spans="1:12" x14ac:dyDescent="0.25">
      <c r="A29" s="3">
        <f t="shared" si="9"/>
        <v>27</v>
      </c>
      <c r="D29" s="2">
        <f t="shared" si="10"/>
        <v>0</v>
      </c>
      <c r="E29" s="2">
        <f t="shared" si="11"/>
        <v>0</v>
      </c>
      <c r="F29" s="2">
        <f t="shared" si="12"/>
        <v>0</v>
      </c>
      <c r="G29" s="2" t="e">
        <f t="shared" si="13"/>
        <v>#DIV/0!</v>
      </c>
      <c r="H29" s="2">
        <f t="shared" si="14"/>
        <v>0</v>
      </c>
      <c r="I29" s="2">
        <f t="shared" si="15"/>
        <v>0</v>
      </c>
      <c r="J29" s="2" t="e">
        <f t="shared" si="16"/>
        <v>#DIV/0!</v>
      </c>
      <c r="K29" s="1" t="e">
        <f t="shared" si="17"/>
        <v>#DIV/0!</v>
      </c>
      <c r="L29" s="1" t="str">
        <f t="shared" si="18"/>
        <v xml:space="preserve"> ± 0</v>
      </c>
    </row>
    <row r="30" spans="1:12" x14ac:dyDescent="0.25">
      <c r="A30" s="3">
        <f t="shared" si="9"/>
        <v>28</v>
      </c>
      <c r="D30" s="2">
        <f t="shared" si="10"/>
        <v>0</v>
      </c>
      <c r="E30" s="2">
        <f t="shared" si="11"/>
        <v>0</v>
      </c>
      <c r="F30" s="2">
        <f t="shared" si="12"/>
        <v>0</v>
      </c>
      <c r="G30" s="2" t="e">
        <f t="shared" si="13"/>
        <v>#DIV/0!</v>
      </c>
      <c r="H30" s="2">
        <f t="shared" si="14"/>
        <v>0</v>
      </c>
      <c r="I30" s="2">
        <f t="shared" si="15"/>
        <v>0</v>
      </c>
      <c r="J30" s="2" t="e">
        <f t="shared" si="16"/>
        <v>#DIV/0!</v>
      </c>
      <c r="K30" s="1" t="e">
        <f t="shared" si="17"/>
        <v>#DIV/0!</v>
      </c>
      <c r="L30" s="1" t="str">
        <f t="shared" si="18"/>
        <v xml:space="preserve"> ± 0</v>
      </c>
    </row>
    <row r="31" spans="1:12" x14ac:dyDescent="0.25">
      <c r="A31" s="3">
        <f t="shared" si="9"/>
        <v>29</v>
      </c>
      <c r="D31" s="2">
        <f t="shared" si="10"/>
        <v>0</v>
      </c>
      <c r="E31" s="2">
        <f t="shared" si="11"/>
        <v>0</v>
      </c>
      <c r="F31" s="2">
        <f t="shared" si="12"/>
        <v>0</v>
      </c>
      <c r="G31" s="2" t="e">
        <f t="shared" si="13"/>
        <v>#DIV/0!</v>
      </c>
      <c r="H31" s="2">
        <f t="shared" si="14"/>
        <v>0</v>
      </c>
      <c r="I31" s="2">
        <f t="shared" si="15"/>
        <v>0</v>
      </c>
      <c r="J31" s="2" t="e">
        <f t="shared" si="16"/>
        <v>#DIV/0!</v>
      </c>
      <c r="K31" s="1" t="e">
        <f t="shared" si="17"/>
        <v>#DIV/0!</v>
      </c>
      <c r="L31" s="1" t="str">
        <f t="shared" si="18"/>
        <v xml:space="preserve"> ± 0</v>
      </c>
    </row>
    <row r="32" spans="1:12" x14ac:dyDescent="0.25">
      <c r="A32" s="3">
        <f t="shared" si="9"/>
        <v>30</v>
      </c>
      <c r="D32" s="2">
        <f t="shared" si="10"/>
        <v>0</v>
      </c>
      <c r="E32" s="2">
        <f t="shared" si="11"/>
        <v>0</v>
      </c>
      <c r="F32" s="2">
        <f t="shared" si="12"/>
        <v>0</v>
      </c>
      <c r="G32" s="2" t="e">
        <f t="shared" si="13"/>
        <v>#DIV/0!</v>
      </c>
      <c r="H32" s="2">
        <f t="shared" si="14"/>
        <v>0</v>
      </c>
      <c r="I32" s="2">
        <f t="shared" si="15"/>
        <v>0</v>
      </c>
      <c r="J32" s="2" t="e">
        <f t="shared" si="16"/>
        <v>#DIV/0!</v>
      </c>
      <c r="K32" s="1" t="e">
        <f t="shared" si="17"/>
        <v>#DIV/0!</v>
      </c>
      <c r="L32" s="1" t="str">
        <f t="shared" si="18"/>
        <v xml:space="preserve"> ± 0</v>
      </c>
    </row>
    <row r="33" spans="1:12" x14ac:dyDescent="0.25">
      <c r="A33" s="17">
        <f t="shared" si="9"/>
        <v>31</v>
      </c>
      <c r="B33" s="2">
        <v>30</v>
      </c>
      <c r="C33" s="2">
        <v>63000</v>
      </c>
      <c r="D33" s="6">
        <f t="shared" si="10"/>
        <v>46.609159969939903</v>
      </c>
      <c r="E33" s="6">
        <f t="shared" si="11"/>
        <v>169.82747990981971</v>
      </c>
      <c r="F33" s="6">
        <f t="shared" si="12"/>
        <v>-109.82747990981971</v>
      </c>
      <c r="G33" s="6">
        <f t="shared" si="13"/>
        <v>155.36386656646636</v>
      </c>
      <c r="H33" s="6">
        <f t="shared" si="14"/>
        <v>8.5096294339676319</v>
      </c>
      <c r="I33" s="6">
        <f t="shared" si="15"/>
        <v>17.019258867935264</v>
      </c>
      <c r="J33" s="6">
        <f t="shared" si="16"/>
        <v>56.730862893117553</v>
      </c>
      <c r="K33" s="5">
        <f t="shared" si="17"/>
        <v>3863</v>
      </c>
      <c r="L33" s="5" t="str">
        <f t="shared" si="18"/>
        <v>30 ± 17,02</v>
      </c>
    </row>
    <row r="34" spans="1:12" x14ac:dyDescent="0.25">
      <c r="A34" s="3">
        <f t="shared" si="9"/>
        <v>32</v>
      </c>
      <c r="D34" s="2">
        <f t="shared" si="10"/>
        <v>0</v>
      </c>
      <c r="E34" s="2">
        <f t="shared" si="11"/>
        <v>0</v>
      </c>
      <c r="F34" s="2">
        <f t="shared" si="12"/>
        <v>0</v>
      </c>
      <c r="G34" s="2" t="e">
        <f t="shared" si="13"/>
        <v>#DIV/0!</v>
      </c>
      <c r="H34" s="2">
        <f t="shared" si="14"/>
        <v>0</v>
      </c>
      <c r="I34" s="2">
        <f t="shared" si="15"/>
        <v>0</v>
      </c>
      <c r="J34" s="2" t="e">
        <f t="shared" si="16"/>
        <v>#DIV/0!</v>
      </c>
      <c r="K34" s="1" t="e">
        <f t="shared" si="17"/>
        <v>#DIV/0!</v>
      </c>
      <c r="L34" s="1" t="str">
        <f t="shared" si="18"/>
        <v xml:space="preserve"> ± 0</v>
      </c>
    </row>
    <row r="35" spans="1:12" x14ac:dyDescent="0.25">
      <c r="A35" s="3">
        <f t="shared" si="9"/>
        <v>33</v>
      </c>
      <c r="D35" s="2">
        <f t="shared" si="10"/>
        <v>0</v>
      </c>
      <c r="E35" s="2">
        <f t="shared" si="11"/>
        <v>0</v>
      </c>
      <c r="F35" s="2">
        <f t="shared" si="12"/>
        <v>0</v>
      </c>
      <c r="G35" s="2" t="e">
        <f t="shared" si="13"/>
        <v>#DIV/0!</v>
      </c>
      <c r="H35" s="2">
        <f t="shared" si="14"/>
        <v>0</v>
      </c>
      <c r="I35" s="2">
        <f t="shared" si="15"/>
        <v>0</v>
      </c>
      <c r="J35" s="2" t="e">
        <f t="shared" si="16"/>
        <v>#DIV/0!</v>
      </c>
      <c r="K35" s="1" t="e">
        <f t="shared" si="17"/>
        <v>#DIV/0!</v>
      </c>
      <c r="L35" s="1" t="str">
        <f t="shared" si="18"/>
        <v xml:space="preserve"> ± 0</v>
      </c>
    </row>
    <row r="36" spans="1:12" x14ac:dyDescent="0.25">
      <c r="A36" s="3">
        <f t="shared" si="9"/>
        <v>34</v>
      </c>
      <c r="D36" s="2">
        <f t="shared" si="10"/>
        <v>0</v>
      </c>
      <c r="E36" s="2">
        <f t="shared" si="11"/>
        <v>0</v>
      </c>
      <c r="F36" s="2">
        <f t="shared" si="12"/>
        <v>0</v>
      </c>
      <c r="G36" s="2" t="e">
        <f t="shared" si="13"/>
        <v>#DIV/0!</v>
      </c>
      <c r="H36" s="2">
        <f t="shared" si="14"/>
        <v>0</v>
      </c>
      <c r="I36" s="2">
        <f t="shared" si="15"/>
        <v>0</v>
      </c>
      <c r="J36" s="2" t="e">
        <f t="shared" si="16"/>
        <v>#DIV/0!</v>
      </c>
      <c r="K36" s="1" t="e">
        <f t="shared" si="17"/>
        <v>#DIV/0!</v>
      </c>
      <c r="L36" s="1" t="str">
        <f t="shared" si="18"/>
        <v xml:space="preserve"> ± 0</v>
      </c>
    </row>
    <row r="37" spans="1:12" x14ac:dyDescent="0.25">
      <c r="A37" s="3">
        <f t="shared" si="9"/>
        <v>35</v>
      </c>
      <c r="D37" s="2">
        <f t="shared" si="10"/>
        <v>0</v>
      </c>
      <c r="E37" s="2">
        <f t="shared" si="11"/>
        <v>0</v>
      </c>
      <c r="F37" s="2">
        <f t="shared" si="12"/>
        <v>0</v>
      </c>
      <c r="G37" s="2" t="e">
        <f t="shared" si="13"/>
        <v>#DIV/0!</v>
      </c>
      <c r="H37" s="2">
        <f t="shared" si="14"/>
        <v>0</v>
      </c>
      <c r="I37" s="2">
        <f t="shared" si="15"/>
        <v>0</v>
      </c>
      <c r="J37" s="2" t="e">
        <f t="shared" si="16"/>
        <v>#DIV/0!</v>
      </c>
      <c r="K37" s="1" t="e">
        <f t="shared" si="17"/>
        <v>#DIV/0!</v>
      </c>
      <c r="L37" s="1" t="str">
        <f t="shared" si="18"/>
        <v xml:space="preserve"> ± 0</v>
      </c>
    </row>
    <row r="38" spans="1:12" x14ac:dyDescent="0.25">
      <c r="A38" s="17">
        <f t="shared" si="9"/>
        <v>36</v>
      </c>
      <c r="B38" s="2">
        <v>38</v>
      </c>
      <c r="C38" s="2">
        <v>61080</v>
      </c>
      <c r="D38" s="2">
        <f t="shared" si="10"/>
        <v>45.893429775423456</v>
      </c>
      <c r="E38" s="2">
        <f t="shared" si="11"/>
        <v>175.68028932627038</v>
      </c>
      <c r="F38" s="2">
        <f t="shared" si="12"/>
        <v>-99.680289326270383</v>
      </c>
      <c r="G38" s="2">
        <f t="shared" si="13"/>
        <v>120.77218361953541</v>
      </c>
      <c r="H38" s="2">
        <f t="shared" si="14"/>
        <v>8.3789555764262253</v>
      </c>
      <c r="I38" s="2">
        <f t="shared" si="15"/>
        <v>16.757911152852451</v>
      </c>
      <c r="J38" s="2">
        <f t="shared" si="16"/>
        <v>44.099766191716974</v>
      </c>
      <c r="K38" s="1">
        <f t="shared" si="17"/>
        <v>2334</v>
      </c>
      <c r="L38" s="1" t="str">
        <f t="shared" si="18"/>
        <v>38 ± 16,758</v>
      </c>
    </row>
    <row r="39" spans="1:12" x14ac:dyDescent="0.25">
      <c r="A39" s="3">
        <f t="shared" si="9"/>
        <v>37</v>
      </c>
      <c r="D39" s="6">
        <f t="shared" si="10"/>
        <v>0</v>
      </c>
      <c r="E39" s="6">
        <f t="shared" si="11"/>
        <v>0</v>
      </c>
      <c r="F39" s="6">
        <f t="shared" si="12"/>
        <v>0</v>
      </c>
      <c r="G39" s="6" t="e">
        <f t="shared" si="13"/>
        <v>#DIV/0!</v>
      </c>
      <c r="H39" s="6">
        <f t="shared" si="14"/>
        <v>0</v>
      </c>
      <c r="I39" s="6">
        <f t="shared" si="15"/>
        <v>0</v>
      </c>
      <c r="J39" s="6" t="e">
        <f t="shared" si="16"/>
        <v>#DIV/0!</v>
      </c>
      <c r="K39" s="5" t="e">
        <f t="shared" si="17"/>
        <v>#DIV/0!</v>
      </c>
      <c r="L39" s="5" t="str">
        <f t="shared" si="18"/>
        <v xml:space="preserve"> ± 0</v>
      </c>
    </row>
    <row r="40" spans="1:12" x14ac:dyDescent="0.25">
      <c r="A40" s="3">
        <f t="shared" si="9"/>
        <v>38</v>
      </c>
      <c r="D40" s="2">
        <f t="shared" si="10"/>
        <v>0</v>
      </c>
      <c r="E40" s="2">
        <f t="shared" si="11"/>
        <v>0</v>
      </c>
      <c r="F40" s="2">
        <f t="shared" si="12"/>
        <v>0</v>
      </c>
      <c r="G40" s="2" t="e">
        <f t="shared" si="13"/>
        <v>#DIV/0!</v>
      </c>
      <c r="H40" s="2">
        <f t="shared" si="14"/>
        <v>0</v>
      </c>
      <c r="I40" s="2">
        <f t="shared" si="15"/>
        <v>0</v>
      </c>
      <c r="J40" s="2" t="e">
        <f t="shared" si="16"/>
        <v>#DIV/0!</v>
      </c>
      <c r="K40" s="1" t="e">
        <f t="shared" si="17"/>
        <v>#DIV/0!</v>
      </c>
      <c r="L40" s="1" t="str">
        <f t="shared" si="18"/>
        <v xml:space="preserve"> ± 0</v>
      </c>
    </row>
    <row r="41" spans="1:12" x14ac:dyDescent="0.25">
      <c r="A41" s="3">
        <f t="shared" si="9"/>
        <v>39</v>
      </c>
      <c r="D41" s="2">
        <f t="shared" si="10"/>
        <v>0</v>
      </c>
      <c r="E41" s="2">
        <f t="shared" si="11"/>
        <v>0</v>
      </c>
      <c r="F41" s="2">
        <f t="shared" si="12"/>
        <v>0</v>
      </c>
      <c r="G41" s="2" t="e">
        <f t="shared" si="13"/>
        <v>#DIV/0!</v>
      </c>
      <c r="H41" s="2">
        <f t="shared" si="14"/>
        <v>0</v>
      </c>
      <c r="I41" s="2">
        <f t="shared" si="15"/>
        <v>0</v>
      </c>
      <c r="J41" s="2" t="e">
        <f t="shared" si="16"/>
        <v>#DIV/0!</v>
      </c>
      <c r="K41" s="1" t="e">
        <f t="shared" si="17"/>
        <v>#DIV/0!</v>
      </c>
      <c r="L41" s="1" t="str">
        <f t="shared" si="18"/>
        <v xml:space="preserve"> ± 0</v>
      </c>
    </row>
    <row r="42" spans="1:12" x14ac:dyDescent="0.25">
      <c r="A42" s="3">
        <f t="shared" si="9"/>
        <v>40</v>
      </c>
      <c r="D42" s="2">
        <f t="shared" si="10"/>
        <v>0</v>
      </c>
      <c r="E42" s="2">
        <f t="shared" si="11"/>
        <v>0</v>
      </c>
      <c r="F42" s="2">
        <f t="shared" si="12"/>
        <v>0</v>
      </c>
      <c r="G42" s="2" t="e">
        <f t="shared" si="13"/>
        <v>#DIV/0!</v>
      </c>
      <c r="H42" s="2">
        <f t="shared" si="14"/>
        <v>0</v>
      </c>
      <c r="I42" s="2">
        <f t="shared" si="15"/>
        <v>0</v>
      </c>
      <c r="J42" s="2" t="e">
        <f t="shared" si="16"/>
        <v>#DIV/0!</v>
      </c>
      <c r="K42" s="1" t="e">
        <f t="shared" si="17"/>
        <v>#DIV/0!</v>
      </c>
      <c r="L42" s="1" t="str">
        <f t="shared" si="18"/>
        <v xml:space="preserve"> ± 0</v>
      </c>
    </row>
    <row r="43" spans="1:12" x14ac:dyDescent="0.25">
      <c r="A43" s="17">
        <f t="shared" si="9"/>
        <v>41</v>
      </c>
      <c r="B43" s="2">
        <v>20</v>
      </c>
      <c r="C43" s="2">
        <v>24000</v>
      </c>
      <c r="D43" s="2">
        <f t="shared" si="10"/>
        <v>28.767798089123048</v>
      </c>
      <c r="E43" s="2">
        <f t="shared" si="11"/>
        <v>106.30339426736914</v>
      </c>
      <c r="F43" s="2">
        <f t="shared" si="12"/>
        <v>-66.303394267369143</v>
      </c>
      <c r="G43" s="2">
        <f t="shared" si="13"/>
        <v>143.83899044561522</v>
      </c>
      <c r="H43" s="2">
        <f t="shared" si="14"/>
        <v>5.2522573143889018</v>
      </c>
      <c r="I43" s="2">
        <f t="shared" si="15"/>
        <v>10.504514628777804</v>
      </c>
      <c r="J43" s="2">
        <f t="shared" si="16"/>
        <v>52.522573143889019</v>
      </c>
      <c r="K43" s="1">
        <f t="shared" si="17"/>
        <v>3311</v>
      </c>
      <c r="L43" s="1" t="str">
        <f t="shared" si="18"/>
        <v>20 ± 10,505</v>
      </c>
    </row>
    <row r="44" spans="1:12" x14ac:dyDescent="0.25">
      <c r="A44" s="16">
        <f t="shared" si="9"/>
        <v>42</v>
      </c>
      <c r="D44" s="2">
        <f t="shared" si="10"/>
        <v>0</v>
      </c>
      <c r="E44" s="2">
        <f t="shared" si="11"/>
        <v>0</v>
      </c>
      <c r="F44" s="2">
        <f t="shared" si="12"/>
        <v>0</v>
      </c>
      <c r="G44" s="2" t="e">
        <f t="shared" si="13"/>
        <v>#DIV/0!</v>
      </c>
      <c r="H44" s="2">
        <f t="shared" si="14"/>
        <v>0</v>
      </c>
      <c r="I44" s="2">
        <f t="shared" si="15"/>
        <v>0</v>
      </c>
      <c r="J44" s="2" t="e">
        <f t="shared" si="16"/>
        <v>#DIV/0!</v>
      </c>
      <c r="K44" s="1" t="e">
        <f t="shared" si="17"/>
        <v>#DIV/0!</v>
      </c>
      <c r="L44" s="1" t="str">
        <f t="shared" si="18"/>
        <v xml:space="preserve"> ± 0</v>
      </c>
    </row>
    <row r="45" spans="1:12" x14ac:dyDescent="0.25">
      <c r="A45" s="16">
        <f t="shared" si="9"/>
        <v>43</v>
      </c>
      <c r="D45" s="6">
        <f t="shared" si="10"/>
        <v>0</v>
      </c>
      <c r="E45" s="6">
        <f t="shared" si="11"/>
        <v>0</v>
      </c>
      <c r="F45" s="6">
        <f t="shared" si="12"/>
        <v>0</v>
      </c>
      <c r="G45" s="6" t="e">
        <f t="shared" si="13"/>
        <v>#DIV/0!</v>
      </c>
      <c r="H45" s="6">
        <f t="shared" si="14"/>
        <v>0</v>
      </c>
      <c r="I45" s="6">
        <f t="shared" si="15"/>
        <v>0</v>
      </c>
      <c r="J45" s="6" t="e">
        <f t="shared" si="16"/>
        <v>#DIV/0!</v>
      </c>
      <c r="K45" s="5" t="e">
        <f t="shared" si="17"/>
        <v>#DIV/0!</v>
      </c>
      <c r="L45" s="5" t="str">
        <f t="shared" si="18"/>
        <v xml:space="preserve"> ± 0</v>
      </c>
    </row>
    <row r="46" spans="1:12" x14ac:dyDescent="0.25">
      <c r="A46" s="16">
        <f t="shared" si="9"/>
        <v>44</v>
      </c>
      <c r="D46" s="2">
        <f t="shared" si="10"/>
        <v>0</v>
      </c>
      <c r="E46" s="2">
        <f t="shared" si="11"/>
        <v>0</v>
      </c>
      <c r="F46" s="2">
        <f t="shared" si="12"/>
        <v>0</v>
      </c>
      <c r="G46" s="2" t="e">
        <f t="shared" si="13"/>
        <v>#DIV/0!</v>
      </c>
      <c r="H46" s="2">
        <f t="shared" si="14"/>
        <v>0</v>
      </c>
      <c r="I46" s="2">
        <f t="shared" si="15"/>
        <v>0</v>
      </c>
      <c r="J46" s="2" t="e">
        <f t="shared" si="16"/>
        <v>#DIV/0!</v>
      </c>
      <c r="K46" s="1" t="e">
        <f t="shared" si="17"/>
        <v>#DIV/0!</v>
      </c>
      <c r="L46" s="1" t="str">
        <f t="shared" si="18"/>
        <v xml:space="preserve"> ± 0</v>
      </c>
    </row>
    <row r="47" spans="1:12" x14ac:dyDescent="0.25">
      <c r="A47" s="16">
        <f t="shared" si="9"/>
        <v>45</v>
      </c>
      <c r="D47" s="2">
        <f t="shared" si="10"/>
        <v>0</v>
      </c>
      <c r="E47" s="2">
        <f t="shared" si="11"/>
        <v>0</v>
      </c>
      <c r="F47" s="2">
        <f t="shared" si="12"/>
        <v>0</v>
      </c>
      <c r="G47" s="2" t="e">
        <f t="shared" si="13"/>
        <v>#DIV/0!</v>
      </c>
      <c r="H47" s="2">
        <f t="shared" si="14"/>
        <v>0</v>
      </c>
      <c r="I47" s="2">
        <f t="shared" si="15"/>
        <v>0</v>
      </c>
      <c r="J47" s="2" t="e">
        <f t="shared" si="16"/>
        <v>#DIV/0!</v>
      </c>
      <c r="K47" s="1" t="e">
        <f t="shared" si="17"/>
        <v>#DIV/0!</v>
      </c>
      <c r="L47" s="1" t="str">
        <f t="shared" si="18"/>
        <v xml:space="preserve"> ± 0</v>
      </c>
    </row>
    <row r="48" spans="1:12" x14ac:dyDescent="0.25">
      <c r="A48" s="17">
        <f t="shared" si="9"/>
        <v>46</v>
      </c>
      <c r="B48" s="2">
        <v>24</v>
      </c>
      <c r="C48" s="2">
        <v>47520</v>
      </c>
      <c r="D48" s="2">
        <f t="shared" si="10"/>
        <v>40.479880059792329</v>
      </c>
      <c r="E48" s="2">
        <f t="shared" si="11"/>
        <v>145.43964017937699</v>
      </c>
      <c r="F48" s="2">
        <f t="shared" si="12"/>
        <v>-97.439640179376994</v>
      </c>
      <c r="G48" s="2">
        <f t="shared" si="13"/>
        <v>168.66616691580137</v>
      </c>
      <c r="H48" s="2">
        <f t="shared" si="14"/>
        <v>7.3905811446172773</v>
      </c>
      <c r="I48" s="2">
        <f t="shared" si="15"/>
        <v>14.781162289234555</v>
      </c>
      <c r="J48" s="2">
        <f t="shared" si="16"/>
        <v>61.588176205143974</v>
      </c>
      <c r="K48" s="1">
        <f t="shared" si="17"/>
        <v>4552</v>
      </c>
      <c r="L48" s="1" t="str">
        <f t="shared" si="18"/>
        <v>24 ± 14,782</v>
      </c>
    </row>
    <row r="49" spans="1:12" x14ac:dyDescent="0.25">
      <c r="A49" s="16">
        <f t="shared" si="9"/>
        <v>47</v>
      </c>
      <c r="D49" s="2">
        <f t="shared" si="10"/>
        <v>0</v>
      </c>
      <c r="E49" s="2">
        <f t="shared" si="11"/>
        <v>0</v>
      </c>
      <c r="F49" s="2">
        <f t="shared" si="12"/>
        <v>0</v>
      </c>
      <c r="G49" s="2" t="e">
        <f t="shared" si="13"/>
        <v>#DIV/0!</v>
      </c>
      <c r="H49" s="2">
        <f t="shared" si="14"/>
        <v>0</v>
      </c>
      <c r="I49" s="2">
        <f t="shared" si="15"/>
        <v>0</v>
      </c>
      <c r="J49" s="2" t="e">
        <f t="shared" si="16"/>
        <v>#DIV/0!</v>
      </c>
      <c r="K49" s="1" t="e">
        <f t="shared" si="17"/>
        <v>#DIV/0!</v>
      </c>
      <c r="L49" s="1" t="str">
        <f t="shared" si="18"/>
        <v xml:space="preserve"> ± 0</v>
      </c>
    </row>
    <row r="50" spans="1:12" x14ac:dyDescent="0.25">
      <c r="A50" s="3">
        <f t="shared" si="9"/>
        <v>48</v>
      </c>
      <c r="D50" s="2">
        <f t="shared" si="10"/>
        <v>0</v>
      </c>
      <c r="E50" s="2">
        <f t="shared" si="11"/>
        <v>0</v>
      </c>
      <c r="F50" s="2">
        <f t="shared" si="12"/>
        <v>0</v>
      </c>
      <c r="G50" s="2" t="e">
        <f t="shared" si="13"/>
        <v>#DIV/0!</v>
      </c>
      <c r="H50" s="2">
        <f t="shared" si="14"/>
        <v>0</v>
      </c>
      <c r="I50" s="2">
        <f t="shared" si="15"/>
        <v>0</v>
      </c>
      <c r="J50" s="2" t="e">
        <f t="shared" si="16"/>
        <v>#DIV/0!</v>
      </c>
      <c r="K50" s="1" t="e">
        <f t="shared" si="17"/>
        <v>#DIV/0!</v>
      </c>
      <c r="L50" s="1" t="str">
        <f t="shared" si="18"/>
        <v xml:space="preserve"> ± 0</v>
      </c>
    </row>
    <row r="51" spans="1:12" x14ac:dyDescent="0.25">
      <c r="A51" s="3">
        <f t="shared" si="9"/>
        <v>49</v>
      </c>
      <c r="D51" s="6">
        <f t="shared" si="10"/>
        <v>0</v>
      </c>
      <c r="E51" s="6">
        <f t="shared" si="11"/>
        <v>0</v>
      </c>
      <c r="F51" s="6">
        <f t="shared" si="12"/>
        <v>0</v>
      </c>
      <c r="G51" s="6" t="e">
        <f t="shared" si="13"/>
        <v>#DIV/0!</v>
      </c>
      <c r="H51" s="6">
        <f t="shared" si="14"/>
        <v>0</v>
      </c>
      <c r="I51" s="6">
        <f t="shared" si="15"/>
        <v>0</v>
      </c>
      <c r="J51" s="6" t="e">
        <f t="shared" si="16"/>
        <v>#DIV/0!</v>
      </c>
      <c r="K51" s="5" t="e">
        <f t="shared" si="17"/>
        <v>#DIV/0!</v>
      </c>
      <c r="L51" s="5" t="str">
        <f t="shared" si="18"/>
        <v xml:space="preserve"> ± 0</v>
      </c>
    </row>
    <row r="52" spans="1:12" x14ac:dyDescent="0.25">
      <c r="A52" s="3">
        <f t="shared" si="9"/>
        <v>50</v>
      </c>
      <c r="D52" s="2">
        <f t="shared" si="10"/>
        <v>0</v>
      </c>
      <c r="E52" s="2">
        <f t="shared" si="11"/>
        <v>0</v>
      </c>
      <c r="F52" s="2">
        <f t="shared" si="12"/>
        <v>0</v>
      </c>
      <c r="G52" s="2" t="e">
        <f t="shared" si="13"/>
        <v>#DIV/0!</v>
      </c>
      <c r="H52" s="2">
        <f t="shared" si="14"/>
        <v>0</v>
      </c>
      <c r="I52" s="2">
        <f t="shared" si="15"/>
        <v>0</v>
      </c>
      <c r="J52" s="2" t="e">
        <f t="shared" si="16"/>
        <v>#DIV/0!</v>
      </c>
      <c r="K52" s="1" t="e">
        <f t="shared" si="17"/>
        <v>#DIV/0!</v>
      </c>
      <c r="L52" s="1" t="str">
        <f t="shared" si="18"/>
        <v xml:space="preserve"> ± 0</v>
      </c>
    </row>
    <row r="53" spans="1:12" x14ac:dyDescent="0.25">
      <c r="A53" s="17">
        <f t="shared" si="9"/>
        <v>51</v>
      </c>
      <c r="B53" s="2">
        <v>40</v>
      </c>
      <c r="C53" s="2">
        <v>74400</v>
      </c>
      <c r="D53" s="2">
        <f t="shared" si="10"/>
        <v>50.650935246837349</v>
      </c>
      <c r="E53" s="2">
        <f t="shared" si="11"/>
        <v>191.95280574051205</v>
      </c>
      <c r="F53" s="2">
        <f t="shared" si="12"/>
        <v>-111.95280574051205</v>
      </c>
      <c r="G53" s="2">
        <f t="shared" si="13"/>
        <v>126.62733811709337</v>
      </c>
      <c r="H53" s="2">
        <f t="shared" si="14"/>
        <v>9.2475532644754388</v>
      </c>
      <c r="I53" s="2">
        <f t="shared" si="15"/>
        <v>18.495106528950878</v>
      </c>
      <c r="J53" s="2">
        <f t="shared" si="16"/>
        <v>46.237766322377198</v>
      </c>
      <c r="K53" s="1">
        <f t="shared" si="17"/>
        <v>2566</v>
      </c>
      <c r="L53" s="1" t="str">
        <f t="shared" si="18"/>
        <v>40 ± 18,496</v>
      </c>
    </row>
    <row r="54" spans="1:12" x14ac:dyDescent="0.25">
      <c r="A54" s="17">
        <f t="shared" si="9"/>
        <v>52</v>
      </c>
      <c r="B54" s="2">
        <v>68</v>
      </c>
      <c r="C54" s="2">
        <v>98880</v>
      </c>
      <c r="D54" s="2">
        <f t="shared" si="10"/>
        <v>58.392252674595397</v>
      </c>
      <c r="E54" s="2">
        <f t="shared" si="11"/>
        <v>243.17675802378619</v>
      </c>
      <c r="F54" s="2">
        <f t="shared" si="12"/>
        <v>-107.17675802378619</v>
      </c>
      <c r="G54" s="2">
        <f t="shared" si="13"/>
        <v>85.870959815581472</v>
      </c>
      <c r="H54" s="2">
        <f t="shared" si="14"/>
        <v>10.660917991139089</v>
      </c>
      <c r="I54" s="2">
        <f t="shared" si="15"/>
        <v>21.321835982278177</v>
      </c>
      <c r="J54" s="2">
        <f t="shared" si="16"/>
        <v>31.355641150409085</v>
      </c>
      <c r="K54" s="1">
        <f t="shared" si="17"/>
        <v>1180</v>
      </c>
      <c r="L54" s="1" t="str">
        <f t="shared" si="18"/>
        <v>68 ± 21,322</v>
      </c>
    </row>
    <row r="55" spans="1:12" x14ac:dyDescent="0.25">
      <c r="A55" s="3">
        <f t="shared" si="9"/>
        <v>53</v>
      </c>
      <c r="D55" s="2">
        <f t="shared" si="10"/>
        <v>0</v>
      </c>
      <c r="E55" s="2">
        <f t="shared" si="11"/>
        <v>0</v>
      </c>
      <c r="F55" s="2">
        <f t="shared" si="12"/>
        <v>0</v>
      </c>
      <c r="G55" s="2" t="e">
        <f t="shared" si="13"/>
        <v>#DIV/0!</v>
      </c>
      <c r="H55" s="2">
        <f t="shared" si="14"/>
        <v>0</v>
      </c>
      <c r="I55" s="2">
        <f t="shared" si="15"/>
        <v>0</v>
      </c>
      <c r="J55" s="2" t="e">
        <f t="shared" si="16"/>
        <v>#DIV/0!</v>
      </c>
      <c r="K55" s="1" t="e">
        <f t="shared" si="17"/>
        <v>#DIV/0!</v>
      </c>
      <c r="L55" s="1" t="str">
        <f t="shared" si="18"/>
        <v xml:space="preserve"> ± 0</v>
      </c>
    </row>
    <row r="56" spans="1:12" x14ac:dyDescent="0.25">
      <c r="A56" s="3">
        <f t="shared" si="9"/>
        <v>54</v>
      </c>
      <c r="D56" s="2">
        <f t="shared" si="10"/>
        <v>0</v>
      </c>
      <c r="E56" s="2">
        <f t="shared" si="11"/>
        <v>0</v>
      </c>
      <c r="F56" s="2">
        <f t="shared" si="12"/>
        <v>0</v>
      </c>
      <c r="G56" s="2" t="e">
        <f t="shared" si="13"/>
        <v>#DIV/0!</v>
      </c>
      <c r="H56" s="2">
        <f t="shared" si="14"/>
        <v>0</v>
      </c>
      <c r="I56" s="2">
        <f t="shared" si="15"/>
        <v>0</v>
      </c>
      <c r="J56" s="2" t="e">
        <f t="shared" si="16"/>
        <v>#DIV/0!</v>
      </c>
      <c r="K56" s="1" t="e">
        <f t="shared" si="17"/>
        <v>#DIV/0!</v>
      </c>
      <c r="L56" s="1" t="str">
        <f t="shared" si="18"/>
        <v xml:space="preserve"> ± 0</v>
      </c>
    </row>
    <row r="57" spans="1:12" x14ac:dyDescent="0.25">
      <c r="A57" s="3">
        <f t="shared" si="9"/>
        <v>55</v>
      </c>
      <c r="D57" s="6">
        <f t="shared" si="10"/>
        <v>0</v>
      </c>
      <c r="E57" s="6">
        <f t="shared" si="11"/>
        <v>0</v>
      </c>
      <c r="F57" s="6">
        <f t="shared" si="12"/>
        <v>0</v>
      </c>
      <c r="G57" s="6" t="e">
        <f t="shared" si="13"/>
        <v>#DIV/0!</v>
      </c>
      <c r="H57" s="6">
        <f t="shared" si="14"/>
        <v>0</v>
      </c>
      <c r="I57" s="6">
        <f t="shared" si="15"/>
        <v>0</v>
      </c>
      <c r="J57" s="6" t="e">
        <f t="shared" si="16"/>
        <v>#DIV/0!</v>
      </c>
      <c r="K57" s="5" t="e">
        <f t="shared" si="17"/>
        <v>#DIV/0!</v>
      </c>
      <c r="L57" s="5" t="str">
        <f t="shared" si="18"/>
        <v xml:space="preserve"> ± 0</v>
      </c>
    </row>
    <row r="58" spans="1:12" x14ac:dyDescent="0.25">
      <c r="A58" s="17">
        <f t="shared" si="9"/>
        <v>56</v>
      </c>
      <c r="B58" s="2">
        <v>46</v>
      </c>
      <c r="C58" s="2">
        <v>105720</v>
      </c>
      <c r="D58" s="2">
        <f t="shared" si="10"/>
        <v>60.378118895667079</v>
      </c>
      <c r="E58" s="2">
        <f t="shared" si="11"/>
        <v>227.13435668700123</v>
      </c>
      <c r="F58" s="2">
        <f t="shared" si="12"/>
        <v>-135.13435668700123</v>
      </c>
      <c r="G58" s="2">
        <f t="shared" si="13"/>
        <v>131.2567802079719</v>
      </c>
      <c r="H58" s="2">
        <f t="shared" si="14"/>
        <v>11.023485899628589</v>
      </c>
      <c r="I58" s="2">
        <f t="shared" si="15"/>
        <v>22.046971799257179</v>
      </c>
      <c r="J58" s="2">
        <f t="shared" si="16"/>
        <v>47.928199563602561</v>
      </c>
      <c r="K58" s="1">
        <f t="shared" si="17"/>
        <v>2757</v>
      </c>
      <c r="L58" s="1" t="str">
        <f t="shared" si="18"/>
        <v>46 ± 22,047</v>
      </c>
    </row>
    <row r="59" spans="1:12" x14ac:dyDescent="0.25">
      <c r="A59" s="17">
        <f t="shared" si="9"/>
        <v>57</v>
      </c>
      <c r="B59" s="2">
        <v>62</v>
      </c>
      <c r="C59" s="2">
        <v>161880</v>
      </c>
      <c r="D59" s="2">
        <f t="shared" si="10"/>
        <v>74.713244913584376</v>
      </c>
      <c r="E59" s="2">
        <f t="shared" si="11"/>
        <v>286.13973474075311</v>
      </c>
      <c r="F59" s="2">
        <f t="shared" si="12"/>
        <v>-162.13973474075311</v>
      </c>
      <c r="G59" s="2">
        <f t="shared" si="13"/>
        <v>120.50523373158771</v>
      </c>
      <c r="H59" s="2">
        <f t="shared" si="14"/>
        <v>13.640709861192759</v>
      </c>
      <c r="I59" s="2">
        <f t="shared" si="15"/>
        <v>27.281419722385518</v>
      </c>
      <c r="J59" s="2">
        <f t="shared" si="16"/>
        <v>44.002289874815354</v>
      </c>
      <c r="K59" s="1">
        <f t="shared" si="17"/>
        <v>2324</v>
      </c>
      <c r="L59" s="1" t="str">
        <f t="shared" si="18"/>
        <v>62 ± 27,282</v>
      </c>
    </row>
    <row r="60" spans="1:12" x14ac:dyDescent="0.25">
      <c r="A60" s="3">
        <f t="shared" si="9"/>
        <v>58</v>
      </c>
      <c r="D60" s="2">
        <f t="shared" si="10"/>
        <v>0</v>
      </c>
      <c r="E60" s="2">
        <f t="shared" si="11"/>
        <v>0</v>
      </c>
      <c r="F60" s="2">
        <f t="shared" si="12"/>
        <v>0</v>
      </c>
      <c r="G60" s="2" t="e">
        <f t="shared" si="13"/>
        <v>#DIV/0!</v>
      </c>
      <c r="H60" s="2">
        <f t="shared" si="14"/>
        <v>0</v>
      </c>
      <c r="I60" s="2">
        <f t="shared" si="15"/>
        <v>0</v>
      </c>
      <c r="J60" s="2" t="e">
        <f t="shared" si="16"/>
        <v>#DIV/0!</v>
      </c>
      <c r="K60" s="1" t="e">
        <f t="shared" si="17"/>
        <v>#DIV/0!</v>
      </c>
      <c r="L60" s="1" t="str">
        <f t="shared" si="18"/>
        <v xml:space="preserve"> ± 0</v>
      </c>
    </row>
    <row r="61" spans="1:12" x14ac:dyDescent="0.25">
      <c r="A61" s="3">
        <f t="shared" si="9"/>
        <v>59</v>
      </c>
      <c r="D61" s="2">
        <f t="shared" si="10"/>
        <v>0</v>
      </c>
      <c r="E61" s="2">
        <f t="shared" si="11"/>
        <v>0</v>
      </c>
      <c r="F61" s="2">
        <f t="shared" si="12"/>
        <v>0</v>
      </c>
      <c r="G61" s="2" t="e">
        <f t="shared" si="13"/>
        <v>#DIV/0!</v>
      </c>
      <c r="H61" s="2">
        <f t="shared" si="14"/>
        <v>0</v>
      </c>
      <c r="I61" s="2">
        <f t="shared" si="15"/>
        <v>0</v>
      </c>
      <c r="J61" s="2" t="e">
        <f t="shared" si="16"/>
        <v>#DIV/0!</v>
      </c>
      <c r="K61" s="1" t="e">
        <f t="shared" si="17"/>
        <v>#DIV/0!</v>
      </c>
      <c r="L61" s="1" t="str">
        <f t="shared" si="18"/>
        <v xml:space="preserve"> ± 0</v>
      </c>
    </row>
    <row r="62" spans="1:12" x14ac:dyDescent="0.25">
      <c r="A62" s="3">
        <f t="shared" si="9"/>
        <v>60</v>
      </c>
      <c r="D62" s="2">
        <f t="shared" si="10"/>
        <v>0</v>
      </c>
      <c r="E62" s="2">
        <f t="shared" si="11"/>
        <v>0</v>
      </c>
      <c r="F62" s="2">
        <f t="shared" si="12"/>
        <v>0</v>
      </c>
      <c r="G62" s="2" t="e">
        <f t="shared" si="13"/>
        <v>#DIV/0!</v>
      </c>
      <c r="H62" s="2">
        <f t="shared" si="14"/>
        <v>0</v>
      </c>
      <c r="I62" s="2">
        <f t="shared" si="15"/>
        <v>0</v>
      </c>
      <c r="J62" s="2" t="e">
        <f t="shared" si="16"/>
        <v>#DIV/0!</v>
      </c>
      <c r="K62" s="1" t="e">
        <f t="shared" si="17"/>
        <v>#DIV/0!</v>
      </c>
      <c r="L62" s="1" t="str">
        <f t="shared" si="18"/>
        <v xml:space="preserve"> ± 0</v>
      </c>
    </row>
    <row r="63" spans="1:12" x14ac:dyDescent="0.25">
      <c r="A63" s="18">
        <f t="shared" si="9"/>
        <v>61</v>
      </c>
      <c r="B63" s="2">
        <v>22</v>
      </c>
      <c r="C63" s="2">
        <v>46680</v>
      </c>
      <c r="D63" s="6">
        <f>POWER(C63/($O$5-1),0.5)</f>
        <v>40.120508127562303</v>
      </c>
      <c r="E63" s="6">
        <f t="shared" si="11"/>
        <v>142.36152438268692</v>
      </c>
      <c r="F63" s="6">
        <f t="shared" si="12"/>
        <v>-98.361524382686909</v>
      </c>
      <c r="G63" s="6">
        <f t="shared" si="13"/>
        <v>182.3659460343741</v>
      </c>
      <c r="H63" s="6">
        <f t="shared" si="14"/>
        <v>7.3249691066784095</v>
      </c>
      <c r="I63" s="6">
        <f t="shared" si="15"/>
        <v>14.649938213356819</v>
      </c>
      <c r="J63" s="6">
        <f t="shared" si="16"/>
        <v>66.590628242530997</v>
      </c>
      <c r="K63" s="5">
        <f t="shared" si="17"/>
        <v>5322</v>
      </c>
      <c r="L63" s="5" t="str">
        <f t="shared" si="18"/>
        <v>22 ± 14,65</v>
      </c>
    </row>
    <row r="64" spans="1:12" x14ac:dyDescent="0.25">
      <c r="A64" s="16">
        <f t="shared" si="9"/>
        <v>62</v>
      </c>
      <c r="D64" s="2">
        <f>POWER(C64/($O$5-1),0.5)</f>
        <v>0</v>
      </c>
      <c r="E64" s="2">
        <f t="shared" si="11"/>
        <v>0</v>
      </c>
      <c r="F64" s="2">
        <f t="shared" si="12"/>
        <v>0</v>
      </c>
      <c r="G64" s="2" t="e">
        <f t="shared" si="13"/>
        <v>#DIV/0!</v>
      </c>
      <c r="H64" s="2">
        <f t="shared" si="14"/>
        <v>0</v>
      </c>
      <c r="I64" s="2">
        <f t="shared" si="15"/>
        <v>0</v>
      </c>
      <c r="J64" s="2" t="e">
        <f t="shared" si="16"/>
        <v>#DIV/0!</v>
      </c>
      <c r="K64" s="1" t="e">
        <f t="shared" si="17"/>
        <v>#DIV/0!</v>
      </c>
      <c r="L64" s="1" t="str">
        <f t="shared" si="18"/>
        <v xml:space="preserve"> ± 0</v>
      </c>
    </row>
    <row r="65" spans="1:12" x14ac:dyDescent="0.25">
      <c r="A65" s="16">
        <f t="shared" si="9"/>
        <v>63</v>
      </c>
      <c r="D65" s="2">
        <f t="shared" si="10"/>
        <v>0</v>
      </c>
      <c r="E65" s="2">
        <f t="shared" si="11"/>
        <v>0</v>
      </c>
      <c r="F65" s="2">
        <f t="shared" si="12"/>
        <v>0</v>
      </c>
      <c r="G65" s="2" t="e">
        <f t="shared" si="13"/>
        <v>#DIV/0!</v>
      </c>
      <c r="H65" s="2">
        <f t="shared" si="14"/>
        <v>0</v>
      </c>
      <c r="I65" s="2">
        <f t="shared" si="15"/>
        <v>0</v>
      </c>
      <c r="J65" s="2" t="e">
        <f t="shared" si="16"/>
        <v>#DIV/0!</v>
      </c>
      <c r="K65" s="1" t="e">
        <f t="shared" si="17"/>
        <v>#DIV/0!</v>
      </c>
      <c r="L65" s="1" t="str">
        <f t="shared" si="18"/>
        <v xml:space="preserve"> ± 0</v>
      </c>
    </row>
    <row r="66" spans="1:12" x14ac:dyDescent="0.25">
      <c r="A66" s="16">
        <f t="shared" si="9"/>
        <v>64</v>
      </c>
      <c r="D66" s="2">
        <f t="shared" si="10"/>
        <v>0</v>
      </c>
      <c r="E66" s="2">
        <f t="shared" si="11"/>
        <v>0</v>
      </c>
      <c r="F66" s="2">
        <f t="shared" si="12"/>
        <v>0</v>
      </c>
      <c r="G66" s="2" t="e">
        <f t="shared" si="13"/>
        <v>#DIV/0!</v>
      </c>
      <c r="H66" s="2">
        <f t="shared" si="14"/>
        <v>0</v>
      </c>
      <c r="I66" s="2">
        <f t="shared" si="15"/>
        <v>0</v>
      </c>
      <c r="J66" s="2" t="e">
        <f t="shared" si="16"/>
        <v>#DIV/0!</v>
      </c>
      <c r="K66" s="1" t="e">
        <f t="shared" si="17"/>
        <v>#DIV/0!</v>
      </c>
      <c r="L66" s="1" t="str">
        <f t="shared" si="18"/>
        <v xml:space="preserve"> ± 0</v>
      </c>
    </row>
    <row r="67" spans="1:12" x14ac:dyDescent="0.25">
      <c r="A67" s="16">
        <f t="shared" si="9"/>
        <v>65</v>
      </c>
      <c r="D67" s="2">
        <f t="shared" si="10"/>
        <v>0</v>
      </c>
      <c r="E67" s="2">
        <f t="shared" si="11"/>
        <v>0</v>
      </c>
      <c r="F67" s="2">
        <f t="shared" si="12"/>
        <v>0</v>
      </c>
      <c r="G67" s="2" t="e">
        <f t="shared" si="13"/>
        <v>#DIV/0!</v>
      </c>
      <c r="H67" s="2">
        <f t="shared" si="14"/>
        <v>0</v>
      </c>
      <c r="I67" s="2">
        <f t="shared" si="15"/>
        <v>0</v>
      </c>
      <c r="J67" s="2" t="e">
        <f t="shared" si="16"/>
        <v>#DIV/0!</v>
      </c>
      <c r="K67" s="1" t="e">
        <f t="shared" si="17"/>
        <v>#DIV/0!</v>
      </c>
      <c r="L67" s="1" t="str">
        <f t="shared" si="18"/>
        <v xml:space="preserve"> ± 0</v>
      </c>
    </row>
    <row r="68" spans="1:12" x14ac:dyDescent="0.25">
      <c r="A68" s="17">
        <f t="shared" si="9"/>
        <v>66</v>
      </c>
      <c r="B68" s="2">
        <v>60</v>
      </c>
      <c r="C68" s="2">
        <v>136800</v>
      </c>
      <c r="D68" s="2">
        <f t="shared" si="10"/>
        <v>68.682176576680689</v>
      </c>
      <c r="E68" s="2">
        <f t="shared" si="11"/>
        <v>266.04652973004204</v>
      </c>
      <c r="F68" s="2">
        <f t="shared" si="12"/>
        <v>-146.04652973004207</v>
      </c>
      <c r="G68" s="2">
        <f t="shared" si="13"/>
        <v>114.47029429446782</v>
      </c>
      <c r="H68" s="2">
        <f t="shared" si="14"/>
        <v>12.539592469866987</v>
      </c>
      <c r="I68" s="2">
        <f t="shared" si="15"/>
        <v>25.079184939733974</v>
      </c>
      <c r="J68" s="2">
        <f t="shared" si="16"/>
        <v>41.798641566223289</v>
      </c>
      <c r="K68" s="1">
        <f t="shared" si="17"/>
        <v>2097</v>
      </c>
      <c r="L68" s="1" t="str">
        <f t="shared" si="18"/>
        <v>60 ± 25,08</v>
      </c>
    </row>
    <row r="69" spans="1:12" x14ac:dyDescent="0.25">
      <c r="A69" s="16">
        <f t="shared" ref="A69:A78" si="19">A68+1</f>
        <v>67</v>
      </c>
      <c r="D69" s="6">
        <f t="shared" si="10"/>
        <v>0</v>
      </c>
      <c r="E69" s="6">
        <f t="shared" si="11"/>
        <v>0</v>
      </c>
      <c r="F69" s="6">
        <f t="shared" si="12"/>
        <v>0</v>
      </c>
      <c r="G69" s="6" t="e">
        <f t="shared" si="13"/>
        <v>#DIV/0!</v>
      </c>
      <c r="H69" s="6">
        <f t="shared" si="14"/>
        <v>0</v>
      </c>
      <c r="I69" s="6">
        <f t="shared" si="15"/>
        <v>0</v>
      </c>
      <c r="J69" s="6" t="e">
        <f t="shared" si="16"/>
        <v>#DIV/0!</v>
      </c>
      <c r="K69" s="5" t="e">
        <f t="shared" si="17"/>
        <v>#DIV/0!</v>
      </c>
      <c r="L69" s="5" t="str">
        <f t="shared" si="18"/>
        <v xml:space="preserve"> ± 0</v>
      </c>
    </row>
    <row r="70" spans="1:12" x14ac:dyDescent="0.25">
      <c r="A70" s="16">
        <f t="shared" si="19"/>
        <v>68</v>
      </c>
      <c r="D70" s="2">
        <f t="shared" si="10"/>
        <v>0</v>
      </c>
      <c r="E70" s="2">
        <f t="shared" si="11"/>
        <v>0</v>
      </c>
      <c r="F70" s="2">
        <f t="shared" si="12"/>
        <v>0</v>
      </c>
      <c r="G70" s="2" t="e">
        <f t="shared" si="13"/>
        <v>#DIV/0!</v>
      </c>
      <c r="H70" s="2">
        <f t="shared" si="14"/>
        <v>0</v>
      </c>
      <c r="I70" s="2">
        <f t="shared" si="15"/>
        <v>0</v>
      </c>
      <c r="J70" s="2" t="e">
        <f t="shared" si="16"/>
        <v>#DIV/0!</v>
      </c>
      <c r="K70" s="1" t="e">
        <f t="shared" si="17"/>
        <v>#DIV/0!</v>
      </c>
      <c r="L70" s="1" t="str">
        <f t="shared" si="18"/>
        <v xml:space="preserve"> ± 0</v>
      </c>
    </row>
    <row r="71" spans="1:12" x14ac:dyDescent="0.25">
      <c r="A71" s="16">
        <f t="shared" si="19"/>
        <v>69</v>
      </c>
      <c r="D71" s="2">
        <f t="shared" si="10"/>
        <v>0</v>
      </c>
      <c r="E71" s="2">
        <f t="shared" si="11"/>
        <v>0</v>
      </c>
      <c r="F71" s="2">
        <f t="shared" si="12"/>
        <v>0</v>
      </c>
      <c r="G71" s="2" t="e">
        <f t="shared" si="13"/>
        <v>#DIV/0!</v>
      </c>
      <c r="H71" s="2">
        <f t="shared" si="14"/>
        <v>0</v>
      </c>
      <c r="I71" s="2">
        <f t="shared" si="15"/>
        <v>0</v>
      </c>
      <c r="J71" s="2" t="e">
        <f t="shared" si="16"/>
        <v>#DIV/0!</v>
      </c>
      <c r="K71" s="1" t="e">
        <f t="shared" si="17"/>
        <v>#DIV/0!</v>
      </c>
      <c r="L71" s="1" t="str">
        <f t="shared" si="18"/>
        <v xml:space="preserve"> ± 0</v>
      </c>
    </row>
    <row r="72" spans="1:12" x14ac:dyDescent="0.25">
      <c r="A72" s="16">
        <f t="shared" si="19"/>
        <v>70</v>
      </c>
      <c r="D72" s="2">
        <f t="shared" si="10"/>
        <v>0</v>
      </c>
      <c r="E72" s="2">
        <f t="shared" si="11"/>
        <v>0</v>
      </c>
      <c r="F72" s="2">
        <f t="shared" si="12"/>
        <v>0</v>
      </c>
      <c r="G72" s="2" t="e">
        <f t="shared" si="13"/>
        <v>#DIV/0!</v>
      </c>
      <c r="H72" s="2">
        <f t="shared" si="14"/>
        <v>0</v>
      </c>
      <c r="I72" s="2">
        <f t="shared" si="15"/>
        <v>0</v>
      </c>
      <c r="J72" s="2" t="e">
        <f t="shared" si="16"/>
        <v>#DIV/0!</v>
      </c>
      <c r="K72" s="1" t="e">
        <f t="shared" si="17"/>
        <v>#DIV/0!</v>
      </c>
      <c r="L72" s="1" t="str">
        <f t="shared" si="18"/>
        <v xml:space="preserve"> ± 0</v>
      </c>
    </row>
    <row r="73" spans="1:12" x14ac:dyDescent="0.25">
      <c r="A73" s="17">
        <f t="shared" si="19"/>
        <v>71</v>
      </c>
      <c r="B73" s="2">
        <v>46</v>
      </c>
      <c r="C73" s="2">
        <v>112920</v>
      </c>
      <c r="D73" s="2">
        <f t="shared" ref="D73:D78" si="20">POWER(C73/($O$5-1),0.5)</f>
        <v>62.400265251425623</v>
      </c>
      <c r="E73" s="2">
        <f t="shared" ref="E73:E78" si="21">B73+3*D73</f>
        <v>233.20079575427687</v>
      </c>
      <c r="F73" s="2">
        <f t="shared" ref="F73:F78" si="22">B73-3*D73</f>
        <v>-141.20079575427687</v>
      </c>
      <c r="G73" s="2">
        <f t="shared" ref="G73:G78" si="23">D73/B73*100</f>
        <v>135.65275054657744</v>
      </c>
      <c r="H73" s="2">
        <f t="shared" ref="H73:H78" si="24">D73/POWER($O$5, 0.5)</f>
        <v>11.392677624170529</v>
      </c>
      <c r="I73" s="2">
        <f t="shared" ref="I73:I78" si="25">H73*$P$5</f>
        <v>22.785355248341059</v>
      </c>
      <c r="J73" s="2">
        <f t="shared" ref="J73:J78" si="26">I73/B73*100</f>
        <v>49.533380974654477</v>
      </c>
      <c r="K73" s="1">
        <f t="shared" ref="K73:K78" si="27">ROUNDUP(POWER(G73*$P$5/$Q$5,2),0)</f>
        <v>2945</v>
      </c>
      <c r="L73" s="1" t="str">
        <f t="shared" ref="L73:L78" si="28" xml:space="preserve"> B73 &amp; " ± " &amp; (ROUNDUP(I73, 3))</f>
        <v>46 ± 22,786</v>
      </c>
    </row>
    <row r="74" spans="1:12" x14ac:dyDescent="0.25">
      <c r="A74" s="16">
        <f t="shared" si="19"/>
        <v>72</v>
      </c>
      <c r="D74" s="2">
        <f t="shared" si="20"/>
        <v>0</v>
      </c>
      <c r="E74" s="2">
        <f t="shared" si="21"/>
        <v>0</v>
      </c>
      <c r="F74" s="2">
        <f t="shared" si="22"/>
        <v>0</v>
      </c>
      <c r="G74" s="2" t="e">
        <f t="shared" si="23"/>
        <v>#DIV/0!</v>
      </c>
      <c r="H74" s="2">
        <f t="shared" si="24"/>
        <v>0</v>
      </c>
      <c r="I74" s="2">
        <f t="shared" si="25"/>
        <v>0</v>
      </c>
      <c r="J74" s="2" t="e">
        <f t="shared" si="26"/>
        <v>#DIV/0!</v>
      </c>
      <c r="K74" s="1" t="e">
        <f t="shared" si="27"/>
        <v>#DIV/0!</v>
      </c>
      <c r="L74" s="1" t="str">
        <f t="shared" si="28"/>
        <v xml:space="preserve"> ± 0</v>
      </c>
    </row>
    <row r="75" spans="1:12" x14ac:dyDescent="0.25">
      <c r="A75" s="16">
        <f t="shared" si="19"/>
        <v>73</v>
      </c>
      <c r="D75" s="6">
        <f t="shared" si="20"/>
        <v>0</v>
      </c>
      <c r="E75" s="6">
        <f t="shared" si="21"/>
        <v>0</v>
      </c>
      <c r="F75" s="6">
        <f t="shared" si="22"/>
        <v>0</v>
      </c>
      <c r="G75" s="6" t="e">
        <f t="shared" si="23"/>
        <v>#DIV/0!</v>
      </c>
      <c r="H75" s="6">
        <f t="shared" si="24"/>
        <v>0</v>
      </c>
      <c r="I75" s="6">
        <f t="shared" si="25"/>
        <v>0</v>
      </c>
      <c r="J75" s="6" t="e">
        <f t="shared" si="26"/>
        <v>#DIV/0!</v>
      </c>
      <c r="K75" s="5" t="e">
        <f t="shared" si="27"/>
        <v>#DIV/0!</v>
      </c>
      <c r="L75" s="5" t="str">
        <f t="shared" si="28"/>
        <v xml:space="preserve"> ± 0</v>
      </c>
    </row>
    <row r="76" spans="1:12" x14ac:dyDescent="0.25">
      <c r="A76" s="16">
        <f t="shared" si="19"/>
        <v>74</v>
      </c>
      <c r="D76" s="2">
        <f t="shared" si="20"/>
        <v>0</v>
      </c>
      <c r="E76" s="2">
        <f t="shared" si="21"/>
        <v>0</v>
      </c>
      <c r="F76" s="2">
        <f t="shared" si="22"/>
        <v>0</v>
      </c>
      <c r="G76" s="2" t="e">
        <f t="shared" si="23"/>
        <v>#DIV/0!</v>
      </c>
      <c r="H76" s="2">
        <f t="shared" si="24"/>
        <v>0</v>
      </c>
      <c r="I76" s="2">
        <f t="shared" si="25"/>
        <v>0</v>
      </c>
      <c r="J76" s="2" t="e">
        <f t="shared" si="26"/>
        <v>#DIV/0!</v>
      </c>
      <c r="K76" s="1" t="e">
        <f t="shared" si="27"/>
        <v>#DIV/0!</v>
      </c>
      <c r="L76" s="1" t="str">
        <f t="shared" si="28"/>
        <v xml:space="preserve"> ± 0</v>
      </c>
    </row>
    <row r="77" spans="1:12" x14ac:dyDescent="0.25">
      <c r="A77" s="16">
        <f t="shared" si="19"/>
        <v>75</v>
      </c>
      <c r="D77" s="2">
        <f t="shared" si="20"/>
        <v>0</v>
      </c>
      <c r="E77" s="2">
        <f t="shared" si="21"/>
        <v>0</v>
      </c>
      <c r="F77" s="2">
        <f t="shared" si="22"/>
        <v>0</v>
      </c>
      <c r="G77" s="2" t="e">
        <f t="shared" si="23"/>
        <v>#DIV/0!</v>
      </c>
      <c r="H77" s="2">
        <f t="shared" si="24"/>
        <v>0</v>
      </c>
      <c r="I77" s="2">
        <f t="shared" si="25"/>
        <v>0</v>
      </c>
      <c r="J77" s="2" t="e">
        <f t="shared" si="26"/>
        <v>#DIV/0!</v>
      </c>
      <c r="K77" s="1" t="e">
        <f t="shared" si="27"/>
        <v>#DIV/0!</v>
      </c>
      <c r="L77" s="1" t="str">
        <f t="shared" si="28"/>
        <v xml:space="preserve"> ± 0</v>
      </c>
    </row>
    <row r="78" spans="1:12" x14ac:dyDescent="0.25">
      <c r="A78" s="17">
        <f t="shared" si="19"/>
        <v>76</v>
      </c>
      <c r="B78" s="2">
        <v>46</v>
      </c>
      <c r="C78" s="2">
        <v>112920</v>
      </c>
      <c r="D78" s="2">
        <f t="shared" si="20"/>
        <v>62.400265251425623</v>
      </c>
      <c r="E78" s="2">
        <f t="shared" si="21"/>
        <v>233.20079575427687</v>
      </c>
      <c r="F78" s="2">
        <f t="shared" si="22"/>
        <v>-141.20079575427687</v>
      </c>
      <c r="G78" s="2">
        <f t="shared" si="23"/>
        <v>135.65275054657744</v>
      </c>
      <c r="H78" s="2">
        <f t="shared" si="24"/>
        <v>11.392677624170529</v>
      </c>
      <c r="I78" s="2">
        <f t="shared" si="25"/>
        <v>22.785355248341059</v>
      </c>
      <c r="J78" s="2">
        <f t="shared" si="26"/>
        <v>49.533380974654477</v>
      </c>
      <c r="K78" s="1">
        <f t="shared" si="27"/>
        <v>2945</v>
      </c>
      <c r="L78" s="1" t="str">
        <f t="shared" si="28"/>
        <v>46 ± 22,786</v>
      </c>
    </row>
    <row r="79" spans="1:12" x14ac:dyDescent="0.25">
      <c r="A79" s="16"/>
      <c r="D79" s="2">
        <f t="shared" ref="D79" si="29">POWER(C79/($O$5-1),0.5)</f>
        <v>0</v>
      </c>
      <c r="E79" s="2">
        <f t="shared" ref="E79" si="30">B79+3*D79</f>
        <v>0</v>
      </c>
      <c r="F79" s="2">
        <f t="shared" ref="F79" si="31">B79-3*D79</f>
        <v>0</v>
      </c>
      <c r="G79" s="2" t="e">
        <f t="shared" ref="G79" si="32">D79/B79*100</f>
        <v>#DIV/0!</v>
      </c>
      <c r="H79" s="2">
        <f t="shared" ref="H79" si="33">D79/POWER($O$5, 0.5)</f>
        <v>0</v>
      </c>
      <c r="I79" s="2">
        <f t="shared" ref="I79" si="34">H79*$P$5</f>
        <v>0</v>
      </c>
      <c r="J79" s="2" t="e">
        <f t="shared" ref="J79" si="35">I79/B79*100</f>
        <v>#DIV/0!</v>
      </c>
      <c r="K79" s="1" t="e">
        <f t="shared" ref="K79" si="36">ROUNDUP(POWER(G79*$P$5/$Q$5,2),0)</f>
        <v>#DIV/0!</v>
      </c>
      <c r="L79" s="1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">
        <f t="shared" ref="D80:D87" si="38">POWER(C80/($O$5-1),0.5)</f>
        <v>0</v>
      </c>
      <c r="E80" s="2">
        <f t="shared" ref="E80:E87" si="39">B80+3*D80</f>
        <v>0</v>
      </c>
      <c r="F80" s="2">
        <f t="shared" ref="F80:F87" si="40">B80-3*D80</f>
        <v>0</v>
      </c>
      <c r="G80" s="2" t="e">
        <f t="shared" ref="G80:G87" si="41">D80/B80*100</f>
        <v>#DIV/0!</v>
      </c>
      <c r="H80" s="2">
        <f t="shared" ref="H80:H87" si="42">D80/POWER($O$5, 0.5)</f>
        <v>0</v>
      </c>
      <c r="I80" s="2">
        <f t="shared" ref="I80:I87" si="43">H80*$P$5</f>
        <v>0</v>
      </c>
      <c r="J80" s="2" t="e">
        <f t="shared" ref="J80:J87" si="44">I80/B80*100</f>
        <v>#DIV/0!</v>
      </c>
      <c r="K80" s="1" t="e">
        <f t="shared" ref="K80:K87" si="45">ROUNDUP(POWER(G80*$P$5/$Q$5,2),0)</f>
        <v>#DIV/0!</v>
      </c>
      <c r="L80" s="1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">
        <v>2</v>
      </c>
      <c r="C81" s="2">
        <v>3480</v>
      </c>
      <c r="D81" s="2">
        <f t="shared" si="38"/>
        <v>10.954451150103322</v>
      </c>
      <c r="E81" s="2">
        <f t="shared" si="39"/>
        <v>34.863353450309965</v>
      </c>
      <c r="F81" s="2">
        <f t="shared" si="40"/>
        <v>-30.863353450309965</v>
      </c>
      <c r="G81" s="2">
        <f t="shared" si="41"/>
        <v>547.72255750516615</v>
      </c>
      <c r="H81" s="2">
        <f t="shared" si="42"/>
        <v>2</v>
      </c>
      <c r="I81" s="2">
        <f t="shared" si="43"/>
        <v>4</v>
      </c>
      <c r="J81" s="2">
        <f t="shared" si="44"/>
        <v>200</v>
      </c>
      <c r="K81" s="1">
        <f t="shared" si="45"/>
        <v>48000</v>
      </c>
      <c r="L81" s="1" t="str">
        <f t="shared" si="46"/>
        <v>2 ± 4</v>
      </c>
    </row>
    <row r="82" spans="1:12" x14ac:dyDescent="0.25">
      <c r="A82" s="17" t="s">
        <v>62</v>
      </c>
      <c r="B82" s="2">
        <v>0</v>
      </c>
      <c r="C82" s="2">
        <v>0</v>
      </c>
      <c r="D82" s="2">
        <f t="shared" si="38"/>
        <v>0</v>
      </c>
      <c r="E82" s="2">
        <f t="shared" si="39"/>
        <v>0</v>
      </c>
      <c r="F82" s="2">
        <f t="shared" si="40"/>
        <v>0</v>
      </c>
      <c r="G82" s="2" t="e">
        <f t="shared" si="41"/>
        <v>#DIV/0!</v>
      </c>
      <c r="H82" s="2">
        <f t="shared" si="42"/>
        <v>0</v>
      </c>
      <c r="I82" s="2">
        <f t="shared" si="43"/>
        <v>0</v>
      </c>
      <c r="J82" s="2" t="e">
        <f t="shared" si="44"/>
        <v>#DIV/0!</v>
      </c>
      <c r="K82" s="1" t="e">
        <f t="shared" si="45"/>
        <v>#DIV/0!</v>
      </c>
      <c r="L82" s="1" t="str">
        <f t="shared" si="46"/>
        <v>0 ± 0</v>
      </c>
    </row>
    <row r="83" spans="1:12" x14ac:dyDescent="0.25">
      <c r="A83" s="17" t="s">
        <v>63</v>
      </c>
      <c r="B83" s="2">
        <v>384</v>
      </c>
      <c r="C83" s="2">
        <v>4201920</v>
      </c>
      <c r="D83" s="2">
        <f t="shared" si="38"/>
        <v>380.64917325990382</v>
      </c>
      <c r="E83" s="2">
        <f t="shared" si="39"/>
        <v>1525.9475197797115</v>
      </c>
      <c r="F83" s="2">
        <f t="shared" si="40"/>
        <v>-757.94751977971146</v>
      </c>
      <c r="G83" s="2">
        <f t="shared" si="41"/>
        <v>99.127388869766619</v>
      </c>
      <c r="H83" s="2">
        <f t="shared" si="42"/>
        <v>69.496712896713873</v>
      </c>
      <c r="I83" s="2">
        <f t="shared" si="43"/>
        <v>138.99342579342775</v>
      </c>
      <c r="J83" s="2">
        <f t="shared" si="44"/>
        <v>36.196204633705143</v>
      </c>
      <c r="K83" s="1">
        <f t="shared" si="45"/>
        <v>1573</v>
      </c>
      <c r="L83" s="1" t="str">
        <f t="shared" si="46"/>
        <v>384 ± 138,994</v>
      </c>
    </row>
    <row r="84" spans="1:12" x14ac:dyDescent="0.25">
      <c r="A84" s="17" t="s">
        <v>64</v>
      </c>
      <c r="B84" s="2">
        <v>384</v>
      </c>
      <c r="C84" s="2">
        <v>4194720</v>
      </c>
      <c r="D84" s="2">
        <f t="shared" si="38"/>
        <v>380.32291180177316</v>
      </c>
      <c r="E84" s="2">
        <f t="shared" si="39"/>
        <v>1524.9687354053194</v>
      </c>
      <c r="F84" s="2">
        <f t="shared" si="40"/>
        <v>-756.96873540531942</v>
      </c>
      <c r="G84" s="2">
        <f t="shared" si="41"/>
        <v>99.042424948378425</v>
      </c>
      <c r="H84" s="2">
        <f t="shared" si="42"/>
        <v>69.437145976626311</v>
      </c>
      <c r="I84" s="2">
        <f t="shared" si="43"/>
        <v>138.87429195325262</v>
      </c>
      <c r="J84" s="2">
        <f t="shared" si="44"/>
        <v>36.165180196159532</v>
      </c>
      <c r="K84" s="1">
        <f t="shared" si="45"/>
        <v>1570</v>
      </c>
      <c r="L84" s="1" t="str">
        <f t="shared" si="46"/>
        <v>384 ± 138,875</v>
      </c>
    </row>
    <row r="85" spans="1:12" x14ac:dyDescent="0.25">
      <c r="A85" s="17" t="s">
        <v>65</v>
      </c>
      <c r="B85" s="2">
        <v>104</v>
      </c>
      <c r="C85" s="2">
        <v>445920</v>
      </c>
      <c r="D85" s="2">
        <f t="shared" si="38"/>
        <v>124.00222467414821</v>
      </c>
      <c r="E85" s="2">
        <f t="shared" si="39"/>
        <v>476.0066740224446</v>
      </c>
      <c r="F85" s="2">
        <f t="shared" si="40"/>
        <v>-268.0066740224446</v>
      </c>
      <c r="G85" s="2">
        <f t="shared" si="41"/>
        <v>119.23290834052713</v>
      </c>
      <c r="H85" s="2">
        <f t="shared" si="42"/>
        <v>22.639605211618225</v>
      </c>
      <c r="I85" s="2">
        <f t="shared" si="43"/>
        <v>45.279210423236449</v>
      </c>
      <c r="J85" s="2">
        <f t="shared" si="44"/>
        <v>43.537702330035053</v>
      </c>
      <c r="K85" s="1">
        <f t="shared" si="45"/>
        <v>2275</v>
      </c>
      <c r="L85" s="1" t="str">
        <f t="shared" si="46"/>
        <v>104 ± 45,28</v>
      </c>
    </row>
    <row r="86" spans="1:12" x14ac:dyDescent="0.25">
      <c r="A86" s="17" t="s">
        <v>66</v>
      </c>
      <c r="B86" s="2">
        <v>94</v>
      </c>
      <c r="C86" s="2">
        <v>307320</v>
      </c>
      <c r="D86" s="2">
        <f t="shared" si="38"/>
        <v>102.94290349174315</v>
      </c>
      <c r="E86" s="2">
        <f t="shared" si="39"/>
        <v>402.82871047522946</v>
      </c>
      <c r="F86" s="2">
        <f t="shared" si="40"/>
        <v>-214.82871047522946</v>
      </c>
      <c r="G86" s="2">
        <f t="shared" si="41"/>
        <v>109.51372711887571</v>
      </c>
      <c r="H86" s="2">
        <f t="shared" si="42"/>
        <v>18.794716792501685</v>
      </c>
      <c r="I86" s="2">
        <f t="shared" si="43"/>
        <v>37.58943358500337</v>
      </c>
      <c r="J86" s="2">
        <f t="shared" si="44"/>
        <v>39.98875913298231</v>
      </c>
      <c r="K86" s="1">
        <f t="shared" si="45"/>
        <v>1919</v>
      </c>
      <c r="L86" s="1" t="str">
        <f t="shared" si="46"/>
        <v>94 ± 37,59</v>
      </c>
    </row>
    <row r="87" spans="1:12" x14ac:dyDescent="0.25">
      <c r="A87" s="17" t="s">
        <v>67</v>
      </c>
      <c r="B87" s="2">
        <v>460</v>
      </c>
      <c r="C87" s="2">
        <v>4041600</v>
      </c>
      <c r="D87" s="2">
        <f t="shared" si="38"/>
        <v>373.31691261096023</v>
      </c>
      <c r="E87" s="2">
        <f t="shared" si="39"/>
        <v>1579.9507378328808</v>
      </c>
      <c r="F87" s="2">
        <f t="shared" si="40"/>
        <v>-659.9507378328808</v>
      </c>
      <c r="G87" s="2">
        <f t="shared" si="41"/>
        <v>81.155850567600055</v>
      </c>
      <c r="H87" s="2">
        <f t="shared" si="42"/>
        <v>68.158031378402583</v>
      </c>
      <c r="I87" s="2">
        <f t="shared" si="43"/>
        <v>136.31606275680517</v>
      </c>
      <c r="J87" s="2">
        <f t="shared" si="44"/>
        <v>29.63392668626199</v>
      </c>
      <c r="K87" s="1">
        <f t="shared" si="45"/>
        <v>1054</v>
      </c>
      <c r="L87" s="1" t="str">
        <f t="shared" si="46"/>
        <v>460 ± 136,317</v>
      </c>
    </row>
    <row r="88" spans="1:12" x14ac:dyDescent="0.25">
      <c r="A88" s="17" t="s">
        <v>68</v>
      </c>
      <c r="B88" s="2">
        <v>916</v>
      </c>
      <c r="C88" s="2">
        <v>14017920</v>
      </c>
      <c r="D88" s="2">
        <f t="shared" ref="D88" si="47">POWER(C88/($O$5-1),0.5)</f>
        <v>695.25286890752056</v>
      </c>
      <c r="E88" s="2">
        <f t="shared" ref="E88" si="48">B88+3*D88</f>
        <v>3001.7586067225616</v>
      </c>
      <c r="F88" s="2">
        <f t="shared" ref="F88" si="49">B88-3*D88</f>
        <v>-1169.7586067225616</v>
      </c>
      <c r="G88" s="2">
        <f t="shared" ref="G88" si="50">D88/B88*100</f>
        <v>75.900968221345039</v>
      </c>
      <c r="H88" s="2">
        <f t="shared" ref="H88" si="51">D88/POWER($O$5, 0.5)</f>
        <v>126.93522649027705</v>
      </c>
      <c r="I88" s="2">
        <f t="shared" ref="I88" si="52">H88*$P$5</f>
        <v>253.87045298055409</v>
      </c>
      <c r="J88" s="2">
        <f t="shared" ref="J88" si="53">I88/B88*100</f>
        <v>27.715114954208964</v>
      </c>
      <c r="K88" s="1">
        <f t="shared" ref="K88" si="54">ROUNDUP(POWER(G88*$P$5/$Q$5,2),0)</f>
        <v>922</v>
      </c>
      <c r="L88" s="1" t="str">
        <f t="shared" ref="L88" si="55" xml:space="preserve"> B88 &amp; " ± " &amp; (ROUNDUP(I88, 3))</f>
        <v>916 ± 253,871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9DEF-A0CA-4BFE-A016-D2CABAA88C10}">
  <dimension ref="A1:V88"/>
  <sheetViews>
    <sheetView topLeftCell="A33" workbookViewId="0">
      <selection activeCell="N85" sqref="N85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9</v>
      </c>
      <c r="H1" s="25" t="s">
        <v>52</v>
      </c>
      <c r="I1" s="25" t="s">
        <v>53</v>
      </c>
      <c r="J1" s="25" t="s">
        <v>43</v>
      </c>
      <c r="K1" s="26" t="s">
        <v>5</v>
      </c>
      <c r="L1" s="26" t="s">
        <v>54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0</v>
      </c>
      <c r="C3" s="21">
        <v>0</v>
      </c>
      <c r="D3" s="21">
        <f>POWER(C3/($O$5-1),0.5)</f>
        <v>0</v>
      </c>
      <c r="E3" s="21">
        <f>B3+3*D3</f>
        <v>0</v>
      </c>
      <c r="F3" s="21">
        <f>B3-3*D3</f>
        <v>0</v>
      </c>
      <c r="G3" s="21" t="e">
        <f>D3/B3*100</f>
        <v>#DIV/0!</v>
      </c>
      <c r="H3" s="21">
        <f>D3/POWER($O$5, 0.5)</f>
        <v>0</v>
      </c>
      <c r="I3" s="21">
        <f>H3*$P$5</f>
        <v>0</v>
      </c>
      <c r="J3" s="21" t="e">
        <f>I3/B3*100</f>
        <v>#DIV/0!</v>
      </c>
      <c r="K3" s="30" t="e">
        <f>ROUNDUP(POWER(G3*$P$5/$Q$5,2),0)</f>
        <v>#DIV/0!</v>
      </c>
      <c r="L3" s="30" t="str">
        <f xml:space="preserve"> B3 &amp; " ± " &amp; (ROUNDUP(I3, 3))</f>
        <v>0 ± 0</v>
      </c>
    </row>
    <row r="4" spans="1:17" x14ac:dyDescent="0.25">
      <c r="A4" s="16">
        <f>A3+1</f>
        <v>2</v>
      </c>
      <c r="D4" s="22">
        <f t="shared" ref="D4:D8" si="0">POWER(C4/($O$5-1),0.5)</f>
        <v>0</v>
      </c>
      <c r="E4" s="22">
        <f t="shared" ref="E4:E8" si="1">B4+3*D4</f>
        <v>0</v>
      </c>
      <c r="F4" s="22">
        <f t="shared" ref="F4:F8" si="2">B4-3*D4</f>
        <v>0</v>
      </c>
      <c r="G4" s="22" t="e">
        <f t="shared" ref="G4:G8" si="3">D4/B4*100</f>
        <v>#DIV/0!</v>
      </c>
      <c r="H4" s="22">
        <f t="shared" ref="H4:H8" si="4">D4/POWER($O$5, 0.5)</f>
        <v>0</v>
      </c>
      <c r="I4" s="22">
        <f t="shared" ref="I4:I8" si="5">H4*$P$5</f>
        <v>0</v>
      </c>
      <c r="J4" s="22" t="e">
        <f t="shared" ref="J4:J8" si="6">I4/B4*100</f>
        <v>#DIV/0!</v>
      </c>
      <c r="K4" s="23" t="e">
        <f t="shared" ref="K4:K8" si="7">ROUNDUP(POWER(G4*$P$5/$Q$5,2),0)</f>
        <v>#DIV/0!</v>
      </c>
      <c r="L4" s="23" t="str">
        <f t="shared" ref="L4:L8" si="8" xml:space="preserve"> B4 &amp; " ± " &amp; (ROUNDUP(I4, 3))</f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9.7499999999999998E-7</v>
      </c>
      <c r="C8" s="22">
        <v>0</v>
      </c>
      <c r="D8" s="22">
        <f t="shared" si="0"/>
        <v>0</v>
      </c>
      <c r="E8" s="22">
        <f t="shared" si="1"/>
        <v>9.7499999999999998E-7</v>
      </c>
      <c r="F8" s="22">
        <f t="shared" si="2"/>
        <v>9.7499999999999998E-7</v>
      </c>
      <c r="G8" s="22">
        <f t="shared" si="3"/>
        <v>0</v>
      </c>
      <c r="H8" s="22">
        <f t="shared" si="4"/>
        <v>0</v>
      </c>
      <c r="I8" s="22">
        <f t="shared" si="5"/>
        <v>0</v>
      </c>
      <c r="J8" s="22">
        <f t="shared" si="6"/>
        <v>0</v>
      </c>
      <c r="K8" s="23">
        <f t="shared" si="7"/>
        <v>0</v>
      </c>
      <c r="L8" s="23" t="str">
        <f t="shared" si="8"/>
        <v>0,000000975 ± 0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0</v>
      </c>
      <c r="C13" s="22">
        <v>0</v>
      </c>
      <c r="D13" s="22">
        <f t="shared" si="10"/>
        <v>0</v>
      </c>
      <c r="E13" s="22">
        <f t="shared" si="11"/>
        <v>0</v>
      </c>
      <c r="F13" s="22">
        <f t="shared" si="12"/>
        <v>0</v>
      </c>
      <c r="G13" s="22" t="e">
        <f t="shared" si="13"/>
        <v>#DIV/0!</v>
      </c>
      <c r="H13" s="22">
        <f t="shared" si="14"/>
        <v>0</v>
      </c>
      <c r="I13" s="22">
        <f t="shared" si="15"/>
        <v>0</v>
      </c>
      <c r="J13" s="22" t="e">
        <f t="shared" si="16"/>
        <v>#DIV/0!</v>
      </c>
      <c r="K13" s="23" t="e">
        <f t="shared" si="17"/>
        <v>#DIV/0!</v>
      </c>
      <c r="L13" s="23" t="str">
        <f t="shared" si="18"/>
        <v>0 ± 0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2.8265000000000001E-4</v>
      </c>
      <c r="C18" s="22">
        <v>2.48E-6</v>
      </c>
      <c r="D18" s="22">
        <f t="shared" si="10"/>
        <v>2.9243331099467845E-4</v>
      </c>
      <c r="E18" s="22">
        <f t="shared" si="11"/>
        <v>1.1599499329840353E-3</v>
      </c>
      <c r="F18" s="22">
        <f t="shared" si="12"/>
        <v>-5.9464993298403534E-4</v>
      </c>
      <c r="G18" s="22">
        <f t="shared" si="13"/>
        <v>103.46128108780415</v>
      </c>
      <c r="H18" s="22">
        <f t="shared" si="14"/>
        <v>5.3390773665902964E-5</v>
      </c>
      <c r="I18" s="22">
        <f t="shared" si="15"/>
        <v>1.0678154733180593E-4</v>
      </c>
      <c r="J18" s="22">
        <f t="shared" si="16"/>
        <v>37.77871832011531</v>
      </c>
      <c r="K18" s="23">
        <f t="shared" si="17"/>
        <v>1713</v>
      </c>
      <c r="L18" s="23" t="str">
        <f t="shared" si="18"/>
        <v>0,00028265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8.7719999999999994E-5</v>
      </c>
      <c r="C23" s="22">
        <v>7.0999999999999998E-7</v>
      </c>
      <c r="D23" s="22">
        <f t="shared" si="10"/>
        <v>1.5646967316604727E-4</v>
      </c>
      <c r="E23" s="22">
        <f t="shared" si="11"/>
        <v>5.5712901949814177E-4</v>
      </c>
      <c r="F23" s="22">
        <f t="shared" si="12"/>
        <v>-3.8168901949814181E-4</v>
      </c>
      <c r="G23" s="22">
        <f t="shared" si="13"/>
        <v>178.37400041729057</v>
      </c>
      <c r="H23" s="22">
        <f t="shared" si="14"/>
        <v>2.856732318616829E-5</v>
      </c>
      <c r="I23" s="22">
        <f t="shared" si="15"/>
        <v>5.7134646372336581E-5</v>
      </c>
      <c r="J23" s="22">
        <f t="shared" si="16"/>
        <v>65.132975800657306</v>
      </c>
      <c r="K23" s="23">
        <f t="shared" si="17"/>
        <v>5091</v>
      </c>
      <c r="L23" s="23" t="str">
        <f t="shared" si="18"/>
        <v>0,00008772 ± 0,001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9.0642999999999995E-4</v>
      </c>
      <c r="C28" s="22">
        <v>2.7929999999999999E-5</v>
      </c>
      <c r="D28" s="22">
        <f t="shared" si="10"/>
        <v>9.8137834104684721E-4</v>
      </c>
      <c r="E28" s="22">
        <f t="shared" si="11"/>
        <v>3.8505650231405418E-3</v>
      </c>
      <c r="F28" s="22">
        <f t="shared" si="12"/>
        <v>-2.0377050231405415E-3</v>
      </c>
      <c r="G28" s="22">
        <f t="shared" si="13"/>
        <v>108.26851947164671</v>
      </c>
      <c r="H28" s="22">
        <f t="shared" si="14"/>
        <v>1.7917435161278543E-4</v>
      </c>
      <c r="I28" s="22">
        <f t="shared" si="15"/>
        <v>3.5834870322557085E-4</v>
      </c>
      <c r="J28" s="22">
        <f t="shared" si="16"/>
        <v>39.534073588205473</v>
      </c>
      <c r="K28" s="23">
        <f t="shared" si="17"/>
        <v>1876</v>
      </c>
      <c r="L28" s="23" t="str">
        <f t="shared" si="18"/>
        <v>0,00090643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1.5595E-4</v>
      </c>
      <c r="C33" s="22">
        <v>1.66E-6</v>
      </c>
      <c r="D33" s="22">
        <f t="shared" si="10"/>
        <v>2.3925170701657455E-4</v>
      </c>
      <c r="E33" s="22">
        <f t="shared" si="11"/>
        <v>8.7370512104972364E-4</v>
      </c>
      <c r="F33" s="22">
        <f t="shared" si="12"/>
        <v>-5.618051210497237E-4</v>
      </c>
      <c r="G33" s="22">
        <f t="shared" si="13"/>
        <v>153.41565053964382</v>
      </c>
      <c r="H33" s="22">
        <f t="shared" si="14"/>
        <v>4.3681185618198299E-5</v>
      </c>
      <c r="I33" s="22">
        <f t="shared" si="15"/>
        <v>8.7362371236396599E-5</v>
      </c>
      <c r="J33" s="22">
        <f t="shared" si="16"/>
        <v>56.019474983261688</v>
      </c>
      <c r="K33" s="23">
        <f t="shared" si="17"/>
        <v>3766</v>
      </c>
      <c r="L33" s="23" t="str">
        <f t="shared" si="18"/>
        <v>0,00015595 ± 0,001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1.6568999999999999E-4</v>
      </c>
      <c r="C38" s="22">
        <v>1.48E-6</v>
      </c>
      <c r="D38" s="22">
        <f t="shared" si="10"/>
        <v>2.2590812902288551E-4</v>
      </c>
      <c r="E38" s="22">
        <f t="shared" si="11"/>
        <v>8.4341438706865654E-4</v>
      </c>
      <c r="F38" s="22">
        <f t="shared" si="12"/>
        <v>-5.120343870686565E-4</v>
      </c>
      <c r="G38" s="22">
        <f t="shared" si="13"/>
        <v>136.34385238872926</v>
      </c>
      <c r="H38" s="22">
        <f t="shared" si="14"/>
        <v>4.1244992729873966E-5</v>
      </c>
      <c r="I38" s="22">
        <f t="shared" si="15"/>
        <v>8.2489985459747932E-5</v>
      </c>
      <c r="J38" s="22">
        <f t="shared" si="16"/>
        <v>49.785735686974434</v>
      </c>
      <c r="K38" s="23">
        <f t="shared" si="17"/>
        <v>2975</v>
      </c>
      <c r="L38" s="23" t="str">
        <f t="shared" si="18"/>
        <v>0,00016569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4.8730000000000003E-5</v>
      </c>
      <c r="C43" s="22">
        <v>3.5999999999999999E-7</v>
      </c>
      <c r="D43" s="22">
        <f t="shared" si="10"/>
        <v>1.1141720290623112E-4</v>
      </c>
      <c r="E43" s="22">
        <f t="shared" si="11"/>
        <v>3.829816087186933E-4</v>
      </c>
      <c r="F43" s="22">
        <f t="shared" si="12"/>
        <v>-2.8552160871869335E-4</v>
      </c>
      <c r="G43" s="22">
        <f t="shared" si="13"/>
        <v>228.64191033497048</v>
      </c>
      <c r="H43" s="22">
        <f t="shared" si="14"/>
        <v>2.0341905108624311E-5</v>
      </c>
      <c r="I43" s="22">
        <f t="shared" si="15"/>
        <v>4.0683810217248622E-5</v>
      </c>
      <c r="J43" s="22">
        <f t="shared" si="16"/>
        <v>83.488221254357924</v>
      </c>
      <c r="K43" s="23">
        <f t="shared" si="17"/>
        <v>8365</v>
      </c>
      <c r="L43" s="23" t="str">
        <f t="shared" si="18"/>
        <v>0,00004873 ± 0,001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2.2416999999999999E-4</v>
      </c>
      <c r="C48" s="22">
        <v>1.8300000000000001E-6</v>
      </c>
      <c r="D48" s="22">
        <f t="shared" si="10"/>
        <v>2.5120399733257051E-4</v>
      </c>
      <c r="E48" s="22">
        <f t="shared" si="11"/>
        <v>9.7778199199771145E-4</v>
      </c>
      <c r="F48" s="22">
        <f t="shared" si="12"/>
        <v>-5.2944199199771158E-4</v>
      </c>
      <c r="G48" s="22">
        <f t="shared" si="13"/>
        <v>112.0595964368874</v>
      </c>
      <c r="H48" s="22">
        <f t="shared" si="14"/>
        <v>4.5863365291505484E-5</v>
      </c>
      <c r="I48" s="22">
        <f t="shared" si="15"/>
        <v>9.1726730583010968E-5</v>
      </c>
      <c r="J48" s="22">
        <f t="shared" si="16"/>
        <v>40.918379168939182</v>
      </c>
      <c r="K48" s="23">
        <f t="shared" si="17"/>
        <v>2010</v>
      </c>
      <c r="L48" s="23" t="str">
        <f t="shared" si="18"/>
        <v>0,00022417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3.0214E-4</v>
      </c>
      <c r="C53" s="22">
        <v>3.1599999999999998E-6</v>
      </c>
      <c r="D53" s="22">
        <f t="shared" si="10"/>
        <v>3.3009925362136055E-4</v>
      </c>
      <c r="E53" s="22">
        <f t="shared" si="11"/>
        <v>1.2924377608640816E-3</v>
      </c>
      <c r="F53" s="22">
        <f t="shared" si="12"/>
        <v>-6.881577608640816E-4</v>
      </c>
      <c r="G53" s="22">
        <f t="shared" si="13"/>
        <v>109.25374118665539</v>
      </c>
      <c r="H53" s="22">
        <f t="shared" si="14"/>
        <v>6.0267602474679355E-5</v>
      </c>
      <c r="I53" s="22">
        <f t="shared" si="15"/>
        <v>1.2053520494935871E-4</v>
      </c>
      <c r="J53" s="22">
        <f t="shared" si="16"/>
        <v>39.893825693174925</v>
      </c>
      <c r="K53" s="23">
        <f t="shared" si="17"/>
        <v>1910</v>
      </c>
      <c r="L53" s="23" t="str">
        <f t="shared" si="18"/>
        <v>0,00030214 ± 0,001</v>
      </c>
    </row>
    <row r="54" spans="1:12" x14ac:dyDescent="0.25">
      <c r="A54" s="17">
        <f t="shared" si="9"/>
        <v>52</v>
      </c>
      <c r="B54" s="22">
        <v>1.2671000000000001E-4</v>
      </c>
      <c r="C54" s="22">
        <v>1.8300000000000001E-6</v>
      </c>
      <c r="D54" s="22">
        <f t="shared" si="10"/>
        <v>2.5120399733257051E-4</v>
      </c>
      <c r="E54" s="22">
        <f t="shared" si="11"/>
        <v>8.8032199199771161E-4</v>
      </c>
      <c r="F54" s="22">
        <f t="shared" si="12"/>
        <v>-6.2690199199771153E-4</v>
      </c>
      <c r="G54" s="22">
        <f t="shared" si="13"/>
        <v>198.25112251011799</v>
      </c>
      <c r="H54" s="22">
        <f t="shared" si="14"/>
        <v>4.5863365291505484E-5</v>
      </c>
      <c r="I54" s="22">
        <f t="shared" si="15"/>
        <v>9.1726730583010968E-5</v>
      </c>
      <c r="J54" s="22">
        <f t="shared" si="16"/>
        <v>72.391074566341217</v>
      </c>
      <c r="K54" s="23">
        <f t="shared" si="17"/>
        <v>6289</v>
      </c>
      <c r="L54" s="23" t="str">
        <f t="shared" si="18"/>
        <v>0,00012671 ± 0,001</v>
      </c>
    </row>
    <row r="55" spans="1:12" x14ac:dyDescent="0.25">
      <c r="A55" s="3">
        <f t="shared" si="9"/>
        <v>53</v>
      </c>
      <c r="D55" s="22">
        <f>POWER(C55/($O$5-1),0.5)</f>
        <v>0</v>
      </c>
      <c r="E55" s="22">
        <f>B55+3*D55</f>
        <v>0</v>
      </c>
      <c r="F55" s="22">
        <f>B55-3*D55</f>
        <v>0</v>
      </c>
      <c r="G55" s="22" t="e">
        <f>D55/B55*100</f>
        <v>#DIV/0!</v>
      </c>
      <c r="H55" s="22">
        <f t="shared" si="14"/>
        <v>0</v>
      </c>
      <c r="I55" s="22">
        <f t="shared" si="15"/>
        <v>0</v>
      </c>
      <c r="J55" s="22" t="e">
        <f>I55/B55*100</f>
        <v>#DIV/0!</v>
      </c>
      <c r="K55" s="23" t="e">
        <f t="shared" si="17"/>
        <v>#DIV/0!</v>
      </c>
      <c r="L55" s="23" t="str">
        <f xml:space="preserve"> B55 &amp; " ± " &amp; (ROUNDUP(I55, 3))</f>
        <v xml:space="preserve"> ± 0</v>
      </c>
    </row>
    <row r="56" spans="1:12" x14ac:dyDescent="0.25">
      <c r="A56" s="3">
        <f t="shared" si="9"/>
        <v>54</v>
      </c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4.0936E-4</v>
      </c>
      <c r="C58" s="22">
        <v>3.8600000000000003E-6</v>
      </c>
      <c r="D58" s="22">
        <f t="shared" si="10"/>
        <v>3.6483345279162939E-4</v>
      </c>
      <c r="E58" s="22">
        <f t="shared" si="11"/>
        <v>1.503860358374888E-3</v>
      </c>
      <c r="F58" s="22">
        <f t="shared" si="12"/>
        <v>-6.8514035837488813E-4</v>
      </c>
      <c r="G58" s="22">
        <f t="shared" si="13"/>
        <v>89.122887627425598</v>
      </c>
      <c r="H58" s="22">
        <f t="shared" si="14"/>
        <v>6.6609170608823847E-5</v>
      </c>
      <c r="I58" s="22">
        <f t="shared" si="15"/>
        <v>1.3321834121764769E-4</v>
      </c>
      <c r="J58" s="22">
        <f t="shared" si="16"/>
        <v>32.543077295692711</v>
      </c>
      <c r="K58" s="23">
        <f t="shared" si="17"/>
        <v>1271</v>
      </c>
      <c r="L58" s="23" t="str">
        <f t="shared" si="18"/>
        <v>0,00040936 ± 0,001</v>
      </c>
    </row>
    <row r="59" spans="1:12" x14ac:dyDescent="0.25">
      <c r="A59" s="17">
        <f t="shared" si="9"/>
        <v>57</v>
      </c>
      <c r="B59" s="22">
        <v>3.7037000000000002E-4</v>
      </c>
      <c r="C59" s="22">
        <v>4.78E-6</v>
      </c>
      <c r="D59" s="22">
        <f t="shared" si="10"/>
        <v>4.0598963805360419E-4</v>
      </c>
      <c r="E59" s="22">
        <f t="shared" si="11"/>
        <v>1.5883389141608127E-3</v>
      </c>
      <c r="F59" s="22">
        <f t="shared" si="12"/>
        <v>-8.4759891416081256E-4</v>
      </c>
      <c r="G59" s="22">
        <f t="shared" si="13"/>
        <v>109.61731189178501</v>
      </c>
      <c r="H59" s="22">
        <f t="shared" si="14"/>
        <v>7.4123227625105595E-5</v>
      </c>
      <c r="I59" s="22">
        <f t="shared" si="15"/>
        <v>1.4824645525021119E-4</v>
      </c>
      <c r="J59" s="22">
        <f t="shared" si="16"/>
        <v>40.026582944139967</v>
      </c>
      <c r="K59" s="23">
        <f t="shared" si="17"/>
        <v>1923</v>
      </c>
      <c r="L59" s="23" t="str">
        <f t="shared" si="18"/>
        <v>0,00037037 ± 0,001</v>
      </c>
    </row>
    <row r="60" spans="1:12" x14ac:dyDescent="0.25">
      <c r="A60" s="3">
        <f t="shared" si="9"/>
        <v>58</v>
      </c>
      <c r="D60" s="22">
        <f>POWER(C60/($O$5-1),0.5)</f>
        <v>0</v>
      </c>
      <c r="E60" s="22">
        <f>B60+3*D60</f>
        <v>0</v>
      </c>
      <c r="F60" s="22">
        <f>B60-3*D60</f>
        <v>0</v>
      </c>
      <c r="G60" s="22" t="e">
        <f>D60/B60*100</f>
        <v>#DIV/0!</v>
      </c>
      <c r="H60" s="22">
        <f t="shared" si="14"/>
        <v>0</v>
      </c>
      <c r="I60" s="22">
        <f t="shared" si="15"/>
        <v>0</v>
      </c>
      <c r="J60" s="22" t="e">
        <f>I60/B60*100</f>
        <v>#DIV/0!</v>
      </c>
      <c r="K60" s="23" t="e">
        <f t="shared" si="17"/>
        <v>#DIV/0!</v>
      </c>
      <c r="L60" s="23" t="str">
        <f xml:space="preserve"> B60 &amp; " ± " &amp; (ROUNDUP(I60, 3))</f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1.1696000000000001E-4</v>
      </c>
      <c r="C63" s="22">
        <v>1.3E-6</v>
      </c>
      <c r="D63" s="22">
        <f t="shared" si="10"/>
        <v>2.1172526114494831E-4</v>
      </c>
      <c r="E63" s="22">
        <f t="shared" si="11"/>
        <v>7.5213578343484501E-4</v>
      </c>
      <c r="F63" s="22">
        <f t="shared" si="12"/>
        <v>-5.1821578343484492E-4</v>
      </c>
      <c r="G63" s="22">
        <f t="shared" si="13"/>
        <v>181.0236500897301</v>
      </c>
      <c r="H63" s="22">
        <f t="shared" si="14"/>
        <v>3.865556717425342E-5</v>
      </c>
      <c r="I63" s="22">
        <f t="shared" si="15"/>
        <v>7.731113434850684E-5</v>
      </c>
      <c r="J63" s="22">
        <f t="shared" si="16"/>
        <v>66.100491064044832</v>
      </c>
      <c r="K63" s="23">
        <f t="shared" si="17"/>
        <v>5244</v>
      </c>
      <c r="L63" s="23" t="str">
        <f t="shared" si="18"/>
        <v>0,00011696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3.7037000000000002E-4</v>
      </c>
      <c r="C68" s="22">
        <v>3.7500000000000001E-6</v>
      </c>
      <c r="D68" s="22">
        <f t="shared" si="10"/>
        <v>3.5959747611403808E-4</v>
      </c>
      <c r="E68" s="22">
        <f t="shared" si="11"/>
        <v>1.4491624283421143E-3</v>
      </c>
      <c r="F68" s="22">
        <f t="shared" si="12"/>
        <v>-7.0842242834211417E-4</v>
      </c>
      <c r="G68" s="22">
        <f t="shared" si="13"/>
        <v>97.091415642205916</v>
      </c>
      <c r="H68" s="22">
        <f t="shared" si="14"/>
        <v>6.5653216429861273E-5</v>
      </c>
      <c r="I68" s="22">
        <f t="shared" si="15"/>
        <v>1.3130643285972255E-4</v>
      </c>
      <c r="J68" s="22">
        <f t="shared" si="16"/>
        <v>35.45277232489741</v>
      </c>
      <c r="K68" s="23">
        <f t="shared" si="17"/>
        <v>1509</v>
      </c>
      <c r="L68" s="23" t="str">
        <f t="shared" si="18"/>
        <v>0,00037037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3.0214E-4</v>
      </c>
      <c r="C73" s="22">
        <v>3.8399999999999997E-6</v>
      </c>
      <c r="D73" s="22">
        <f t="shared" ref="D73:D78" si="20">POWER(C73/($O$5-1),0.5)</f>
        <v>3.6388706091787363E-4</v>
      </c>
      <c r="E73" s="22">
        <f t="shared" ref="E73:E78" si="21">B73+3*D73</f>
        <v>1.3938011827536209E-3</v>
      </c>
      <c r="F73" s="22">
        <f t="shared" ref="F73:F78" si="22">B73-3*D73</f>
        <v>-7.8952118275362089E-4</v>
      </c>
      <c r="G73" s="22">
        <f t="shared" ref="G73:G78" si="23">D73/B73*100</f>
        <v>120.43657275364852</v>
      </c>
      <c r="H73" s="22">
        <f t="shared" ref="H73:H78" si="24">D73/POWER($O$5, 0.5)</f>
        <v>6.6436383882991976E-5</v>
      </c>
      <c r="I73" s="22">
        <f t="shared" ref="I73:I78" si="25">H73*$P$5</f>
        <v>1.3287276776598395E-4</v>
      </c>
      <c r="J73" s="22">
        <f t="shared" ref="J73:J78" si="26">I73/B73*100</f>
        <v>43.977218430523578</v>
      </c>
      <c r="K73" s="23">
        <f t="shared" ref="K73:K78" si="27">ROUNDUP(POWER(G73*$P$5/$Q$5,2),0)</f>
        <v>2321</v>
      </c>
      <c r="L73" s="23" t="str">
        <f t="shared" ref="L73:L78" si="28" xml:space="preserve"> B73 &amp; " ± " &amp; (ROUNDUP(I73, 3))</f>
        <v>0,00030214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3.9961E-4</v>
      </c>
      <c r="C78" s="22">
        <v>5.04E-6</v>
      </c>
      <c r="D78" s="22">
        <f t="shared" si="20"/>
        <v>4.168850002677907E-4</v>
      </c>
      <c r="E78" s="22">
        <f t="shared" si="21"/>
        <v>1.6502650008033723E-3</v>
      </c>
      <c r="F78" s="22">
        <f t="shared" si="22"/>
        <v>-8.5104500080337216E-4</v>
      </c>
      <c r="G78" s="22">
        <f t="shared" si="23"/>
        <v>104.32296495778151</v>
      </c>
      <c r="H78" s="22">
        <f t="shared" si="24"/>
        <v>7.6112439510738722E-5</v>
      </c>
      <c r="I78" s="22">
        <f t="shared" si="25"/>
        <v>1.5222487902147744E-4</v>
      </c>
      <c r="J78" s="22">
        <f t="shared" si="26"/>
        <v>38.093360782131938</v>
      </c>
      <c r="K78" s="23">
        <f t="shared" si="27"/>
        <v>1742</v>
      </c>
      <c r="L78" s="23" t="str">
        <f t="shared" si="28"/>
        <v>0,00039961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9.7499999999999998E-6</v>
      </c>
      <c r="C81" s="22">
        <v>8.0000000000000002E-8</v>
      </c>
      <c r="D81" s="22">
        <f t="shared" si="38"/>
        <v>5.2522573143889021E-5</v>
      </c>
      <c r="E81" s="22">
        <f t="shared" si="39"/>
        <v>1.6731771943166707E-4</v>
      </c>
      <c r="F81" s="22">
        <f t="shared" si="40"/>
        <v>-1.4781771943166708E-4</v>
      </c>
      <c r="G81" s="22">
        <f t="shared" si="41"/>
        <v>538.69305788604129</v>
      </c>
      <c r="H81" s="22">
        <f t="shared" si="42"/>
        <v>9.5892660297076818E-6</v>
      </c>
      <c r="I81" s="22">
        <f t="shared" si="43"/>
        <v>1.9178532059415364E-5</v>
      </c>
      <c r="J81" s="22">
        <f t="shared" si="44"/>
        <v>196.70289291708065</v>
      </c>
      <c r="K81" s="23">
        <f t="shared" si="45"/>
        <v>46431</v>
      </c>
      <c r="L81" s="23" t="str">
        <f t="shared" si="46"/>
        <v>0,00000975 ± 0,001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1.6569200000000001E-3</v>
      </c>
      <c r="C83" s="22">
        <v>9.6840000000000001E-5</v>
      </c>
      <c r="D83" s="22">
        <f t="shared" si="38"/>
        <v>1.8273779972484035E-3</v>
      </c>
      <c r="E83" s="22">
        <f t="shared" si="39"/>
        <v>7.1390539917452105E-3</v>
      </c>
      <c r="F83" s="22">
        <f t="shared" si="40"/>
        <v>-3.8252139917452103E-3</v>
      </c>
      <c r="G83" s="22">
        <f t="shared" si="41"/>
        <v>110.28764196511619</v>
      </c>
      <c r="H83" s="22">
        <f t="shared" si="42"/>
        <v>3.3363205006052131E-4</v>
      </c>
      <c r="I83" s="22">
        <f t="shared" si="43"/>
        <v>6.6726410012104263E-4</v>
      </c>
      <c r="J83" s="22">
        <f t="shared" si="44"/>
        <v>40.271352878898355</v>
      </c>
      <c r="K83" s="23">
        <f t="shared" si="45"/>
        <v>1947</v>
      </c>
      <c r="L83" s="23" t="str">
        <f t="shared" si="46"/>
        <v>0,00165692 ± 0,001</v>
      </c>
    </row>
    <row r="84" spans="1:12" x14ac:dyDescent="0.25">
      <c r="A84" s="17" t="s">
        <v>64</v>
      </c>
      <c r="B84" s="22">
        <v>1.6569200000000001E-3</v>
      </c>
      <c r="C84" s="22">
        <v>7.5980000000000001E-5</v>
      </c>
      <c r="D84" s="22">
        <f t="shared" si="38"/>
        <v>1.6186414056238644E-3</v>
      </c>
      <c r="E84" s="22">
        <f t="shared" si="39"/>
        <v>6.512844216871593E-3</v>
      </c>
      <c r="F84" s="22">
        <f t="shared" si="40"/>
        <v>-3.1990042168715928E-3</v>
      </c>
      <c r="G84" s="22">
        <f t="shared" si="41"/>
        <v>97.689774136582599</v>
      </c>
      <c r="H84" s="22">
        <f t="shared" si="42"/>
        <v>2.9552213679068668E-4</v>
      </c>
      <c r="I84" s="22">
        <f t="shared" si="43"/>
        <v>5.9104427358137336E-4</v>
      </c>
      <c r="J84" s="22">
        <f t="shared" si="44"/>
        <v>35.671261954794033</v>
      </c>
      <c r="K84" s="23">
        <f t="shared" si="45"/>
        <v>1527</v>
      </c>
      <c r="L84" s="23" t="str">
        <f t="shared" si="46"/>
        <v>0,00165692 ± 0,001</v>
      </c>
    </row>
    <row r="85" spans="1:12" x14ac:dyDescent="0.25">
      <c r="A85" s="17" t="s">
        <v>65</v>
      </c>
      <c r="B85" s="22">
        <v>3.9961E-4</v>
      </c>
      <c r="C85" s="22">
        <v>8.4600000000000003E-6</v>
      </c>
      <c r="D85" s="22">
        <f t="shared" si="38"/>
        <v>5.4011493029820464E-4</v>
      </c>
      <c r="E85" s="22">
        <f t="shared" si="39"/>
        <v>2.0199547908946137E-3</v>
      </c>
      <c r="F85" s="22">
        <f t="shared" si="40"/>
        <v>-1.2207347908946139E-3</v>
      </c>
      <c r="G85" s="22">
        <f t="shared" si="41"/>
        <v>135.16051407577504</v>
      </c>
      <c r="H85" s="22">
        <f t="shared" si="42"/>
        <v>9.8611043656552394E-5</v>
      </c>
      <c r="I85" s="22">
        <f t="shared" si="43"/>
        <v>1.9722208731310479E-4</v>
      </c>
      <c r="J85" s="22">
        <f t="shared" si="44"/>
        <v>49.353641628864345</v>
      </c>
      <c r="K85" s="23">
        <f t="shared" si="45"/>
        <v>2923</v>
      </c>
      <c r="L85" s="23" t="str">
        <f t="shared" si="46"/>
        <v>0,00039961 ± 0,001</v>
      </c>
    </row>
    <row r="86" spans="1:12" x14ac:dyDescent="0.25">
      <c r="A86" s="17" t="s">
        <v>66</v>
      </c>
      <c r="B86" s="22">
        <v>6.5302000000000003E-4</v>
      </c>
      <c r="C86" s="22">
        <v>1.345E-5</v>
      </c>
      <c r="D86" s="22">
        <f t="shared" si="38"/>
        <v>6.8102357040580896E-4</v>
      </c>
      <c r="E86" s="22">
        <f t="shared" si="39"/>
        <v>2.6960907112174269E-3</v>
      </c>
      <c r="F86" s="22">
        <f t="shared" si="40"/>
        <v>-1.3900507112174271E-3</v>
      </c>
      <c r="G86" s="22">
        <f t="shared" si="41"/>
        <v>104.28831741842653</v>
      </c>
      <c r="H86" s="22">
        <f t="shared" si="42"/>
        <v>1.2433732390132308E-4</v>
      </c>
      <c r="I86" s="22">
        <f t="shared" si="43"/>
        <v>2.4867464780264616E-4</v>
      </c>
      <c r="J86" s="22">
        <f t="shared" si="44"/>
        <v>38.080709289554093</v>
      </c>
      <c r="K86" s="23">
        <f t="shared" si="45"/>
        <v>1741</v>
      </c>
      <c r="L86" s="23" t="str">
        <f t="shared" si="46"/>
        <v>0,00065302 ± 0,001</v>
      </c>
    </row>
    <row r="87" spans="1:12" x14ac:dyDescent="0.25">
      <c r="A87" s="17" t="s">
        <v>67</v>
      </c>
      <c r="B87" s="22">
        <v>2.7777800000000001E-3</v>
      </c>
      <c r="C87" s="22">
        <v>1.7778999999999999E-4</v>
      </c>
      <c r="D87" s="22">
        <f t="shared" si="38"/>
        <v>2.4760229512612386E-3</v>
      </c>
      <c r="E87" s="22">
        <f t="shared" si="39"/>
        <v>1.0205848853783716E-2</v>
      </c>
      <c r="F87" s="22">
        <f t="shared" si="40"/>
        <v>-4.6502888537837163E-3</v>
      </c>
      <c r="G87" s="22">
        <f t="shared" si="41"/>
        <v>89.136754936000642</v>
      </c>
      <c r="H87" s="22">
        <f t="shared" si="42"/>
        <v>4.5205787443543163E-4</v>
      </c>
      <c r="I87" s="22">
        <f t="shared" si="43"/>
        <v>9.0411574887086326E-4</v>
      </c>
      <c r="J87" s="22">
        <f t="shared" si="44"/>
        <v>32.548140920838343</v>
      </c>
      <c r="K87" s="23">
        <f t="shared" si="45"/>
        <v>1272</v>
      </c>
      <c r="L87" s="23" t="str">
        <f t="shared" si="46"/>
        <v>0,00277778 ± 0,001</v>
      </c>
    </row>
    <row r="88" spans="1:12" x14ac:dyDescent="0.25">
      <c r="A88" s="17" t="s">
        <v>68</v>
      </c>
      <c r="B88" s="22">
        <v>2.5828499999999998E-3</v>
      </c>
      <c r="C88" s="22">
        <v>2.2845999999999999E-4</v>
      </c>
      <c r="D88" s="22">
        <f t="shared" ref="D88" si="47">POWER(C88/($O$5-1),0.5)</f>
        <v>2.8067652261068716E-3</v>
      </c>
      <c r="E88" s="22">
        <f t="shared" ref="E88" si="48">B88+3*D88</f>
        <v>1.1003145678320614E-2</v>
      </c>
      <c r="F88" s="22">
        <f t="shared" ref="F88" si="49">B88-3*D88</f>
        <v>-5.8374456783206151E-3</v>
      </c>
      <c r="G88" s="22">
        <f t="shared" ref="G88" si="50">D88/B88*100</f>
        <v>108.6693081714723</v>
      </c>
      <c r="H88" s="22">
        <f t="shared" ref="H88" si="51">D88/POWER($O$5, 0.5)</f>
        <v>5.1244287598660714E-4</v>
      </c>
      <c r="I88" s="22">
        <f t="shared" ref="I88" si="52">H88*$P$5</f>
        <v>1.0248857519732143E-3</v>
      </c>
      <c r="J88" s="22">
        <f t="shared" ref="J88" si="53">I88/B88*100</f>
        <v>39.680420929330559</v>
      </c>
      <c r="K88" s="23">
        <f t="shared" ref="K88" si="54">ROUNDUP(POWER(G88*$P$5/$Q$5,2),0)</f>
        <v>1890</v>
      </c>
      <c r="L88" s="23" t="str">
        <f t="shared" ref="L88" si="55" xml:space="preserve"> B88 &amp; " ± " &amp; (ROUNDUP(I88, 3))</f>
        <v>0,00258285 ± 0,002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ECA2-6861-4C85-A9F2-D741E0F85F01}">
  <dimension ref="A1:V88"/>
  <sheetViews>
    <sheetView topLeftCell="A75" workbookViewId="0">
      <selection activeCell="N85" sqref="N85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9</v>
      </c>
      <c r="H1" s="25" t="s">
        <v>52</v>
      </c>
      <c r="I1" s="25" t="s">
        <v>53</v>
      </c>
      <c r="J1" s="25" t="s">
        <v>43</v>
      </c>
      <c r="K1" s="26" t="s">
        <v>5</v>
      </c>
      <c r="L1" s="26" t="s">
        <v>54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9.7499999999999998E-6</v>
      </c>
      <c r="C3" s="21">
        <v>8.0000000000000002E-8</v>
      </c>
      <c r="D3" s="21">
        <f t="shared" ref="D3:D8" si="0">POWER(C3/($O$5-1),0.5)</f>
        <v>5.2522573143889021E-5</v>
      </c>
      <c r="E3" s="21">
        <f t="shared" ref="E3:E8" si="1">B3+3*D3</f>
        <v>1.6731771943166707E-4</v>
      </c>
      <c r="F3" s="21">
        <f t="shared" ref="F3:F8" si="2">B3-3*D3</f>
        <v>-1.4781771943166708E-4</v>
      </c>
      <c r="G3" s="21">
        <f t="shared" ref="G3:G8" si="3">D3/B3*100</f>
        <v>538.69305788604129</v>
      </c>
      <c r="H3" s="21">
        <f t="shared" ref="H3:H8" si="4">D3/POWER($O$5, 0.5)</f>
        <v>9.5892660297076818E-6</v>
      </c>
      <c r="I3" s="21">
        <f t="shared" ref="I3:I8" si="5">H3*$P$5</f>
        <v>1.9178532059415364E-5</v>
      </c>
      <c r="J3" s="21">
        <f t="shared" ref="J3:J8" si="6">I3/B3*100</f>
        <v>196.70289291708065</v>
      </c>
      <c r="K3" s="30">
        <f t="shared" ref="K3:K8" si="7">ROUNDUP(POWER(G3*$P$5/$Q$5,2),0)</f>
        <v>46431</v>
      </c>
      <c r="L3" s="30" t="str">
        <f t="shared" ref="L3:L8" si="8" xml:space="preserve"> B3 &amp; " ± " &amp; (ROUNDUP(I3, 3))</f>
        <v>0,00000975 ± 0,001</v>
      </c>
    </row>
    <row r="4" spans="1:17" x14ac:dyDescent="0.25">
      <c r="A4" s="16">
        <f>A3+1</f>
        <v>2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3.8989999999999999E-4</v>
      </c>
      <c r="C8" s="22">
        <v>6.4000000000000001E-7</v>
      </c>
      <c r="D8" s="22">
        <f t="shared" si="0"/>
        <v>1.4855627054164149E-4</v>
      </c>
      <c r="E8" s="22">
        <f t="shared" si="1"/>
        <v>8.3556881162492446E-4</v>
      </c>
      <c r="F8" s="22">
        <f t="shared" si="2"/>
        <v>-5.576881162492448E-5</v>
      </c>
      <c r="G8" s="22">
        <f t="shared" si="3"/>
        <v>38.101120939123234</v>
      </c>
      <c r="H8" s="22">
        <f t="shared" si="4"/>
        <v>2.7122540144832415E-5</v>
      </c>
      <c r="I8" s="22">
        <f t="shared" si="5"/>
        <v>5.4245080289664829E-5</v>
      </c>
      <c r="J8" s="22">
        <f t="shared" si="6"/>
        <v>13.912562269726811</v>
      </c>
      <c r="K8" s="23">
        <f t="shared" si="7"/>
        <v>233</v>
      </c>
      <c r="L8" s="23" t="str">
        <f t="shared" si="8"/>
        <v>0,0003899 ± 0,001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1.9490000000000001E-5</v>
      </c>
      <c r="C13" s="22">
        <v>3.3000000000000002E-7</v>
      </c>
      <c r="D13" s="22">
        <f t="shared" si="10"/>
        <v>1.0667385033281393E-4</v>
      </c>
      <c r="E13" s="22">
        <f t="shared" si="11"/>
        <v>3.3951155099844177E-4</v>
      </c>
      <c r="F13" s="22">
        <f t="shared" si="12"/>
        <v>-3.0053155099844179E-4</v>
      </c>
      <c r="G13" s="22">
        <f t="shared" si="13"/>
        <v>547.3260663561515</v>
      </c>
      <c r="H13" s="22">
        <f t="shared" si="14"/>
        <v>1.9475891374404053E-5</v>
      </c>
      <c r="I13" s="22">
        <f t="shared" si="15"/>
        <v>3.8951782748808106E-5</v>
      </c>
      <c r="J13" s="22">
        <f t="shared" si="16"/>
        <v>199.85522190255568</v>
      </c>
      <c r="K13" s="23">
        <f t="shared" si="17"/>
        <v>47931</v>
      </c>
      <c r="L13" s="23" t="str">
        <f t="shared" si="18"/>
        <v>0,00001949 ± 0,001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1.6569E-3</v>
      </c>
      <c r="C18" s="22">
        <v>1.8300000000000001E-6</v>
      </c>
      <c r="D18" s="22">
        <f t="shared" si="10"/>
        <v>2.5120399733257051E-4</v>
      </c>
      <c r="E18" s="22">
        <f t="shared" si="11"/>
        <v>2.4105119919977116E-3</v>
      </c>
      <c r="F18" s="22">
        <f t="shared" si="12"/>
        <v>9.0328800800228842E-4</v>
      </c>
      <c r="G18" s="22">
        <f t="shared" si="13"/>
        <v>15.161083790969309</v>
      </c>
      <c r="H18" s="22">
        <f t="shared" si="14"/>
        <v>4.5863365291505484E-5</v>
      </c>
      <c r="I18" s="22">
        <f t="shared" si="15"/>
        <v>9.1726730583010968E-5</v>
      </c>
      <c r="J18" s="22">
        <f t="shared" si="16"/>
        <v>5.536045059026554</v>
      </c>
      <c r="K18" s="23">
        <f t="shared" si="17"/>
        <v>37</v>
      </c>
      <c r="L18" s="23" t="str">
        <f t="shared" si="18"/>
        <v>0,0016569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6.8230000000000002E-5</v>
      </c>
      <c r="C23" s="22">
        <v>6.3E-7</v>
      </c>
      <c r="D23" s="22">
        <f t="shared" si="10"/>
        <v>1.4739110533215524E-4</v>
      </c>
      <c r="E23" s="22">
        <f t="shared" si="11"/>
        <v>5.1040331599646574E-4</v>
      </c>
      <c r="F23" s="22">
        <f t="shared" si="12"/>
        <v>-3.7394331599646571E-4</v>
      </c>
      <c r="G23" s="22">
        <f t="shared" si="13"/>
        <v>216.02096633761576</v>
      </c>
      <c r="H23" s="22">
        <f t="shared" si="14"/>
        <v>2.6909811055347133E-5</v>
      </c>
      <c r="I23" s="22">
        <f t="shared" si="15"/>
        <v>5.3819622110694266E-5</v>
      </c>
      <c r="J23" s="22">
        <f t="shared" si="16"/>
        <v>78.87970410478421</v>
      </c>
      <c r="K23" s="23">
        <f t="shared" si="17"/>
        <v>7467</v>
      </c>
      <c r="L23" s="23" t="str">
        <f t="shared" si="18"/>
        <v>0,00006823 ± 0,001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7.0175000000000001E-4</v>
      </c>
      <c r="C28" s="22">
        <v>1.7370000000000001E-5</v>
      </c>
      <c r="D28" s="22">
        <f t="shared" si="10"/>
        <v>7.7392862541798997E-4</v>
      </c>
      <c r="E28" s="22">
        <f t="shared" si="11"/>
        <v>3.0235358762539699E-3</v>
      </c>
      <c r="F28" s="22">
        <f t="shared" si="12"/>
        <v>-1.6200358762539697E-3</v>
      </c>
      <c r="G28" s="22">
        <f t="shared" si="13"/>
        <v>110.28551840655361</v>
      </c>
      <c r="H28" s="22">
        <f t="shared" si="14"/>
        <v>1.4129938868013306E-4</v>
      </c>
      <c r="I28" s="22">
        <f t="shared" si="15"/>
        <v>2.8259877736026612E-4</v>
      </c>
      <c r="J28" s="22">
        <f t="shared" si="16"/>
        <v>40.270577464947074</v>
      </c>
      <c r="K28" s="23">
        <f t="shared" si="17"/>
        <v>1947</v>
      </c>
      <c r="L28" s="23" t="str">
        <f t="shared" si="18"/>
        <v>0,00070175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1.462E-4</v>
      </c>
      <c r="C33" s="22">
        <v>1.5E-6</v>
      </c>
      <c r="D33" s="22">
        <f t="shared" si="10"/>
        <v>2.2742941307367102E-4</v>
      </c>
      <c r="E33" s="22">
        <f t="shared" si="11"/>
        <v>8.2848823922101306E-4</v>
      </c>
      <c r="F33" s="22">
        <f t="shared" si="12"/>
        <v>-5.3608823922101311E-4</v>
      </c>
      <c r="G33" s="22">
        <f t="shared" si="13"/>
        <v>155.56047405859849</v>
      </c>
      <c r="H33" s="22">
        <f t="shared" si="14"/>
        <v>4.1522739926869985E-5</v>
      </c>
      <c r="I33" s="22">
        <f t="shared" si="15"/>
        <v>8.304547985373997E-5</v>
      </c>
      <c r="J33" s="22">
        <f t="shared" si="16"/>
        <v>56.802653798727754</v>
      </c>
      <c r="K33" s="23">
        <f t="shared" si="17"/>
        <v>3872</v>
      </c>
      <c r="L33" s="23" t="str">
        <f t="shared" si="18"/>
        <v>0,0001462 ± 0,001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1.5595E-4</v>
      </c>
      <c r="C38" s="22">
        <v>1.4899999999999999E-6</v>
      </c>
      <c r="D38" s="22">
        <f t="shared" si="10"/>
        <v>2.2667004730406615E-4</v>
      </c>
      <c r="E38" s="22">
        <f t="shared" si="11"/>
        <v>8.3596014191219842E-4</v>
      </c>
      <c r="F38" s="22">
        <f t="shared" si="12"/>
        <v>-5.2406014191219848E-4</v>
      </c>
      <c r="G38" s="22">
        <f t="shared" si="13"/>
        <v>145.34789823922165</v>
      </c>
      <c r="H38" s="22">
        <f t="shared" si="14"/>
        <v>4.1384099339733368E-5</v>
      </c>
      <c r="I38" s="22">
        <f t="shared" si="15"/>
        <v>8.2768198679466736E-5</v>
      </c>
      <c r="J38" s="22">
        <f t="shared" si="16"/>
        <v>53.07354836772474</v>
      </c>
      <c r="K38" s="23">
        <f t="shared" si="17"/>
        <v>3381</v>
      </c>
      <c r="L38" s="23" t="str">
        <f t="shared" si="18"/>
        <v>0,00015595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9.747E-5</v>
      </c>
      <c r="C43" s="22">
        <v>5.7000000000000005E-7</v>
      </c>
      <c r="D43" s="22">
        <f t="shared" si="10"/>
        <v>1.4019690586383534E-4</v>
      </c>
      <c r="E43" s="22">
        <f t="shared" si="11"/>
        <v>5.1806071759150606E-4</v>
      </c>
      <c r="F43" s="22">
        <f t="shared" si="12"/>
        <v>-3.2312071759150606E-4</v>
      </c>
      <c r="G43" s="22">
        <f t="shared" si="13"/>
        <v>143.83595553897132</v>
      </c>
      <c r="H43" s="22">
        <f t="shared" si="14"/>
        <v>2.5596335944683639E-5</v>
      </c>
      <c r="I43" s="22">
        <f t="shared" si="15"/>
        <v>5.1192671889367277E-5</v>
      </c>
      <c r="J43" s="22">
        <f t="shared" si="16"/>
        <v>52.521464952669831</v>
      </c>
      <c r="K43" s="23">
        <f t="shared" si="17"/>
        <v>3311</v>
      </c>
      <c r="L43" s="23" t="str">
        <f t="shared" si="18"/>
        <v>0,00009747 ± 0,001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9.747E-5</v>
      </c>
      <c r="C48" s="22">
        <v>1.08E-6</v>
      </c>
      <c r="D48" s="22">
        <f t="shared" si="10"/>
        <v>1.9298025627080307E-4</v>
      </c>
      <c r="E48" s="22">
        <f t="shared" si="11"/>
        <v>6.7641076881240915E-4</v>
      </c>
      <c r="F48" s="22">
        <f t="shared" si="12"/>
        <v>-4.8147076881240914E-4</v>
      </c>
      <c r="G48" s="22">
        <f t="shared" si="13"/>
        <v>197.98938778167957</v>
      </c>
      <c r="H48" s="22">
        <f t="shared" si="14"/>
        <v>3.5233213170882211E-5</v>
      </c>
      <c r="I48" s="22">
        <f t="shared" si="15"/>
        <v>7.0466426341764423E-5</v>
      </c>
      <c r="J48" s="22">
        <f t="shared" si="16"/>
        <v>72.295502556442415</v>
      </c>
      <c r="K48" s="23">
        <f t="shared" si="17"/>
        <v>6272</v>
      </c>
      <c r="L48" s="23" t="str">
        <f t="shared" si="18"/>
        <v>0,00009747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1.6568999999999999E-4</v>
      </c>
      <c r="C53" s="22">
        <v>1.66E-6</v>
      </c>
      <c r="D53" s="22">
        <f t="shared" si="10"/>
        <v>2.3925170701657455E-4</v>
      </c>
      <c r="E53" s="22">
        <f t="shared" si="11"/>
        <v>8.8344512104972369E-4</v>
      </c>
      <c r="F53" s="22">
        <f t="shared" si="12"/>
        <v>-5.5206512104972365E-4</v>
      </c>
      <c r="G53" s="22">
        <f t="shared" si="13"/>
        <v>144.39719175362094</v>
      </c>
      <c r="H53" s="22">
        <f t="shared" si="14"/>
        <v>4.3681185618198299E-5</v>
      </c>
      <c r="I53" s="22">
        <f t="shared" si="15"/>
        <v>8.7362371236396599E-5</v>
      </c>
      <c r="J53" s="22">
        <f t="shared" si="16"/>
        <v>52.726399442571427</v>
      </c>
      <c r="K53" s="23">
        <f t="shared" si="17"/>
        <v>3337</v>
      </c>
      <c r="L53" s="23" t="str">
        <f t="shared" si="18"/>
        <v>0,00016569 ± 0,001</v>
      </c>
    </row>
    <row r="54" spans="1:12" x14ac:dyDescent="0.25">
      <c r="A54" s="17">
        <f t="shared" si="9"/>
        <v>52</v>
      </c>
      <c r="B54" s="22">
        <v>2.6316000000000002E-4</v>
      </c>
      <c r="C54" s="22">
        <v>2.4499999999999998E-6</v>
      </c>
      <c r="D54" s="22">
        <f t="shared" si="10"/>
        <v>2.9065917948808989E-4</v>
      </c>
      <c r="E54" s="22">
        <f t="shared" si="11"/>
        <v>1.1351375384642697E-3</v>
      </c>
      <c r="F54" s="22">
        <f t="shared" si="12"/>
        <v>-6.0881753846426959E-4</v>
      </c>
      <c r="G54" s="22">
        <f t="shared" si="13"/>
        <v>110.44960460863729</v>
      </c>
      <c r="H54" s="22">
        <f t="shared" si="14"/>
        <v>5.3066863050523236E-5</v>
      </c>
      <c r="I54" s="22">
        <f t="shared" si="15"/>
        <v>1.0613372610104647E-4</v>
      </c>
      <c r="J54" s="22">
        <f t="shared" si="16"/>
        <v>40.330493274451463</v>
      </c>
      <c r="K54" s="23">
        <f t="shared" si="17"/>
        <v>1952</v>
      </c>
      <c r="L54" s="23" t="str">
        <f t="shared" si="18"/>
        <v>0,00026316 ± 0,001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1.9493000000000001E-4</v>
      </c>
      <c r="C58" s="22">
        <v>2.6199999999999999E-6</v>
      </c>
      <c r="D58" s="22">
        <f t="shared" si="10"/>
        <v>3.005741632047021E-4</v>
      </c>
      <c r="E58" s="22">
        <f t="shared" si="11"/>
        <v>1.0966524896141062E-3</v>
      </c>
      <c r="F58" s="22">
        <f t="shared" si="12"/>
        <v>-7.0679248961410634E-4</v>
      </c>
      <c r="G58" s="22">
        <f t="shared" si="13"/>
        <v>154.19594890714723</v>
      </c>
      <c r="H58" s="22">
        <f t="shared" si="14"/>
        <v>5.4877083130151542E-5</v>
      </c>
      <c r="I58" s="22">
        <f t="shared" si="15"/>
        <v>1.0975416626030308E-4</v>
      </c>
      <c r="J58" s="22">
        <f t="shared" si="16"/>
        <v>56.304399661572404</v>
      </c>
      <c r="K58" s="23">
        <f t="shared" si="17"/>
        <v>3805</v>
      </c>
      <c r="L58" s="23" t="str">
        <f t="shared" si="18"/>
        <v>0,00019493 ± 0,001</v>
      </c>
    </row>
    <row r="59" spans="1:12" x14ac:dyDescent="0.25">
      <c r="A59" s="17">
        <f t="shared" si="9"/>
        <v>57</v>
      </c>
      <c r="B59" s="22">
        <v>2.8265000000000001E-4</v>
      </c>
      <c r="C59" s="22">
        <v>3.8399999999999997E-6</v>
      </c>
      <c r="D59" s="22">
        <f t="shared" si="10"/>
        <v>3.6388706091787363E-4</v>
      </c>
      <c r="E59" s="22">
        <f t="shared" si="11"/>
        <v>1.3743111827536209E-3</v>
      </c>
      <c r="F59" s="22">
        <f t="shared" si="12"/>
        <v>-8.0901118275362094E-4</v>
      </c>
      <c r="G59" s="22">
        <f t="shared" si="13"/>
        <v>128.74122091557533</v>
      </c>
      <c r="H59" s="22">
        <f t="shared" si="14"/>
        <v>6.6436383882991976E-5</v>
      </c>
      <c r="I59" s="22">
        <f t="shared" si="15"/>
        <v>1.3287276776598395E-4</v>
      </c>
      <c r="J59" s="22">
        <f t="shared" si="16"/>
        <v>47.009647184144328</v>
      </c>
      <c r="K59" s="23">
        <f t="shared" si="17"/>
        <v>2652</v>
      </c>
      <c r="L59" s="23" t="str">
        <f t="shared" si="18"/>
        <v>0,00028265 ± 0,001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8.7719999999999994E-5</v>
      </c>
      <c r="C63" s="22">
        <v>1.0499999999999999E-6</v>
      </c>
      <c r="D63" s="22">
        <f t="shared" si="10"/>
        <v>1.9028109877684683E-4</v>
      </c>
      <c r="E63" s="22">
        <f t="shared" si="11"/>
        <v>6.5856329633054054E-4</v>
      </c>
      <c r="F63" s="22">
        <f t="shared" si="12"/>
        <v>-4.8312329633054053E-4</v>
      </c>
      <c r="G63" s="22">
        <f t="shared" si="13"/>
        <v>216.91871725586736</v>
      </c>
      <c r="H63" s="22">
        <f t="shared" si="14"/>
        <v>3.4740416688982556E-5</v>
      </c>
      <c r="I63" s="22">
        <f t="shared" si="15"/>
        <v>6.9480833377965113E-5</v>
      </c>
      <c r="J63" s="22">
        <f t="shared" si="16"/>
        <v>79.207516390749106</v>
      </c>
      <c r="K63" s="23">
        <f t="shared" si="17"/>
        <v>7529</v>
      </c>
      <c r="L63" s="23" t="str">
        <f t="shared" si="18"/>
        <v>0,00008772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2.1442E-4</v>
      </c>
      <c r="C68" s="22">
        <v>2.7199999999999998E-6</v>
      </c>
      <c r="D68" s="22">
        <f t="shared" si="10"/>
        <v>3.0625659739551059E-4</v>
      </c>
      <c r="E68" s="22">
        <f t="shared" si="11"/>
        <v>1.1331897921865318E-3</v>
      </c>
      <c r="F68" s="22">
        <f t="shared" si="12"/>
        <v>-7.0434979218653171E-4</v>
      </c>
      <c r="G68" s="22">
        <f t="shared" si="13"/>
        <v>142.83023850177716</v>
      </c>
      <c r="H68" s="22">
        <f t="shared" si="14"/>
        <v>5.5914548926099684E-5</v>
      </c>
      <c r="I68" s="22">
        <f t="shared" si="15"/>
        <v>1.1182909785219937E-4</v>
      </c>
      <c r="J68" s="22">
        <f t="shared" si="16"/>
        <v>52.154229014177488</v>
      </c>
      <c r="K68" s="23">
        <f t="shared" si="17"/>
        <v>3265</v>
      </c>
      <c r="L68" s="23" t="str">
        <f t="shared" si="18"/>
        <v>0,00021442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1.9493000000000001E-4</v>
      </c>
      <c r="C73" s="22">
        <v>2.79E-6</v>
      </c>
      <c r="D73" s="22">
        <f t="shared" ref="D73:D78" si="20">POWER(C73/($O$5-1),0.5)</f>
        <v>3.1017236587375756E-4</v>
      </c>
      <c r="E73" s="22">
        <f t="shared" ref="E73:E78" si="21">B73+3*D73</f>
        <v>1.1254470976212727E-3</v>
      </c>
      <c r="F73" s="22">
        <f t="shared" ref="F73:F78" si="22">B73-3*D73</f>
        <v>-7.3558709762127261E-4</v>
      </c>
      <c r="G73" s="22">
        <f t="shared" ref="G73:G78" si="23">D73/B73*100</f>
        <v>159.11987168406995</v>
      </c>
      <c r="H73" s="22">
        <f t="shared" ref="H73:H78" si="24">D73/POWER($O$5, 0.5)</f>
        <v>5.6629467167934196E-5</v>
      </c>
      <c r="I73" s="22">
        <f t="shared" ref="I73:I78" si="25">H73*$P$5</f>
        <v>1.1325893433586839E-4</v>
      </c>
      <c r="J73" s="22">
        <f t="shared" ref="J73:J78" si="26">I73/B73*100</f>
        <v>58.102362045795097</v>
      </c>
      <c r="K73" s="23">
        <f t="shared" ref="K73:K78" si="27">ROUNDUP(POWER(G73*$P$5/$Q$5,2),0)</f>
        <v>4052</v>
      </c>
      <c r="L73" s="23" t="str">
        <f t="shared" ref="L73:L78" si="28" xml:space="preserve"> B73 &amp; " ± " &amp; (ROUNDUP(I73, 3))</f>
        <v>0,00019493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1.5595E-4</v>
      </c>
      <c r="C78" s="22">
        <v>1.84E-6</v>
      </c>
      <c r="D78" s="22">
        <f t="shared" si="20"/>
        <v>2.5188941196896105E-4</v>
      </c>
      <c r="E78" s="22">
        <f t="shared" si="21"/>
        <v>9.1161823590688311E-4</v>
      </c>
      <c r="F78" s="22">
        <f t="shared" si="22"/>
        <v>-5.9971823590688317E-4</v>
      </c>
      <c r="G78" s="22">
        <f t="shared" si="23"/>
        <v>161.51934079446045</v>
      </c>
      <c r="H78" s="22">
        <f t="shared" si="24"/>
        <v>4.5988504310703916E-5</v>
      </c>
      <c r="I78" s="22">
        <f t="shared" si="25"/>
        <v>9.1977008621407831E-5</v>
      </c>
      <c r="J78" s="22">
        <f t="shared" si="26"/>
        <v>58.978524284326916</v>
      </c>
      <c r="K78" s="23">
        <f t="shared" si="27"/>
        <v>4175</v>
      </c>
      <c r="L78" s="23" t="str">
        <f t="shared" si="28"/>
        <v>0,00015595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9.7499999999999998E-6</v>
      </c>
      <c r="C81" s="22">
        <v>8.0000000000000002E-8</v>
      </c>
      <c r="D81" s="22">
        <f t="shared" si="38"/>
        <v>5.2522573143889021E-5</v>
      </c>
      <c r="E81" s="22">
        <f t="shared" si="39"/>
        <v>1.6731771943166707E-4</v>
      </c>
      <c r="F81" s="22">
        <f t="shared" si="40"/>
        <v>-1.4781771943166708E-4</v>
      </c>
      <c r="G81" s="22">
        <f t="shared" si="41"/>
        <v>538.69305788604129</v>
      </c>
      <c r="H81" s="22">
        <f t="shared" si="42"/>
        <v>9.5892660297076818E-6</v>
      </c>
      <c r="I81" s="22">
        <f t="shared" si="43"/>
        <v>1.9178532059415364E-5</v>
      </c>
      <c r="J81" s="22">
        <f t="shared" si="44"/>
        <v>196.70289291708065</v>
      </c>
      <c r="K81" s="23">
        <f t="shared" si="45"/>
        <v>46431</v>
      </c>
      <c r="L81" s="23" t="str">
        <f t="shared" si="46"/>
        <v>0,00000975 ± 0,001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1.3840199999999999E-3</v>
      </c>
      <c r="C83" s="22">
        <v>8.0359999999999996E-5</v>
      </c>
      <c r="D83" s="22">
        <f t="shared" si="38"/>
        <v>1.6646424489236782E-3</v>
      </c>
      <c r="E83" s="22">
        <f t="shared" si="39"/>
        <v>6.3779473467710339E-3</v>
      </c>
      <c r="F83" s="22">
        <f t="shared" si="40"/>
        <v>-3.6099073467710345E-3</v>
      </c>
      <c r="G83" s="22">
        <f t="shared" si="41"/>
        <v>120.27589550177586</v>
      </c>
      <c r="H83" s="22">
        <f t="shared" si="42"/>
        <v>3.0392073981871329E-4</v>
      </c>
      <c r="I83" s="22">
        <f t="shared" si="43"/>
        <v>6.0784147963742659E-4</v>
      </c>
      <c r="J83" s="22">
        <f t="shared" si="44"/>
        <v>43.918547393637851</v>
      </c>
      <c r="K83" s="23">
        <f t="shared" si="45"/>
        <v>2315</v>
      </c>
      <c r="L83" s="23" t="str">
        <f t="shared" si="46"/>
        <v>0,00138402 ± 0,001</v>
      </c>
    </row>
    <row r="84" spans="1:12" x14ac:dyDescent="0.25">
      <c r="A84" s="17" t="s">
        <v>64</v>
      </c>
      <c r="B84" s="22">
        <v>1.4814800000000001E-3</v>
      </c>
      <c r="C84" s="22">
        <v>1.0703E-4</v>
      </c>
      <c r="D84" s="22">
        <f t="shared" si="38"/>
        <v>1.9211167729142374E-3</v>
      </c>
      <c r="E84" s="22">
        <f t="shared" si="39"/>
        <v>7.2448303187427126E-3</v>
      </c>
      <c r="F84" s="22">
        <f t="shared" si="40"/>
        <v>-4.281870318742712E-3</v>
      </c>
      <c r="G84" s="22">
        <f t="shared" si="41"/>
        <v>129.67551184722285</v>
      </c>
      <c r="H84" s="22">
        <f t="shared" si="42"/>
        <v>3.5074633070888587E-4</v>
      </c>
      <c r="I84" s="22">
        <f t="shared" si="43"/>
        <v>7.0149266141777175E-4</v>
      </c>
      <c r="J84" s="22">
        <f t="shared" si="44"/>
        <v>47.350801996501588</v>
      </c>
      <c r="K84" s="23">
        <f t="shared" si="45"/>
        <v>2691</v>
      </c>
      <c r="L84" s="23" t="str">
        <f t="shared" si="46"/>
        <v>0,00148148 ± 0,001</v>
      </c>
    </row>
    <row r="85" spans="1:12" x14ac:dyDescent="0.25">
      <c r="A85" s="17" t="s">
        <v>65</v>
      </c>
      <c r="B85" s="22">
        <v>4.3859999999999998E-4</v>
      </c>
      <c r="C85" s="22">
        <v>1.1409999999999999E-5</v>
      </c>
      <c r="D85" s="22">
        <f t="shared" si="38"/>
        <v>6.2725455427766245E-4</v>
      </c>
      <c r="E85" s="22">
        <f t="shared" si="39"/>
        <v>2.3203636628329875E-3</v>
      </c>
      <c r="F85" s="22">
        <f t="shared" si="40"/>
        <v>-1.4431636628329874E-3</v>
      </c>
      <c r="G85" s="22">
        <f t="shared" si="41"/>
        <v>143.01289427215286</v>
      </c>
      <c r="H85" s="22">
        <f t="shared" si="42"/>
        <v>1.1452048955857477E-4</v>
      </c>
      <c r="I85" s="22">
        <f t="shared" si="43"/>
        <v>2.2904097911714954E-4</v>
      </c>
      <c r="J85" s="22">
        <f t="shared" si="44"/>
        <v>52.220925471306323</v>
      </c>
      <c r="K85" s="23">
        <f t="shared" si="45"/>
        <v>3273</v>
      </c>
      <c r="L85" s="23" t="str">
        <f t="shared" si="46"/>
        <v>0,0004386 ± 0,001</v>
      </c>
    </row>
    <row r="86" spans="1:12" x14ac:dyDescent="0.25">
      <c r="A86" s="17" t="s">
        <v>66</v>
      </c>
      <c r="B86" s="22">
        <v>2.9240000000000001E-4</v>
      </c>
      <c r="C86" s="22">
        <v>5.13E-6</v>
      </c>
      <c r="D86" s="22">
        <f t="shared" si="38"/>
        <v>4.2059071759150595E-4</v>
      </c>
      <c r="E86" s="22">
        <f t="shared" si="39"/>
        <v>1.5541721527745178E-3</v>
      </c>
      <c r="F86" s="22">
        <f t="shared" si="40"/>
        <v>-9.6937215277451789E-4</v>
      </c>
      <c r="G86" s="22">
        <f t="shared" si="41"/>
        <v>143.84087468929752</v>
      </c>
      <c r="H86" s="22">
        <f t="shared" si="42"/>
        <v>7.6789007834050899E-5</v>
      </c>
      <c r="I86" s="22">
        <f t="shared" si="43"/>
        <v>1.535780156681018E-4</v>
      </c>
      <c r="J86" s="22">
        <f t="shared" si="44"/>
        <v>52.523261172401433</v>
      </c>
      <c r="K86" s="23">
        <f t="shared" si="45"/>
        <v>3311</v>
      </c>
      <c r="L86" s="23" t="str">
        <f t="shared" si="46"/>
        <v>0,0002924 ± 0,001</v>
      </c>
    </row>
    <row r="87" spans="1:12" x14ac:dyDescent="0.25">
      <c r="A87" s="17" t="s">
        <v>67</v>
      </c>
      <c r="B87" s="22">
        <v>1.3840199999999999E-3</v>
      </c>
      <c r="C87" s="22">
        <v>5.0090000000000003E-5</v>
      </c>
      <c r="D87" s="22">
        <f t="shared" si="38"/>
        <v>1.3142455551799841E-3</v>
      </c>
      <c r="E87" s="22">
        <f t="shared" si="39"/>
        <v>5.3267566655399523E-3</v>
      </c>
      <c r="F87" s="22">
        <f t="shared" si="40"/>
        <v>-2.558716665539953E-3</v>
      </c>
      <c r="G87" s="22">
        <f t="shared" si="41"/>
        <v>94.95856672446817</v>
      </c>
      <c r="H87" s="22">
        <f t="shared" si="42"/>
        <v>2.3994731222432594E-4</v>
      </c>
      <c r="I87" s="22">
        <f t="shared" si="43"/>
        <v>4.7989462444865188E-4</v>
      </c>
      <c r="J87" s="22">
        <f t="shared" si="44"/>
        <v>34.67396601556711</v>
      </c>
      <c r="K87" s="23">
        <f t="shared" si="45"/>
        <v>1443</v>
      </c>
      <c r="L87" s="23" t="str">
        <f t="shared" si="46"/>
        <v>0,00138402 ± 0,001</v>
      </c>
    </row>
    <row r="88" spans="1:12" x14ac:dyDescent="0.25">
      <c r="A88" s="17" t="s">
        <v>68</v>
      </c>
      <c r="B88" s="22">
        <v>3.4600400000000002E-3</v>
      </c>
      <c r="C88" s="22">
        <v>3.0300999999999999E-4</v>
      </c>
      <c r="D88" s="22">
        <f t="shared" ref="D88" si="47">POWER(C88/($O$5-1),0.5)</f>
        <v>3.232432627241467E-3</v>
      </c>
      <c r="E88" s="22">
        <f t="shared" ref="E88" si="48">B88+3*D88</f>
        <v>1.31573378817244E-2</v>
      </c>
      <c r="F88" s="22">
        <f t="shared" ref="F88" si="49">B88-3*D88</f>
        <v>-6.2372578817244005E-3</v>
      </c>
      <c r="G88" s="22">
        <f t="shared" ref="G88" si="50">D88/B88*100</f>
        <v>93.421828280640312</v>
      </c>
      <c r="H88" s="22">
        <f t="shared" ref="H88" si="51">D88/POWER($O$5, 0.5)</f>
        <v>5.9015875518527989E-4</v>
      </c>
      <c r="I88" s="22">
        <f t="shared" ref="I88" si="52">H88*$P$5</f>
        <v>1.1803175103705598E-3</v>
      </c>
      <c r="J88" s="22">
        <f t="shared" ref="J88" si="53">I88/B88*100</f>
        <v>34.112828475120509</v>
      </c>
      <c r="K88" s="23">
        <f t="shared" ref="K88" si="54">ROUNDUP(POWER(G88*$P$5/$Q$5,2),0)</f>
        <v>1397</v>
      </c>
      <c r="L88" s="23" t="str">
        <f t="shared" ref="L88" si="55" xml:space="preserve"> B88 &amp; " ± " &amp; (ROUNDUP(I88, 3))</f>
        <v>0,00346004 ± 0,002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5A54-F2AB-4C07-B2FB-0A2AEA7B05D0}">
  <dimension ref="A1:V88"/>
  <sheetViews>
    <sheetView topLeftCell="A58" zoomScaleNormal="100" workbookViewId="0">
      <selection activeCell="B91" sqref="B91:C91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55</v>
      </c>
      <c r="D1" s="25" t="s">
        <v>49</v>
      </c>
      <c r="E1" s="25" t="s">
        <v>50</v>
      </c>
      <c r="F1" s="25" t="s">
        <v>51</v>
      </c>
      <c r="G1" s="25" t="s">
        <v>9</v>
      </c>
      <c r="H1" s="25" t="s">
        <v>52</v>
      </c>
      <c r="I1" s="25" t="s">
        <v>53</v>
      </c>
      <c r="J1" s="25" t="s">
        <v>43</v>
      </c>
      <c r="K1" s="26" t="s">
        <v>5</v>
      </c>
      <c r="L1" s="26" t="s">
        <v>54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0</v>
      </c>
      <c r="C3" s="21">
        <v>0</v>
      </c>
      <c r="D3" s="21">
        <f t="shared" ref="D3:D8" si="0">POWER(C3/($O$5-1),0.5)</f>
        <v>0</v>
      </c>
      <c r="E3" s="21">
        <f t="shared" ref="E3:E8" si="1">B3+3*D3</f>
        <v>0</v>
      </c>
      <c r="F3" s="21">
        <f t="shared" ref="F3:F8" si="2">B3-3*D3</f>
        <v>0</v>
      </c>
      <c r="G3" s="21" t="e">
        <f t="shared" ref="G3:G8" si="3">D3/B3*100</f>
        <v>#DIV/0!</v>
      </c>
      <c r="H3" s="21">
        <f t="shared" ref="H3:H8" si="4">D3/POWER($O$5, 0.5)</f>
        <v>0</v>
      </c>
      <c r="I3" s="21">
        <f t="shared" ref="I3:I8" si="5">H3*$P$5</f>
        <v>0</v>
      </c>
      <c r="J3" s="21" t="e">
        <f t="shared" ref="J3:J8" si="6">I3/B3*100</f>
        <v>#DIV/0!</v>
      </c>
      <c r="K3" s="30" t="e">
        <f t="shared" ref="K3:K8" si="7">ROUNDUP(POWER(G3*$P$5/$Q$5,2),0)</f>
        <v>#DIV/0!</v>
      </c>
      <c r="L3" s="30" t="str">
        <f t="shared" ref="L3:L8" si="8" xml:space="preserve"> B3 &amp; " ± " &amp; (ROUNDUP(I3, 3))</f>
        <v>0 ± 0</v>
      </c>
    </row>
    <row r="4" spans="1:17" x14ac:dyDescent="0.25">
      <c r="A4" s="16">
        <f>A3+1</f>
        <v>2</v>
      </c>
      <c r="B4" s="22">
        <v>0</v>
      </c>
      <c r="C4" s="22">
        <v>0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>0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0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 t="e">
        <f t="shared" si="3"/>
        <v>#DIV/0!</v>
      </c>
      <c r="H8" s="22">
        <f t="shared" si="4"/>
        <v>0</v>
      </c>
      <c r="I8" s="22">
        <f t="shared" si="5"/>
        <v>0</v>
      </c>
      <c r="J8" s="22" t="e">
        <f t="shared" si="6"/>
        <v>#DIV/0!</v>
      </c>
      <c r="K8" s="23" t="e">
        <f t="shared" si="7"/>
        <v>#DIV/0!</v>
      </c>
      <c r="L8" s="23" t="str">
        <f t="shared" si="8"/>
        <v>0 ± 0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0</v>
      </c>
      <c r="C13" s="22">
        <v>0</v>
      </c>
      <c r="D13" s="22">
        <f t="shared" si="10"/>
        <v>0</v>
      </c>
      <c r="E13" s="22">
        <f t="shared" si="11"/>
        <v>0</v>
      </c>
      <c r="F13" s="22">
        <f t="shared" si="12"/>
        <v>0</v>
      </c>
      <c r="G13" s="22" t="e">
        <f t="shared" si="13"/>
        <v>#DIV/0!</v>
      </c>
      <c r="H13" s="22">
        <f t="shared" si="14"/>
        <v>0</v>
      </c>
      <c r="I13" s="22">
        <f t="shared" si="15"/>
        <v>0</v>
      </c>
      <c r="J13" s="22" t="e">
        <f t="shared" si="16"/>
        <v>#DIV/0!</v>
      </c>
      <c r="K13" s="23" t="e">
        <f t="shared" si="17"/>
        <v>#DIV/0!</v>
      </c>
      <c r="L13" s="23" t="str">
        <f t="shared" si="18"/>
        <v>0 ± 0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2.9240000000000001E-5</v>
      </c>
      <c r="C18" s="22">
        <v>2.2999999999999999E-7</v>
      </c>
      <c r="D18" s="22">
        <f t="shared" si="10"/>
        <v>8.9056355656172125E-5</v>
      </c>
      <c r="E18" s="22">
        <f t="shared" si="11"/>
        <v>2.9640906696851637E-4</v>
      </c>
      <c r="F18" s="22">
        <f t="shared" si="12"/>
        <v>-2.3792906696851638E-4</v>
      </c>
      <c r="G18" s="22">
        <f t="shared" si="13"/>
        <v>304.57029978171039</v>
      </c>
      <c r="H18" s="22">
        <f t="shared" si="14"/>
        <v>1.6259391627362753E-5</v>
      </c>
      <c r="I18" s="22">
        <f t="shared" si="15"/>
        <v>3.2518783254725506E-5</v>
      </c>
      <c r="J18" s="22">
        <f t="shared" si="16"/>
        <v>111.21334902436904</v>
      </c>
      <c r="K18" s="23">
        <f t="shared" si="17"/>
        <v>14843</v>
      </c>
      <c r="L18" s="23" t="str">
        <f t="shared" si="18"/>
        <v>0,00002924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0</v>
      </c>
      <c r="C23" s="22">
        <v>0</v>
      </c>
      <c r="D23" s="22">
        <f t="shared" si="10"/>
        <v>0</v>
      </c>
      <c r="E23" s="22">
        <f t="shared" si="11"/>
        <v>0</v>
      </c>
      <c r="F23" s="22">
        <f t="shared" si="12"/>
        <v>0</v>
      </c>
      <c r="G23" s="22" t="e">
        <f t="shared" si="13"/>
        <v>#DIV/0!</v>
      </c>
      <c r="H23" s="22">
        <f t="shared" si="14"/>
        <v>0</v>
      </c>
      <c r="I23" s="22">
        <f t="shared" si="15"/>
        <v>0</v>
      </c>
      <c r="J23" s="22" t="e">
        <f t="shared" si="16"/>
        <v>#DIV/0!</v>
      </c>
      <c r="K23" s="23" t="e">
        <f t="shared" si="17"/>
        <v>#DIV/0!</v>
      </c>
      <c r="L23" s="23" t="str">
        <f t="shared" si="18"/>
        <v>0 ± 0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3.0214E-4</v>
      </c>
      <c r="C28" s="22">
        <v>3.67E-6</v>
      </c>
      <c r="D28" s="22">
        <f t="shared" si="10"/>
        <v>3.5574109143860655E-4</v>
      </c>
      <c r="E28" s="22">
        <f t="shared" si="11"/>
        <v>1.3693632743158196E-3</v>
      </c>
      <c r="F28" s="22">
        <f t="shared" si="12"/>
        <v>-7.6508327431581958E-4</v>
      </c>
      <c r="G28" s="22">
        <f t="shared" si="13"/>
        <v>117.74048171000415</v>
      </c>
      <c r="H28" s="22">
        <f t="shared" si="14"/>
        <v>6.4949140137477582E-5</v>
      </c>
      <c r="I28" s="22">
        <f t="shared" si="15"/>
        <v>1.2989828027495516E-4</v>
      </c>
      <c r="J28" s="22">
        <f t="shared" si="16"/>
        <v>42.992745176062478</v>
      </c>
      <c r="K28" s="23">
        <f t="shared" si="17"/>
        <v>2219</v>
      </c>
      <c r="L28" s="23" t="str">
        <f t="shared" si="18"/>
        <v>0,00030214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0</v>
      </c>
      <c r="C33" s="22">
        <v>0</v>
      </c>
      <c r="D33" s="22">
        <f t="shared" si="10"/>
        <v>0</v>
      </c>
      <c r="E33" s="22">
        <f t="shared" si="11"/>
        <v>0</v>
      </c>
      <c r="F33" s="22">
        <f t="shared" si="12"/>
        <v>0</v>
      </c>
      <c r="G33" s="22" t="e">
        <f t="shared" si="13"/>
        <v>#DIV/0!</v>
      </c>
      <c r="H33" s="22">
        <f t="shared" si="14"/>
        <v>0</v>
      </c>
      <c r="I33" s="22">
        <f t="shared" si="15"/>
        <v>0</v>
      </c>
      <c r="J33" s="22" t="e">
        <f t="shared" si="16"/>
        <v>#DIV/0!</v>
      </c>
      <c r="K33" s="23" t="e">
        <f t="shared" si="17"/>
        <v>#DIV/0!</v>
      </c>
      <c r="L33" s="23" t="str">
        <f t="shared" si="18"/>
        <v>0 ± 0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2.9240000000000001E-5</v>
      </c>
      <c r="C38" s="22">
        <v>2.2999999999999999E-7</v>
      </c>
      <c r="D38" s="22">
        <f t="shared" si="10"/>
        <v>8.9056355656172125E-5</v>
      </c>
      <c r="E38" s="22">
        <f t="shared" si="11"/>
        <v>2.9640906696851637E-4</v>
      </c>
      <c r="F38" s="22">
        <f t="shared" si="12"/>
        <v>-2.3792906696851638E-4</v>
      </c>
      <c r="G38" s="22">
        <f t="shared" si="13"/>
        <v>304.57029978171039</v>
      </c>
      <c r="H38" s="22">
        <f t="shared" si="14"/>
        <v>1.6259391627362753E-5</v>
      </c>
      <c r="I38" s="22">
        <f t="shared" si="15"/>
        <v>3.2518783254725506E-5</v>
      </c>
      <c r="J38" s="22">
        <f t="shared" si="16"/>
        <v>111.21334902436904</v>
      </c>
      <c r="K38" s="23">
        <f t="shared" si="17"/>
        <v>14843</v>
      </c>
      <c r="L38" s="23" t="str">
        <f t="shared" si="18"/>
        <v>0,00002924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0</v>
      </c>
      <c r="C43" s="22">
        <v>0</v>
      </c>
      <c r="D43" s="22">
        <f t="shared" si="10"/>
        <v>0</v>
      </c>
      <c r="E43" s="22">
        <f t="shared" si="11"/>
        <v>0</v>
      </c>
      <c r="F43" s="22">
        <f t="shared" si="12"/>
        <v>0</v>
      </c>
      <c r="G43" s="22" t="e">
        <f t="shared" si="13"/>
        <v>#DIV/0!</v>
      </c>
      <c r="H43" s="22">
        <f t="shared" si="14"/>
        <v>0</v>
      </c>
      <c r="I43" s="22">
        <f t="shared" si="15"/>
        <v>0</v>
      </c>
      <c r="J43" s="22" t="e">
        <f t="shared" si="16"/>
        <v>#DIV/0!</v>
      </c>
      <c r="K43" s="23" t="e">
        <f t="shared" si="17"/>
        <v>#DIV/0!</v>
      </c>
      <c r="L43" s="23" t="str">
        <f t="shared" si="18"/>
        <v>0 ± 0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1.9490000000000001E-5</v>
      </c>
      <c r="C48" s="22">
        <v>1.6E-7</v>
      </c>
      <c r="D48" s="22">
        <f t="shared" si="10"/>
        <v>7.4278135270820745E-5</v>
      </c>
      <c r="E48" s="22">
        <f t="shared" si="11"/>
        <v>2.4232440581246223E-4</v>
      </c>
      <c r="F48" s="22">
        <f t="shared" si="12"/>
        <v>-2.0334440581246224E-4</v>
      </c>
      <c r="G48" s="22">
        <f t="shared" si="13"/>
        <v>381.10895469892631</v>
      </c>
      <c r="H48" s="22">
        <f t="shared" si="14"/>
        <v>1.3561270072416207E-5</v>
      </c>
      <c r="I48" s="22">
        <f t="shared" si="15"/>
        <v>2.7122540144832415E-5</v>
      </c>
      <c r="J48" s="22">
        <f t="shared" si="16"/>
        <v>139.16131423721095</v>
      </c>
      <c r="K48" s="23">
        <f t="shared" si="17"/>
        <v>23240</v>
      </c>
      <c r="L48" s="23" t="str">
        <f t="shared" si="18"/>
        <v>0,00001949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2.9240000000000001E-5</v>
      </c>
      <c r="C53" s="22">
        <v>2.2999999999999999E-7</v>
      </c>
      <c r="D53" s="22">
        <f t="shared" si="10"/>
        <v>8.9056355656172125E-5</v>
      </c>
      <c r="E53" s="22">
        <f t="shared" si="11"/>
        <v>2.9640906696851637E-4</v>
      </c>
      <c r="F53" s="22">
        <f t="shared" si="12"/>
        <v>-2.3792906696851638E-4</v>
      </c>
      <c r="G53" s="22">
        <f t="shared" si="13"/>
        <v>304.57029978171039</v>
      </c>
      <c r="H53" s="22">
        <f t="shared" si="14"/>
        <v>1.6259391627362753E-5</v>
      </c>
      <c r="I53" s="22">
        <f t="shared" si="15"/>
        <v>3.2518783254725506E-5</v>
      </c>
      <c r="J53" s="22">
        <f t="shared" si="16"/>
        <v>111.21334902436904</v>
      </c>
      <c r="K53" s="23">
        <f t="shared" si="17"/>
        <v>14843</v>
      </c>
      <c r="L53" s="23" t="str">
        <f t="shared" si="18"/>
        <v>0,00002924 ± 0,001</v>
      </c>
    </row>
    <row r="54" spans="1:12" x14ac:dyDescent="0.25">
      <c r="A54" s="17">
        <f t="shared" si="9"/>
        <v>52</v>
      </c>
      <c r="B54" s="22">
        <v>6.8230000000000002E-5</v>
      </c>
      <c r="C54" s="22">
        <v>4.5999999999999999E-7</v>
      </c>
      <c r="D54" s="22">
        <f t="shared" si="10"/>
        <v>1.2594470598448052E-4</v>
      </c>
      <c r="E54" s="22">
        <f t="shared" si="11"/>
        <v>4.4606411795344159E-4</v>
      </c>
      <c r="F54" s="22">
        <f t="shared" si="12"/>
        <v>-3.0960411795344156E-4</v>
      </c>
      <c r="G54" s="22">
        <f t="shared" si="13"/>
        <v>184.58845959912139</v>
      </c>
      <c r="H54" s="22">
        <f t="shared" si="14"/>
        <v>2.2994252155351958E-5</v>
      </c>
      <c r="I54" s="22">
        <f t="shared" si="15"/>
        <v>4.5988504310703916E-5</v>
      </c>
      <c r="J54" s="22">
        <f t="shared" si="16"/>
        <v>67.402175451713191</v>
      </c>
      <c r="K54" s="23">
        <f t="shared" si="17"/>
        <v>5452</v>
      </c>
      <c r="L54" s="23" t="str">
        <f t="shared" si="18"/>
        <v>0,00006823 ± 0,001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ht="14.25" customHeight="1" x14ac:dyDescent="0.25">
      <c r="A56" s="3">
        <f t="shared" si="9"/>
        <v>54</v>
      </c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2.9240000000000001E-5</v>
      </c>
      <c r="C58" s="22">
        <v>2.2999999999999999E-7</v>
      </c>
      <c r="D58" s="22">
        <f t="shared" si="10"/>
        <v>8.9056355656172125E-5</v>
      </c>
      <c r="E58" s="22">
        <f t="shared" si="11"/>
        <v>2.9640906696851637E-4</v>
      </c>
      <c r="F58" s="22">
        <f t="shared" si="12"/>
        <v>-2.3792906696851638E-4</v>
      </c>
      <c r="G58" s="22">
        <f t="shared" si="13"/>
        <v>304.57029978171039</v>
      </c>
      <c r="H58" s="22">
        <f t="shared" si="14"/>
        <v>1.6259391627362753E-5</v>
      </c>
      <c r="I58" s="22">
        <f t="shared" si="15"/>
        <v>3.2518783254725506E-5</v>
      </c>
      <c r="J58" s="22">
        <f t="shared" si="16"/>
        <v>111.21334902436904</v>
      </c>
      <c r="K58" s="23">
        <f t="shared" si="17"/>
        <v>14843</v>
      </c>
      <c r="L58" s="23" t="str">
        <f t="shared" si="18"/>
        <v>0,00002924 ± 0,001</v>
      </c>
    </row>
    <row r="59" spans="1:12" x14ac:dyDescent="0.25">
      <c r="A59" s="17">
        <f t="shared" si="9"/>
        <v>57</v>
      </c>
      <c r="B59" s="22">
        <v>1.9490000000000001E-5</v>
      </c>
      <c r="C59" s="22">
        <v>1.6E-7</v>
      </c>
      <c r="D59" s="22">
        <f t="shared" si="10"/>
        <v>7.4278135270820745E-5</v>
      </c>
      <c r="E59" s="22">
        <f t="shared" si="11"/>
        <v>2.4232440581246223E-4</v>
      </c>
      <c r="F59" s="22">
        <f t="shared" si="12"/>
        <v>-2.0334440581246224E-4</v>
      </c>
      <c r="G59" s="22">
        <f t="shared" si="13"/>
        <v>381.10895469892631</v>
      </c>
      <c r="H59" s="22">
        <f t="shared" si="14"/>
        <v>1.3561270072416207E-5</v>
      </c>
      <c r="I59" s="22">
        <f t="shared" si="15"/>
        <v>2.7122540144832415E-5</v>
      </c>
      <c r="J59" s="22">
        <f t="shared" si="16"/>
        <v>139.16131423721095</v>
      </c>
      <c r="K59" s="23">
        <f t="shared" si="17"/>
        <v>23240</v>
      </c>
      <c r="L59" s="23" t="str">
        <f t="shared" si="18"/>
        <v>0,00001949 ± 0,001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1.9490000000000001E-5</v>
      </c>
      <c r="C63" s="22">
        <v>1.6E-7</v>
      </c>
      <c r="D63" s="22">
        <f t="shared" si="10"/>
        <v>7.4278135270820745E-5</v>
      </c>
      <c r="E63" s="22">
        <f t="shared" si="11"/>
        <v>2.4232440581246223E-4</v>
      </c>
      <c r="F63" s="22">
        <f t="shared" si="12"/>
        <v>-2.0334440581246224E-4</v>
      </c>
      <c r="G63" s="22">
        <f t="shared" si="13"/>
        <v>381.10895469892631</v>
      </c>
      <c r="H63" s="22">
        <f t="shared" si="14"/>
        <v>1.3561270072416207E-5</v>
      </c>
      <c r="I63" s="22">
        <f t="shared" si="15"/>
        <v>2.7122540144832415E-5</v>
      </c>
      <c r="J63" s="22">
        <f t="shared" si="16"/>
        <v>139.16131423721095</v>
      </c>
      <c r="K63" s="23">
        <f t="shared" si="17"/>
        <v>23240</v>
      </c>
      <c r="L63" s="23" t="str">
        <f t="shared" si="18"/>
        <v>0,00001949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7.7970000000000001E-5</v>
      </c>
      <c r="C68" s="22">
        <v>6.7000000000000004E-7</v>
      </c>
      <c r="D68" s="22">
        <f t="shared" si="10"/>
        <v>1.5199818510713234E-4</v>
      </c>
      <c r="E68" s="22">
        <f t="shared" si="11"/>
        <v>5.3396455532139699E-4</v>
      </c>
      <c r="F68" s="22">
        <f t="shared" si="12"/>
        <v>-3.7802455532139702E-4</v>
      </c>
      <c r="G68" s="22">
        <f t="shared" si="13"/>
        <v>194.94444671942074</v>
      </c>
      <c r="H68" s="22">
        <f t="shared" si="14"/>
        <v>2.7750944894340726E-5</v>
      </c>
      <c r="I68" s="22">
        <f t="shared" si="15"/>
        <v>5.5501889788681452E-5</v>
      </c>
      <c r="J68" s="22">
        <f t="shared" si="16"/>
        <v>71.183647285727133</v>
      </c>
      <c r="K68" s="23">
        <f t="shared" si="17"/>
        <v>6081</v>
      </c>
      <c r="L68" s="23" t="str">
        <f t="shared" si="18"/>
        <v>0,00007797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2.9240000000000001E-5</v>
      </c>
      <c r="C73" s="22">
        <v>2.2999999999999999E-7</v>
      </c>
      <c r="D73" s="22">
        <f t="shared" ref="D73:D78" si="20">POWER(C73/($O$5-1),0.5)</f>
        <v>8.9056355656172125E-5</v>
      </c>
      <c r="E73" s="22">
        <f t="shared" ref="E73:E78" si="21">B73+3*D73</f>
        <v>2.9640906696851637E-4</v>
      </c>
      <c r="F73" s="22">
        <f t="shared" ref="F73:F78" si="22">B73-3*D73</f>
        <v>-2.3792906696851638E-4</v>
      </c>
      <c r="G73" s="22">
        <f t="shared" ref="G73:G78" si="23">D73/B73*100</f>
        <v>304.57029978171039</v>
      </c>
      <c r="H73" s="22">
        <f t="shared" ref="H73:H78" si="24">D73/POWER($O$5, 0.5)</f>
        <v>1.6259391627362753E-5</v>
      </c>
      <c r="I73" s="22">
        <f t="shared" ref="I73:I78" si="25">H73*$P$5</f>
        <v>3.2518783254725506E-5</v>
      </c>
      <c r="J73" s="22">
        <f t="shared" ref="J73:J78" si="26">I73/B73*100</f>
        <v>111.21334902436904</v>
      </c>
      <c r="K73" s="23">
        <f t="shared" ref="K73:K78" si="27">ROUNDUP(POWER(G73*$P$5/$Q$5,2),0)</f>
        <v>14843</v>
      </c>
      <c r="L73" s="23" t="str">
        <f t="shared" ref="L73:L78" si="28" xml:space="preserve"> B73 &amp; " ± " &amp; (ROUNDUP(I73, 3))</f>
        <v>0,00002924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6.8230000000000002E-5</v>
      </c>
      <c r="C78" s="22">
        <v>4.5999999999999999E-7</v>
      </c>
      <c r="D78" s="22">
        <f t="shared" si="20"/>
        <v>1.2594470598448052E-4</v>
      </c>
      <c r="E78" s="22">
        <f t="shared" si="21"/>
        <v>4.4606411795344159E-4</v>
      </c>
      <c r="F78" s="22">
        <f t="shared" si="22"/>
        <v>-3.0960411795344156E-4</v>
      </c>
      <c r="G78" s="22">
        <f t="shared" si="23"/>
        <v>184.58845959912139</v>
      </c>
      <c r="H78" s="22">
        <f t="shared" si="24"/>
        <v>2.2994252155351958E-5</v>
      </c>
      <c r="I78" s="22">
        <f t="shared" si="25"/>
        <v>4.5988504310703916E-5</v>
      </c>
      <c r="J78" s="22">
        <f t="shared" si="26"/>
        <v>67.402175451713191</v>
      </c>
      <c r="K78" s="23">
        <f t="shared" si="27"/>
        <v>5452</v>
      </c>
      <c r="L78" s="23" t="str">
        <f t="shared" si="28"/>
        <v>0,00006823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0</v>
      </c>
      <c r="C81" s="22">
        <v>0</v>
      </c>
      <c r="D81" s="22">
        <f t="shared" si="38"/>
        <v>0</v>
      </c>
      <c r="E81" s="22">
        <f t="shared" si="39"/>
        <v>0</v>
      </c>
      <c r="F81" s="22">
        <f t="shared" si="40"/>
        <v>0</v>
      </c>
      <c r="G81" s="22" t="e">
        <f t="shared" si="41"/>
        <v>#DIV/0!</v>
      </c>
      <c r="H81" s="22">
        <f t="shared" si="42"/>
        <v>0</v>
      </c>
      <c r="I81" s="22">
        <f t="shared" si="43"/>
        <v>0</v>
      </c>
      <c r="J81" s="22" t="e">
        <f t="shared" si="44"/>
        <v>#DIV/0!</v>
      </c>
      <c r="K81" s="23" t="e">
        <f t="shared" si="45"/>
        <v>#DIV/0!</v>
      </c>
      <c r="L81" s="23" t="str">
        <f t="shared" si="46"/>
        <v>0 ± 0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4.8733000000000001E-4</v>
      </c>
      <c r="C83" s="22">
        <v>1.1E-5</v>
      </c>
      <c r="D83" s="22">
        <f t="shared" si="38"/>
        <v>6.1588176205143973E-4</v>
      </c>
      <c r="E83" s="22">
        <f t="shared" si="39"/>
        <v>2.3349752861543194E-3</v>
      </c>
      <c r="F83" s="22">
        <f t="shared" si="40"/>
        <v>-1.3603152861543192E-3</v>
      </c>
      <c r="G83" s="22">
        <f t="shared" si="41"/>
        <v>126.37879097355791</v>
      </c>
      <c r="H83" s="22">
        <f t="shared" si="42"/>
        <v>1.1244411127720091E-4</v>
      </c>
      <c r="I83" s="22">
        <f t="shared" si="43"/>
        <v>2.2488822255440182E-4</v>
      </c>
      <c r="J83" s="22">
        <f t="shared" si="44"/>
        <v>46.147009737631954</v>
      </c>
      <c r="K83" s="23">
        <f t="shared" si="45"/>
        <v>2556</v>
      </c>
      <c r="L83" s="23" t="str">
        <f t="shared" si="46"/>
        <v>0,00048733 ± 0,001</v>
      </c>
    </row>
    <row r="84" spans="1:12" x14ac:dyDescent="0.25">
      <c r="A84" s="17" t="s">
        <v>64</v>
      </c>
      <c r="B84" s="22">
        <v>3.8986000000000001E-4</v>
      </c>
      <c r="C84" s="22">
        <v>8.2600000000000005E-6</v>
      </c>
      <c r="D84" s="22">
        <f t="shared" si="38"/>
        <v>5.3369240785952404E-4</v>
      </c>
      <c r="E84" s="22">
        <f t="shared" si="39"/>
        <v>1.9909372235785722E-3</v>
      </c>
      <c r="F84" s="22">
        <f t="shared" si="40"/>
        <v>-1.211217223578572E-3</v>
      </c>
      <c r="G84" s="22">
        <f t="shared" si="41"/>
        <v>136.89334834543786</v>
      </c>
      <c r="H84" s="22">
        <f t="shared" si="42"/>
        <v>9.7438456851302907E-5</v>
      </c>
      <c r="I84" s="22">
        <f t="shared" si="43"/>
        <v>1.9487691370260581E-4</v>
      </c>
      <c r="J84" s="22">
        <f t="shared" si="44"/>
        <v>49.986383240805878</v>
      </c>
      <c r="K84" s="23">
        <f t="shared" si="45"/>
        <v>2999</v>
      </c>
      <c r="L84" s="23" t="str">
        <f t="shared" si="46"/>
        <v>0,00038986 ± 0,001</v>
      </c>
    </row>
    <row r="85" spans="1:12" x14ac:dyDescent="0.25">
      <c r="A85" s="17" t="s">
        <v>65</v>
      </c>
      <c r="B85" s="22">
        <v>6.8230000000000002E-5</v>
      </c>
      <c r="C85" s="22">
        <v>4.5999999999999999E-7</v>
      </c>
      <c r="D85" s="22">
        <f t="shared" si="38"/>
        <v>1.2594470598448052E-4</v>
      </c>
      <c r="E85" s="22">
        <f t="shared" si="39"/>
        <v>4.4606411795344159E-4</v>
      </c>
      <c r="F85" s="22">
        <f t="shared" si="40"/>
        <v>-3.0960411795344156E-4</v>
      </c>
      <c r="G85" s="22">
        <f t="shared" si="41"/>
        <v>184.58845959912139</v>
      </c>
      <c r="H85" s="22">
        <f t="shared" si="42"/>
        <v>2.2994252155351958E-5</v>
      </c>
      <c r="I85" s="22">
        <f t="shared" si="43"/>
        <v>4.5988504310703916E-5</v>
      </c>
      <c r="J85" s="22">
        <f t="shared" si="44"/>
        <v>67.402175451713191</v>
      </c>
      <c r="K85" s="23">
        <f t="shared" si="45"/>
        <v>5452</v>
      </c>
      <c r="L85" s="23" t="str">
        <f t="shared" si="46"/>
        <v>0,00006823 ± 0,001</v>
      </c>
    </row>
    <row r="86" spans="1:12" x14ac:dyDescent="0.25">
      <c r="A86" s="17" t="s">
        <v>66</v>
      </c>
      <c r="B86" s="22">
        <v>1.6568999999999999E-4</v>
      </c>
      <c r="C86" s="22">
        <v>2.17E-6</v>
      </c>
      <c r="D86" s="22">
        <f t="shared" si="38"/>
        <v>2.7354631455550003E-4</v>
      </c>
      <c r="E86" s="22">
        <f t="shared" si="39"/>
        <v>9.8632894366650005E-4</v>
      </c>
      <c r="F86" s="22">
        <f t="shared" si="40"/>
        <v>-6.5494894366650001E-4</v>
      </c>
      <c r="G86" s="22">
        <f t="shared" si="41"/>
        <v>165.09524688001693</v>
      </c>
      <c r="H86" s="22">
        <f t="shared" si="42"/>
        <v>4.9942495668150375E-5</v>
      </c>
      <c r="I86" s="22">
        <f t="shared" si="43"/>
        <v>9.9884991336300749E-5</v>
      </c>
      <c r="J86" s="22">
        <f t="shared" si="44"/>
        <v>60.284260568713108</v>
      </c>
      <c r="K86" s="23">
        <f t="shared" si="45"/>
        <v>4362</v>
      </c>
      <c r="L86" s="23" t="str">
        <f t="shared" si="46"/>
        <v>0,00016569 ± 0,001</v>
      </c>
    </row>
    <row r="87" spans="1:12" x14ac:dyDescent="0.25">
      <c r="A87" s="17" t="s">
        <v>67</v>
      </c>
      <c r="B87" s="22">
        <v>8.5769999999999998E-4</v>
      </c>
      <c r="C87" s="22">
        <v>3.7270000000000001E-5</v>
      </c>
      <c r="D87" s="22">
        <f t="shared" si="38"/>
        <v>1.1336544507887327E-3</v>
      </c>
      <c r="E87" s="22">
        <f t="shared" si="39"/>
        <v>4.2586633523661981E-3</v>
      </c>
      <c r="F87" s="22">
        <f t="shared" si="40"/>
        <v>-2.5432633523661983E-3</v>
      </c>
      <c r="G87" s="22">
        <f t="shared" si="41"/>
        <v>132.17377297291978</v>
      </c>
      <c r="H87" s="22">
        <f t="shared" si="42"/>
        <v>2.0697603837103971E-4</v>
      </c>
      <c r="I87" s="22">
        <f t="shared" si="43"/>
        <v>4.1395207674207942E-4</v>
      </c>
      <c r="J87" s="22">
        <f t="shared" si="44"/>
        <v>48.26303797855654</v>
      </c>
      <c r="K87" s="23">
        <f t="shared" si="45"/>
        <v>2796</v>
      </c>
      <c r="L87" s="23" t="str">
        <f t="shared" si="46"/>
        <v>0,0008577 ± 0,001</v>
      </c>
    </row>
    <row r="88" spans="1:12" x14ac:dyDescent="0.25">
      <c r="A88" s="17" t="s">
        <v>68</v>
      </c>
      <c r="B88" s="22">
        <v>1.0039000000000001E-3</v>
      </c>
      <c r="C88" s="22">
        <v>4.1159999999999999E-5</v>
      </c>
      <c r="D88" s="22">
        <f t="shared" ref="D88" si="47">POWER(C88/($O$5-1),0.5)</f>
        <v>1.1913481207554684E-3</v>
      </c>
      <c r="E88" s="22">
        <f t="shared" ref="E88" si="48">B88+3*D88</f>
        <v>4.5779443622664057E-3</v>
      </c>
      <c r="F88" s="22">
        <f t="shared" ref="F88" si="49">B88-3*D88</f>
        <v>-2.5701443622664051E-3</v>
      </c>
      <c r="G88" s="22">
        <f t="shared" ref="G88" si="50">D88/B88*100</f>
        <v>118.67199130944002</v>
      </c>
      <c r="H88" s="22">
        <f t="shared" ref="H88" si="51">D88/POWER($O$5, 0.5)</f>
        <v>2.1750941319305286E-4</v>
      </c>
      <c r="I88" s="22">
        <f t="shared" ref="I88" si="52">H88*$P$5</f>
        <v>4.3501882638610572E-4</v>
      </c>
      <c r="J88" s="22">
        <f t="shared" ref="J88" si="53">I88/B88*100</f>
        <v>43.332884389491554</v>
      </c>
      <c r="K88" s="23">
        <f t="shared" ref="K88" si="54">ROUNDUP(POWER(G88*$P$5/$Q$5,2),0)</f>
        <v>2254</v>
      </c>
      <c r="L88" s="23" t="str">
        <f t="shared" ref="L88" si="55" xml:space="preserve"> B88 &amp; " ± " &amp; (ROUNDUP(I88, 3))</f>
        <v>0,0010039 ± 0,001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AC97-639E-4673-83E8-A99A53AEA686}">
  <dimension ref="A1:V88"/>
  <sheetViews>
    <sheetView topLeftCell="A69" workbookViewId="0">
      <selection activeCell="B91" sqref="B91:C91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9</v>
      </c>
      <c r="H1" s="25" t="s">
        <v>52</v>
      </c>
      <c r="I1" s="25" t="s">
        <v>53</v>
      </c>
      <c r="J1" s="25" t="s">
        <v>43</v>
      </c>
      <c r="K1" s="26" t="s">
        <v>5</v>
      </c>
      <c r="L1" s="26" t="s">
        <v>54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0</v>
      </c>
      <c r="C3" s="21">
        <v>0</v>
      </c>
      <c r="D3" s="21">
        <f t="shared" ref="D3:D8" si="0">POWER(C3/($O$5-1),0.5)</f>
        <v>0</v>
      </c>
      <c r="E3" s="21">
        <f t="shared" ref="E3:E8" si="1">B3+3*D3</f>
        <v>0</v>
      </c>
      <c r="F3" s="21">
        <f t="shared" ref="F3:F8" si="2">B3-3*D3</f>
        <v>0</v>
      </c>
      <c r="G3" s="21" t="e">
        <f t="shared" ref="G3:G8" si="3">D3/B3*100</f>
        <v>#DIV/0!</v>
      </c>
      <c r="H3" s="21">
        <f t="shared" ref="H3:H8" si="4">D3/POWER($O$5, 0.5)</f>
        <v>0</v>
      </c>
      <c r="I3" s="21">
        <f t="shared" ref="I3:I8" si="5">H3*$P$5</f>
        <v>0</v>
      </c>
      <c r="J3" s="21" t="e">
        <f t="shared" ref="J3:J8" si="6">I3/B3*100</f>
        <v>#DIV/0!</v>
      </c>
      <c r="K3" s="30" t="e">
        <f t="shared" ref="K3:K8" si="7">ROUNDUP(POWER(G3*$P$5/$Q$5,2),0)</f>
        <v>#DIV/0!</v>
      </c>
      <c r="L3" s="30" t="str">
        <f t="shared" ref="L3:L8" si="8" xml:space="preserve"> B3 &amp; " ± " &amp; (ROUNDUP(I3, 3))</f>
        <v>0 ± 0</v>
      </c>
    </row>
    <row r="4" spans="1:17" x14ac:dyDescent="0.25">
      <c r="A4" s="16">
        <f>A3+1</f>
        <v>2</v>
      </c>
      <c r="B4" s="22">
        <v>0</v>
      </c>
      <c r="C4" s="22">
        <v>0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>0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9.7499999999999998E-7</v>
      </c>
      <c r="C8" s="22">
        <v>0</v>
      </c>
      <c r="D8" s="22">
        <f t="shared" si="0"/>
        <v>0</v>
      </c>
      <c r="E8" s="22">
        <f t="shared" si="1"/>
        <v>9.7499999999999998E-7</v>
      </c>
      <c r="F8" s="22">
        <f t="shared" si="2"/>
        <v>9.7499999999999998E-7</v>
      </c>
      <c r="G8" s="22">
        <f t="shared" si="3"/>
        <v>0</v>
      </c>
      <c r="H8" s="22">
        <f t="shared" si="4"/>
        <v>0</v>
      </c>
      <c r="I8" s="22">
        <f t="shared" si="5"/>
        <v>0</v>
      </c>
      <c r="J8" s="22">
        <f t="shared" si="6"/>
        <v>0</v>
      </c>
      <c r="K8" s="23">
        <f t="shared" si="7"/>
        <v>0</v>
      </c>
      <c r="L8" s="23" t="str">
        <f t="shared" si="8"/>
        <v>0,000000975 ± 0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0</v>
      </c>
      <c r="C13" s="22">
        <v>0</v>
      </c>
      <c r="D13" s="22">
        <f t="shared" si="10"/>
        <v>0</v>
      </c>
      <c r="E13" s="22">
        <f t="shared" si="11"/>
        <v>0</v>
      </c>
      <c r="F13" s="22">
        <f t="shared" si="12"/>
        <v>0</v>
      </c>
      <c r="G13" s="22" t="e">
        <f t="shared" si="13"/>
        <v>#DIV/0!</v>
      </c>
      <c r="H13" s="22">
        <f t="shared" si="14"/>
        <v>0</v>
      </c>
      <c r="I13" s="22">
        <f t="shared" si="15"/>
        <v>0</v>
      </c>
      <c r="J13" s="22" t="e">
        <f t="shared" si="16"/>
        <v>#DIV/0!</v>
      </c>
      <c r="K13" s="23" t="e">
        <f t="shared" si="17"/>
        <v>#DIV/0!</v>
      </c>
      <c r="L13" s="23" t="str">
        <f t="shared" si="18"/>
        <v>0 ± 0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3.0214E-4</v>
      </c>
      <c r="C18" s="22">
        <v>2.3099999999999999E-6</v>
      </c>
      <c r="D18" s="22">
        <f t="shared" si="10"/>
        <v>2.8223247937435037E-4</v>
      </c>
      <c r="E18" s="22">
        <f t="shared" si="11"/>
        <v>1.1488374381230511E-3</v>
      </c>
      <c r="F18" s="22">
        <f t="shared" si="12"/>
        <v>-5.4455743812305106E-4</v>
      </c>
      <c r="G18" s="22">
        <f t="shared" si="13"/>
        <v>93.41116018215078</v>
      </c>
      <c r="H18" s="22">
        <f t="shared" si="14"/>
        <v>5.1528365137981075E-5</v>
      </c>
      <c r="I18" s="22">
        <f t="shared" si="15"/>
        <v>1.0305673027596215E-4</v>
      </c>
      <c r="J18" s="22">
        <f t="shared" si="16"/>
        <v>34.108933036328246</v>
      </c>
      <c r="K18" s="23">
        <f t="shared" si="17"/>
        <v>1397</v>
      </c>
      <c r="L18" s="23" t="str">
        <f t="shared" si="18"/>
        <v>0,00030214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9.747E-5</v>
      </c>
      <c r="C23" s="22">
        <v>7.4000000000000001E-7</v>
      </c>
      <c r="D23" s="22">
        <f t="shared" si="10"/>
        <v>1.5974116995724785E-4</v>
      </c>
      <c r="E23" s="22">
        <f t="shared" si="11"/>
        <v>5.7669350987174354E-4</v>
      </c>
      <c r="F23" s="22">
        <f t="shared" si="12"/>
        <v>-3.8175350987174354E-4</v>
      </c>
      <c r="G23" s="22">
        <f t="shared" si="13"/>
        <v>163.88752432260986</v>
      </c>
      <c r="H23" s="22">
        <f t="shared" si="14"/>
        <v>2.9164614049283731E-5</v>
      </c>
      <c r="I23" s="22">
        <f t="shared" si="15"/>
        <v>5.8329228098567463E-5</v>
      </c>
      <c r="J23" s="22">
        <f t="shared" si="16"/>
        <v>59.843262643446657</v>
      </c>
      <c r="K23" s="23">
        <f t="shared" si="17"/>
        <v>4298</v>
      </c>
      <c r="L23" s="23" t="str">
        <f t="shared" si="18"/>
        <v>0,00009747 ± 0,001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8.2846000000000005E-4</v>
      </c>
      <c r="C28" s="22">
        <v>2.8229999999999999E-5</v>
      </c>
      <c r="D28" s="22">
        <f t="shared" si="10"/>
        <v>9.8663482396582213E-4</v>
      </c>
      <c r="E28" s="22">
        <f t="shared" si="11"/>
        <v>3.7883644718974666E-3</v>
      </c>
      <c r="F28" s="22">
        <f t="shared" si="12"/>
        <v>-2.1314444718974665E-3</v>
      </c>
      <c r="G28" s="22">
        <f t="shared" si="13"/>
        <v>119.09263259129253</v>
      </c>
      <c r="H28" s="22">
        <f t="shared" si="14"/>
        <v>1.8013404970207314E-4</v>
      </c>
      <c r="I28" s="22">
        <f t="shared" si="15"/>
        <v>3.6026809940414628E-4</v>
      </c>
      <c r="J28" s="22">
        <f t="shared" si="16"/>
        <v>43.486480868617221</v>
      </c>
      <c r="K28" s="23">
        <f t="shared" si="17"/>
        <v>2270</v>
      </c>
      <c r="L28" s="23" t="str">
        <f t="shared" si="18"/>
        <v>0,00082846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1.6568999999999999E-4</v>
      </c>
      <c r="C33" s="22">
        <v>1.66E-6</v>
      </c>
      <c r="D33" s="22">
        <f t="shared" si="10"/>
        <v>2.3925170701657455E-4</v>
      </c>
      <c r="E33" s="22">
        <f t="shared" si="11"/>
        <v>8.8344512104972369E-4</v>
      </c>
      <c r="F33" s="22">
        <f t="shared" si="12"/>
        <v>-5.5206512104972365E-4</v>
      </c>
      <c r="G33" s="22">
        <f t="shared" si="13"/>
        <v>144.39719175362094</v>
      </c>
      <c r="H33" s="22">
        <f t="shared" si="14"/>
        <v>4.3681185618198299E-5</v>
      </c>
      <c r="I33" s="22">
        <f t="shared" si="15"/>
        <v>8.7362371236396599E-5</v>
      </c>
      <c r="J33" s="22">
        <f t="shared" si="16"/>
        <v>52.726399442571427</v>
      </c>
      <c r="K33" s="23">
        <f t="shared" si="17"/>
        <v>3337</v>
      </c>
      <c r="L33" s="23" t="str">
        <f t="shared" si="18"/>
        <v>0,00016569 ± 0,001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1.462E-3</v>
      </c>
      <c r="C38" s="22">
        <v>1.5E-6</v>
      </c>
      <c r="D38" s="22">
        <f t="shared" si="10"/>
        <v>2.2742941307367102E-4</v>
      </c>
      <c r="E38" s="22">
        <f t="shared" si="11"/>
        <v>2.1442882392210131E-3</v>
      </c>
      <c r="F38" s="22">
        <f t="shared" si="12"/>
        <v>7.7971176077898689E-4</v>
      </c>
      <c r="G38" s="22">
        <f t="shared" si="13"/>
        <v>15.556047405859852</v>
      </c>
      <c r="H38" s="22">
        <f t="shared" si="14"/>
        <v>4.1522739926869985E-5</v>
      </c>
      <c r="I38" s="22">
        <f t="shared" si="15"/>
        <v>8.304547985373997E-5</v>
      </c>
      <c r="J38" s="22">
        <f t="shared" si="16"/>
        <v>5.6802653798727754</v>
      </c>
      <c r="K38" s="23">
        <f t="shared" si="17"/>
        <v>39</v>
      </c>
      <c r="L38" s="23" t="str">
        <f t="shared" si="18"/>
        <v>0,001462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4.8730000000000003E-5</v>
      </c>
      <c r="C43" s="22">
        <v>3.5999999999999999E-7</v>
      </c>
      <c r="D43" s="22">
        <f t="shared" si="10"/>
        <v>1.1141720290623112E-4</v>
      </c>
      <c r="E43" s="22">
        <f t="shared" si="11"/>
        <v>3.829816087186933E-4</v>
      </c>
      <c r="F43" s="22">
        <f t="shared" si="12"/>
        <v>-2.8552160871869335E-4</v>
      </c>
      <c r="G43" s="22">
        <f t="shared" si="13"/>
        <v>228.64191033497048</v>
      </c>
      <c r="H43" s="22">
        <f t="shared" si="14"/>
        <v>2.0341905108624311E-5</v>
      </c>
      <c r="I43" s="22">
        <f t="shared" si="15"/>
        <v>4.0683810217248622E-5</v>
      </c>
      <c r="J43" s="22">
        <f t="shared" si="16"/>
        <v>83.488221254357924</v>
      </c>
      <c r="K43" s="23">
        <f t="shared" si="17"/>
        <v>8365</v>
      </c>
      <c r="L43" s="23" t="str">
        <f t="shared" si="18"/>
        <v>0,00004873 ± 0,001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2.1442E-4</v>
      </c>
      <c r="C48" s="22">
        <v>1.8700000000000001E-6</v>
      </c>
      <c r="D48" s="22">
        <f t="shared" si="10"/>
        <v>2.5393455578296087E-4</v>
      </c>
      <c r="E48" s="22">
        <f t="shared" si="11"/>
        <v>9.7622366734888266E-4</v>
      </c>
      <c r="F48" s="22">
        <f t="shared" si="12"/>
        <v>-5.4738366734888267E-4</v>
      </c>
      <c r="G48" s="22">
        <f t="shared" si="13"/>
        <v>118.42857745684212</v>
      </c>
      <c r="H48" s="22">
        <f t="shared" si="14"/>
        <v>4.6361894777460532E-5</v>
      </c>
      <c r="I48" s="22">
        <f t="shared" si="15"/>
        <v>9.2723789554921063E-5</v>
      </c>
      <c r="J48" s="22">
        <f t="shared" si="16"/>
        <v>43.244002217573488</v>
      </c>
      <c r="K48" s="23">
        <f t="shared" si="17"/>
        <v>2245</v>
      </c>
      <c r="L48" s="23" t="str">
        <f t="shared" si="18"/>
        <v>0,00021442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3.0214E-4</v>
      </c>
      <c r="C53" s="22">
        <v>3.3299999999999999E-6</v>
      </c>
      <c r="D53" s="22">
        <f t="shared" si="10"/>
        <v>3.3886219353432826E-4</v>
      </c>
      <c r="E53" s="22">
        <f t="shared" si="11"/>
        <v>1.3187265806029848E-3</v>
      </c>
      <c r="F53" s="22">
        <f t="shared" si="12"/>
        <v>-7.1444658060298484E-4</v>
      </c>
      <c r="G53" s="22">
        <f t="shared" si="13"/>
        <v>112.15403241355936</v>
      </c>
      <c r="H53" s="22">
        <f t="shared" si="14"/>
        <v>6.1867489094810953E-5</v>
      </c>
      <c r="I53" s="22">
        <f t="shared" si="15"/>
        <v>1.2373497818962191E-4</v>
      </c>
      <c r="J53" s="22">
        <f t="shared" si="16"/>
        <v>40.952862312048026</v>
      </c>
      <c r="K53" s="23">
        <f t="shared" si="17"/>
        <v>2013</v>
      </c>
      <c r="L53" s="23" t="str">
        <f t="shared" si="18"/>
        <v>0,00030214 ± 0,001</v>
      </c>
    </row>
    <row r="54" spans="1:12" x14ac:dyDescent="0.25">
      <c r="A54" s="17">
        <f t="shared" si="9"/>
        <v>52</v>
      </c>
      <c r="B54" s="22">
        <v>1.3645000000000001E-4</v>
      </c>
      <c r="C54" s="22">
        <v>1.84E-6</v>
      </c>
      <c r="D54" s="22">
        <f t="shared" si="10"/>
        <v>2.5188941196896105E-4</v>
      </c>
      <c r="E54" s="22">
        <f t="shared" si="11"/>
        <v>8.9211823590688312E-4</v>
      </c>
      <c r="F54" s="22">
        <f t="shared" si="12"/>
        <v>-6.1921823590688316E-4</v>
      </c>
      <c r="G54" s="22">
        <f t="shared" si="13"/>
        <v>184.60198751847639</v>
      </c>
      <c r="H54" s="22">
        <f t="shared" si="14"/>
        <v>4.5988504310703916E-5</v>
      </c>
      <c r="I54" s="22">
        <f t="shared" si="15"/>
        <v>9.1977008621407831E-5</v>
      </c>
      <c r="J54" s="22">
        <f t="shared" si="16"/>
        <v>67.407115149437757</v>
      </c>
      <c r="K54" s="23">
        <f t="shared" si="17"/>
        <v>5453</v>
      </c>
      <c r="L54" s="23" t="str">
        <f t="shared" si="18"/>
        <v>0,00013645 ± 0,001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B56" s="36"/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3.9961E-4</v>
      </c>
      <c r="C58" s="22">
        <v>4.0199999999999996E-6</v>
      </c>
      <c r="D58" s="22">
        <f t="shared" si="10"/>
        <v>3.723179953415795E-4</v>
      </c>
      <c r="E58" s="22">
        <f t="shared" si="11"/>
        <v>1.5165639860247383E-3</v>
      </c>
      <c r="F58" s="22">
        <f t="shared" si="12"/>
        <v>-7.1734398602473837E-4</v>
      </c>
      <c r="G58" s="22">
        <f t="shared" si="13"/>
        <v>93.170339916813774</v>
      </c>
      <c r="H58" s="22">
        <f t="shared" si="14"/>
        <v>6.7975654871228817E-5</v>
      </c>
      <c r="I58" s="22">
        <f t="shared" si="15"/>
        <v>1.3595130974245763E-4</v>
      </c>
      <c r="J58" s="22">
        <f t="shared" si="16"/>
        <v>34.020997908575268</v>
      </c>
      <c r="K58" s="23">
        <f t="shared" si="17"/>
        <v>1389</v>
      </c>
      <c r="L58" s="23" t="str">
        <f t="shared" si="18"/>
        <v>0,00039961 ± 0,001</v>
      </c>
    </row>
    <row r="59" spans="1:12" x14ac:dyDescent="0.25">
      <c r="A59" s="17">
        <f t="shared" si="9"/>
        <v>57</v>
      </c>
      <c r="B59" s="22">
        <v>3.9961E-4</v>
      </c>
      <c r="C59" s="22">
        <v>5.04E-6</v>
      </c>
      <c r="D59" s="22">
        <f t="shared" si="10"/>
        <v>4.168850002677907E-4</v>
      </c>
      <c r="E59" s="22">
        <f t="shared" si="11"/>
        <v>1.6502650008033723E-3</v>
      </c>
      <c r="F59" s="22">
        <f t="shared" si="12"/>
        <v>-8.5104500080337216E-4</v>
      </c>
      <c r="G59" s="22">
        <f t="shared" si="13"/>
        <v>104.32296495778151</v>
      </c>
      <c r="H59" s="22">
        <f t="shared" si="14"/>
        <v>7.6112439510738722E-5</v>
      </c>
      <c r="I59" s="22">
        <f t="shared" si="15"/>
        <v>1.5222487902147744E-4</v>
      </c>
      <c r="J59" s="22">
        <f t="shared" si="16"/>
        <v>38.093360782131938</v>
      </c>
      <c r="K59" s="23">
        <f t="shared" si="17"/>
        <v>1742</v>
      </c>
      <c r="L59" s="23" t="str">
        <f t="shared" si="18"/>
        <v>0,00039961 ± 0,001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1.1696000000000001E-4</v>
      </c>
      <c r="C63" s="22">
        <v>1.3E-6</v>
      </c>
      <c r="D63" s="22">
        <f t="shared" si="10"/>
        <v>2.1172526114494831E-4</v>
      </c>
      <c r="E63" s="22">
        <f t="shared" si="11"/>
        <v>7.5213578343484501E-4</v>
      </c>
      <c r="F63" s="22">
        <f t="shared" si="12"/>
        <v>-5.1821578343484492E-4</v>
      </c>
      <c r="G63" s="22">
        <f t="shared" si="13"/>
        <v>181.0236500897301</v>
      </c>
      <c r="H63" s="22">
        <f t="shared" si="14"/>
        <v>3.865556717425342E-5</v>
      </c>
      <c r="I63" s="22">
        <f t="shared" si="15"/>
        <v>7.731113434850684E-5</v>
      </c>
      <c r="J63" s="22">
        <f t="shared" si="16"/>
        <v>66.100491064044832</v>
      </c>
      <c r="K63" s="23">
        <f t="shared" si="17"/>
        <v>5244</v>
      </c>
      <c r="L63" s="23" t="str">
        <f t="shared" si="18"/>
        <v>0,00011696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3.7037000000000002E-4</v>
      </c>
      <c r="C68" s="22">
        <v>3.7500000000000001E-6</v>
      </c>
      <c r="D68" s="22">
        <f t="shared" si="10"/>
        <v>3.5959747611403808E-4</v>
      </c>
      <c r="E68" s="22">
        <f t="shared" si="11"/>
        <v>1.4491624283421143E-3</v>
      </c>
      <c r="F68" s="22">
        <f t="shared" si="12"/>
        <v>-7.0842242834211417E-4</v>
      </c>
      <c r="G68" s="22">
        <f t="shared" si="13"/>
        <v>97.091415642205916</v>
      </c>
      <c r="H68" s="22">
        <f t="shared" si="14"/>
        <v>6.5653216429861273E-5</v>
      </c>
      <c r="I68" s="22">
        <f t="shared" si="15"/>
        <v>1.3130643285972255E-4</v>
      </c>
      <c r="J68" s="22">
        <f t="shared" si="16"/>
        <v>35.45277232489741</v>
      </c>
      <c r="K68" s="23">
        <f t="shared" si="17"/>
        <v>1509</v>
      </c>
      <c r="L68" s="23" t="str">
        <f t="shared" si="18"/>
        <v>0,00037037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3.1189E-4</v>
      </c>
      <c r="C73" s="22">
        <v>4.0899999999999998E-6</v>
      </c>
      <c r="D73" s="22">
        <f t="shared" ref="D73:D78" si="20">POWER(C73/($O$5-1),0.5)</f>
        <v>3.7554558013458325E-4</v>
      </c>
      <c r="E73" s="22">
        <f t="shared" ref="E73:E78" si="21">B73+3*D73</f>
        <v>1.4385267404037497E-3</v>
      </c>
      <c r="F73" s="22">
        <f t="shared" ref="F73:F78" si="22">B73-3*D73</f>
        <v>-8.1474674040374969E-4</v>
      </c>
      <c r="G73" s="22">
        <f t="shared" ref="G73:G78" si="23">D73/B73*100</f>
        <v>120.40962523151858</v>
      </c>
      <c r="H73" s="22">
        <f t="shared" ref="H73:H78" si="24">D73/POWER($O$5, 0.5)</f>
        <v>6.8564928537025077E-5</v>
      </c>
      <c r="I73" s="22">
        <f t="shared" ref="I73:I78" si="25">H73*$P$5</f>
        <v>1.3712985707405015E-4</v>
      </c>
      <c r="J73" s="22">
        <f t="shared" ref="J73:J78" si="26">I73/B73*100</f>
        <v>43.967378586697279</v>
      </c>
      <c r="K73" s="23">
        <f t="shared" ref="K73:K78" si="27">ROUNDUP(POWER(G73*$P$5/$Q$5,2),0)</f>
        <v>2320</v>
      </c>
      <c r="L73" s="23" t="str">
        <f t="shared" ref="L73:L78" si="28" xml:space="preserve"> B73 &amp; " ± " &amp; (ROUNDUP(I73, 3))</f>
        <v>0,00031189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3.8986000000000001E-4</v>
      </c>
      <c r="C78" s="22">
        <v>5.5300000000000004E-6</v>
      </c>
      <c r="D78" s="22">
        <f t="shared" si="20"/>
        <v>4.3668026652507875E-4</v>
      </c>
      <c r="E78" s="22">
        <f t="shared" si="21"/>
        <v>1.6999007995752362E-3</v>
      </c>
      <c r="F78" s="22">
        <f t="shared" si="22"/>
        <v>-9.2018079957523625E-4</v>
      </c>
      <c r="G78" s="22">
        <f t="shared" si="23"/>
        <v>112.00950765020232</v>
      </c>
      <c r="H78" s="22">
        <f t="shared" si="24"/>
        <v>7.972654413105124E-5</v>
      </c>
      <c r="I78" s="22">
        <f t="shared" si="25"/>
        <v>1.5945308826210248E-4</v>
      </c>
      <c r="J78" s="22">
        <f t="shared" si="26"/>
        <v>40.900089330042192</v>
      </c>
      <c r="K78" s="23">
        <f t="shared" si="27"/>
        <v>2008</v>
      </c>
      <c r="L78" s="23" t="str">
        <f t="shared" si="28"/>
        <v>0,00038986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9.7499999999999998E-6</v>
      </c>
      <c r="C81" s="22">
        <v>8.0000000000000002E-8</v>
      </c>
      <c r="D81" s="22">
        <f t="shared" si="38"/>
        <v>5.2522573143889021E-5</v>
      </c>
      <c r="E81" s="22">
        <f t="shared" si="39"/>
        <v>1.6731771943166707E-4</v>
      </c>
      <c r="F81" s="22">
        <f t="shared" si="40"/>
        <v>-1.4781771943166708E-4</v>
      </c>
      <c r="G81" s="22">
        <f t="shared" si="41"/>
        <v>538.69305788604129</v>
      </c>
      <c r="H81" s="22">
        <f t="shared" si="42"/>
        <v>9.5892660297076818E-6</v>
      </c>
      <c r="I81" s="22">
        <f t="shared" si="43"/>
        <v>1.9178532059415364E-5</v>
      </c>
      <c r="J81" s="22">
        <f t="shared" si="44"/>
        <v>196.70289291708065</v>
      </c>
      <c r="K81" s="23">
        <f t="shared" si="45"/>
        <v>46431</v>
      </c>
      <c r="L81" s="23" t="str">
        <f t="shared" si="46"/>
        <v>0,00000975 ± 0,001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1.57895E-3</v>
      </c>
      <c r="C83" s="22">
        <v>9.1240000000000001E-5</v>
      </c>
      <c r="D83" s="22">
        <f t="shared" si="38"/>
        <v>1.7737550272097114E-3</v>
      </c>
      <c r="E83" s="22">
        <f t="shared" si="39"/>
        <v>6.9002150816291343E-3</v>
      </c>
      <c r="F83" s="22">
        <f t="shared" si="40"/>
        <v>-3.7423150816291344E-3</v>
      </c>
      <c r="G83" s="22">
        <f t="shared" si="41"/>
        <v>112.33763116056312</v>
      </c>
      <c r="H83" s="22">
        <f t="shared" si="42"/>
        <v>3.2384187996364953E-4</v>
      </c>
      <c r="I83" s="22">
        <f t="shared" si="43"/>
        <v>6.4768375992729907E-4</v>
      </c>
      <c r="J83" s="22">
        <f t="shared" si="44"/>
        <v>41.019903095557112</v>
      </c>
      <c r="K83" s="23">
        <f t="shared" si="45"/>
        <v>2020</v>
      </c>
      <c r="L83" s="23" t="str">
        <f t="shared" si="46"/>
        <v>0,00157895 ± 0,001</v>
      </c>
    </row>
    <row r="84" spans="1:12" x14ac:dyDescent="0.25">
      <c r="A84" s="17" t="s">
        <v>64</v>
      </c>
      <c r="B84" s="22">
        <v>1.8128700000000001E-3</v>
      </c>
      <c r="C84" s="22">
        <v>7.1710000000000003E-5</v>
      </c>
      <c r="D84" s="22">
        <f t="shared" si="38"/>
        <v>1.572500753796212E-3</v>
      </c>
      <c r="E84" s="22">
        <f t="shared" si="39"/>
        <v>6.530372261388636E-3</v>
      </c>
      <c r="F84" s="22">
        <f t="shared" si="40"/>
        <v>-2.9046322613886354E-3</v>
      </c>
      <c r="G84" s="22">
        <f t="shared" si="41"/>
        <v>86.740955159289527</v>
      </c>
      <c r="H84" s="22">
        <f t="shared" si="42"/>
        <v>2.8709804484935427E-4</v>
      </c>
      <c r="I84" s="22">
        <f t="shared" si="43"/>
        <v>5.7419608969870855E-4</v>
      </c>
      <c r="J84" s="22">
        <f t="shared" si="44"/>
        <v>31.673318533524665</v>
      </c>
      <c r="K84" s="23">
        <f t="shared" si="45"/>
        <v>1204</v>
      </c>
      <c r="L84" s="23" t="str">
        <f t="shared" si="46"/>
        <v>0,00181287 ± 0,001</v>
      </c>
    </row>
    <row r="85" spans="1:12" x14ac:dyDescent="0.25">
      <c r="A85" s="17" t="s">
        <v>65</v>
      </c>
      <c r="B85" s="22">
        <v>4.2884999999999999E-4</v>
      </c>
      <c r="C85" s="22">
        <v>7.1400000000000002E-6</v>
      </c>
      <c r="D85" s="22">
        <f t="shared" si="38"/>
        <v>4.9619239872424905E-4</v>
      </c>
      <c r="E85" s="22">
        <f t="shared" si="39"/>
        <v>1.9174271961727471E-3</v>
      </c>
      <c r="F85" s="22">
        <f t="shared" si="40"/>
        <v>-1.0597271961727472E-3</v>
      </c>
      <c r="G85" s="22">
        <f t="shared" si="41"/>
        <v>115.70301940637731</v>
      </c>
      <c r="H85" s="22">
        <f t="shared" si="42"/>
        <v>9.0591923214622942E-5</v>
      </c>
      <c r="I85" s="22">
        <f t="shared" si="43"/>
        <v>1.8118384642924588E-4</v>
      </c>
      <c r="J85" s="22">
        <f t="shared" si="44"/>
        <v>42.2487691335539</v>
      </c>
      <c r="K85" s="23">
        <f t="shared" si="45"/>
        <v>2142</v>
      </c>
      <c r="L85" s="23" t="str">
        <f t="shared" si="46"/>
        <v>0,00042885 ± 0,001</v>
      </c>
    </row>
    <row r="86" spans="1:12" x14ac:dyDescent="0.25">
      <c r="A86" s="17" t="s">
        <v>66</v>
      </c>
      <c r="B86" s="22">
        <v>5.9453999999999996E-4</v>
      </c>
      <c r="C86" s="22">
        <v>1.393E-5</v>
      </c>
      <c r="D86" s="22">
        <f t="shared" si="38"/>
        <v>6.9306913622394623E-4</v>
      </c>
      <c r="E86" s="22">
        <f t="shared" si="39"/>
        <v>2.6737474086718383E-3</v>
      </c>
      <c r="F86" s="22">
        <f t="shared" si="40"/>
        <v>-1.4846674086718386E-3</v>
      </c>
      <c r="G86" s="22">
        <f t="shared" si="41"/>
        <v>116.57233091532046</v>
      </c>
      <c r="H86" s="22">
        <f t="shared" si="42"/>
        <v>1.2653653327349205E-4</v>
      </c>
      <c r="I86" s="22">
        <f t="shared" si="43"/>
        <v>2.530730665469841E-4</v>
      </c>
      <c r="J86" s="22">
        <f t="shared" si="44"/>
        <v>42.566196815518573</v>
      </c>
      <c r="K86" s="23">
        <f t="shared" si="45"/>
        <v>2175</v>
      </c>
      <c r="L86" s="23" t="str">
        <f t="shared" si="46"/>
        <v>0,00059454 ± 0,001</v>
      </c>
    </row>
    <row r="87" spans="1:12" x14ac:dyDescent="0.25">
      <c r="A87" s="17" t="s">
        <v>67</v>
      </c>
      <c r="B87" s="22">
        <v>2.6705700000000001E-3</v>
      </c>
      <c r="C87" s="22">
        <v>1.7881E-4</v>
      </c>
      <c r="D87" s="22">
        <f t="shared" si="38"/>
        <v>2.4831153958214504E-3</v>
      </c>
      <c r="E87" s="22">
        <f t="shared" si="39"/>
        <v>1.0119916187464351E-2</v>
      </c>
      <c r="F87" s="22">
        <f t="shared" si="40"/>
        <v>-4.7787761874643515E-3</v>
      </c>
      <c r="G87" s="22">
        <f t="shared" si="41"/>
        <v>92.980726804444373</v>
      </c>
      <c r="H87" s="22">
        <f t="shared" si="42"/>
        <v>4.5335277172659253E-4</v>
      </c>
      <c r="I87" s="22">
        <f t="shared" si="43"/>
        <v>9.0670554345318507E-4</v>
      </c>
      <c r="J87" s="22">
        <f t="shared" si="44"/>
        <v>33.951760989346283</v>
      </c>
      <c r="K87" s="23">
        <f t="shared" si="45"/>
        <v>1384</v>
      </c>
      <c r="L87" s="23" t="str">
        <f t="shared" si="46"/>
        <v>0,00267057 ± 0,001</v>
      </c>
    </row>
    <row r="88" spans="1:12" x14ac:dyDescent="0.25">
      <c r="A88" s="17" t="s">
        <v>68</v>
      </c>
      <c r="B88" s="22">
        <v>2.40741E-3</v>
      </c>
      <c r="C88" s="22">
        <v>2.0411E-4</v>
      </c>
      <c r="D88" s="22">
        <f t="shared" ref="D88" si="47">POWER(C88/($O$5-1),0.5)</f>
        <v>2.652974907922984E-3</v>
      </c>
      <c r="E88" s="22">
        <f t="shared" ref="E88" si="48">B88+3*D88</f>
        <v>1.0366334723768952E-2</v>
      </c>
      <c r="F88" s="22">
        <f t="shared" ref="F88" si="49">B88-3*D88</f>
        <v>-5.5515147237689515E-3</v>
      </c>
      <c r="G88" s="22">
        <f t="shared" ref="G88" si="50">D88/B88*100</f>
        <v>110.20037749793279</v>
      </c>
      <c r="H88" s="22">
        <f t="shared" ref="H88" si="51">D88/POWER($O$5, 0.5)</f>
        <v>4.8436473385486976E-4</v>
      </c>
      <c r="I88" s="22">
        <f t="shared" ref="I88" si="52">H88*$P$5</f>
        <v>9.6872946770973952E-4</v>
      </c>
      <c r="J88" s="22">
        <f t="shared" ref="J88" si="53">I88/B88*100</f>
        <v>40.239488400801669</v>
      </c>
      <c r="K88" s="23">
        <f t="shared" ref="K88" si="54">ROUNDUP(POWER(G88*$P$5/$Q$5,2),0)</f>
        <v>1944</v>
      </c>
      <c r="L88" s="23" t="str">
        <f t="shared" ref="L88" si="55" xml:space="preserve"> B88 &amp; " ± " &amp; (ROUNDUP(I88, 3))</f>
        <v>0,00240741 ± 0,001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E98E-D824-4904-B6FA-B5AA3B914BC7}">
  <dimension ref="A1:V88"/>
  <sheetViews>
    <sheetView topLeftCell="A60" workbookViewId="0">
      <selection activeCell="C89" sqref="C89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48</v>
      </c>
      <c r="D1" s="25" t="s">
        <v>49</v>
      </c>
      <c r="E1" s="25" t="s">
        <v>56</v>
      </c>
      <c r="F1" s="25" t="s">
        <v>57</v>
      </c>
      <c r="G1" s="25" t="s">
        <v>9</v>
      </c>
      <c r="H1" s="25" t="s">
        <v>58</v>
      </c>
      <c r="I1" s="25" t="s">
        <v>53</v>
      </c>
      <c r="J1" s="25" t="s">
        <v>43</v>
      </c>
      <c r="K1" s="26" t="s">
        <v>5</v>
      </c>
      <c r="L1" s="26" t="s">
        <v>59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9.7499999999999998E-6</v>
      </c>
      <c r="C3" s="21">
        <v>8.0000000000000002E-8</v>
      </c>
      <c r="D3" s="21">
        <f t="shared" ref="D3:D8" si="0">POWER(C3/($O$5-1),0.5)</f>
        <v>5.2522573143889021E-5</v>
      </c>
      <c r="E3" s="21">
        <f t="shared" ref="E3:E8" si="1">B3+3*D3</f>
        <v>1.6731771943166707E-4</v>
      </c>
      <c r="F3" s="21">
        <f t="shared" ref="F3:F8" si="2">B3-3*D3</f>
        <v>-1.4781771943166708E-4</v>
      </c>
      <c r="G3" s="21">
        <f t="shared" ref="G3:G8" si="3">D3/B3*100</f>
        <v>538.69305788604129</v>
      </c>
      <c r="H3" s="21">
        <f t="shared" ref="H3:H8" si="4">D3/POWER($O$5, 0.5)</f>
        <v>9.5892660297076818E-6</v>
      </c>
      <c r="I3" s="21">
        <f t="shared" ref="I3:I8" si="5">H3*$P$5</f>
        <v>1.9178532059415364E-5</v>
      </c>
      <c r="J3" s="21">
        <f t="shared" ref="J3:J8" si="6">I3/B3*100</f>
        <v>196.70289291708065</v>
      </c>
      <c r="K3" s="30">
        <f t="shared" ref="K3:K8" si="7">ROUNDUP(POWER(G3*$P$5/$Q$5,2),0)</f>
        <v>46431</v>
      </c>
      <c r="L3" s="30" t="str">
        <f t="shared" ref="L3:L8" si="8" xml:space="preserve"> B3 &amp; " ± " &amp; (ROUNDUP(I3, 3))</f>
        <v>0,00000975 ± 0,001</v>
      </c>
    </row>
    <row r="4" spans="1:17" x14ac:dyDescent="0.25">
      <c r="A4" s="16">
        <f>A3+1</f>
        <v>2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3.8989999999999999E-4</v>
      </c>
      <c r="C8" s="22">
        <v>6.4000000000000001E-7</v>
      </c>
      <c r="D8" s="22">
        <f t="shared" si="0"/>
        <v>1.4855627054164149E-4</v>
      </c>
      <c r="E8" s="22">
        <f t="shared" si="1"/>
        <v>8.3556881162492446E-4</v>
      </c>
      <c r="F8" s="22">
        <f t="shared" si="2"/>
        <v>-5.576881162492448E-5</v>
      </c>
      <c r="G8" s="22">
        <f t="shared" si="3"/>
        <v>38.101120939123234</v>
      </c>
      <c r="H8" s="22">
        <f t="shared" si="4"/>
        <v>2.7122540144832415E-5</v>
      </c>
      <c r="I8" s="22">
        <f t="shared" si="5"/>
        <v>5.4245080289664829E-5</v>
      </c>
      <c r="J8" s="22">
        <f t="shared" si="6"/>
        <v>13.912562269726811</v>
      </c>
      <c r="K8" s="23">
        <f t="shared" si="7"/>
        <v>233</v>
      </c>
      <c r="L8" s="23" t="str">
        <f t="shared" si="8"/>
        <v>0,0003899 ± 0,001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1.9490000000000001E-5</v>
      </c>
      <c r="C13" s="22">
        <v>3.3000000000000002E-7</v>
      </c>
      <c r="D13" s="22">
        <f t="shared" si="10"/>
        <v>1.0667385033281393E-4</v>
      </c>
      <c r="E13" s="22">
        <f t="shared" si="11"/>
        <v>3.3951155099844177E-4</v>
      </c>
      <c r="F13" s="22">
        <f t="shared" si="12"/>
        <v>-3.0053155099844179E-4</v>
      </c>
      <c r="G13" s="22">
        <f t="shared" si="13"/>
        <v>547.3260663561515</v>
      </c>
      <c r="H13" s="22">
        <f t="shared" si="14"/>
        <v>1.9475891374404053E-5</v>
      </c>
      <c r="I13" s="22">
        <f t="shared" si="15"/>
        <v>3.8951782748808106E-5</v>
      </c>
      <c r="J13" s="22">
        <f t="shared" si="16"/>
        <v>199.85522190255568</v>
      </c>
      <c r="K13" s="23">
        <f t="shared" si="17"/>
        <v>47931</v>
      </c>
      <c r="L13" s="23" t="str">
        <f t="shared" si="18"/>
        <v>0,00001949 ± 0,001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1.462E-4</v>
      </c>
      <c r="C18" s="22">
        <v>1.5E-6</v>
      </c>
      <c r="D18" s="22">
        <f t="shared" si="10"/>
        <v>2.2742941307367102E-4</v>
      </c>
      <c r="E18" s="22">
        <f t="shared" si="11"/>
        <v>8.2848823922101306E-4</v>
      </c>
      <c r="F18" s="22">
        <f t="shared" si="12"/>
        <v>-5.3608823922101311E-4</v>
      </c>
      <c r="G18" s="22">
        <f t="shared" si="13"/>
        <v>155.56047405859849</v>
      </c>
      <c r="H18" s="22">
        <f t="shared" si="14"/>
        <v>4.1522739926869985E-5</v>
      </c>
      <c r="I18" s="22">
        <f t="shared" si="15"/>
        <v>8.304547985373997E-5</v>
      </c>
      <c r="J18" s="22">
        <f t="shared" si="16"/>
        <v>56.802653798727754</v>
      </c>
      <c r="K18" s="23">
        <f t="shared" si="17"/>
        <v>3872</v>
      </c>
      <c r="L18" s="23" t="str">
        <f t="shared" si="18"/>
        <v>0,0001462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ht="15.75" customHeight="1" x14ac:dyDescent="0.25">
      <c r="A23" s="17">
        <f t="shared" si="9"/>
        <v>21</v>
      </c>
      <c r="B23" s="22">
        <v>5.8480000000000003E-5</v>
      </c>
      <c r="C23" s="22">
        <v>5.7999999999999995E-7</v>
      </c>
      <c r="D23" s="22">
        <f t="shared" si="10"/>
        <v>1.4142135623730951E-4</v>
      </c>
      <c r="E23" s="22">
        <f t="shared" si="11"/>
        <v>4.8274406871192857E-4</v>
      </c>
      <c r="F23" s="22">
        <f t="shared" si="12"/>
        <v>-3.6578406871192853E-4</v>
      </c>
      <c r="G23" s="22">
        <f t="shared" si="13"/>
        <v>241.82858453712294</v>
      </c>
      <c r="H23" s="22">
        <f t="shared" si="14"/>
        <v>2.5819888974716114E-5</v>
      </c>
      <c r="I23" s="22">
        <f t="shared" si="15"/>
        <v>5.1639777949432228E-5</v>
      </c>
      <c r="J23" s="22">
        <f t="shared" si="16"/>
        <v>88.303313867018176</v>
      </c>
      <c r="K23" s="23">
        <f t="shared" si="17"/>
        <v>9357</v>
      </c>
      <c r="L23" s="23" t="str">
        <f t="shared" si="18"/>
        <v>0,00005848 ± 0,001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7.7972999999999996E-4</v>
      </c>
      <c r="C28" s="22">
        <v>1.6990000000000002E-5</v>
      </c>
      <c r="D28" s="22">
        <f t="shared" si="10"/>
        <v>7.6541627168849591E-4</v>
      </c>
      <c r="E28" s="22">
        <f t="shared" si="11"/>
        <v>3.0759788150654874E-3</v>
      </c>
      <c r="F28" s="22">
        <f t="shared" si="12"/>
        <v>-1.5165188150654877E-3</v>
      </c>
      <c r="G28" s="22">
        <f t="shared" si="13"/>
        <v>98.164271182139444</v>
      </c>
      <c r="H28" s="22">
        <f t="shared" si="14"/>
        <v>1.3974525262843069E-4</v>
      </c>
      <c r="I28" s="22">
        <f t="shared" si="15"/>
        <v>2.7949050525686138E-4</v>
      </c>
      <c r="J28" s="22">
        <f t="shared" si="16"/>
        <v>35.844523778341397</v>
      </c>
      <c r="K28" s="23">
        <f t="shared" si="17"/>
        <v>1542</v>
      </c>
      <c r="L28" s="23" t="str">
        <f t="shared" si="18"/>
        <v>0,00077973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1.3645000000000001E-4</v>
      </c>
      <c r="C33" s="22">
        <v>1.4899999999999999E-6</v>
      </c>
      <c r="D33" s="22">
        <f t="shared" si="10"/>
        <v>2.2667004730406615E-4</v>
      </c>
      <c r="E33" s="22">
        <f t="shared" si="11"/>
        <v>8.1646014191219844E-4</v>
      </c>
      <c r="F33" s="22">
        <f t="shared" si="12"/>
        <v>-5.4356014191219847E-4</v>
      </c>
      <c r="G33" s="22">
        <f t="shared" si="13"/>
        <v>166.11949234449699</v>
      </c>
      <c r="H33" s="22">
        <f t="shared" si="14"/>
        <v>4.1384099339733368E-5</v>
      </c>
      <c r="I33" s="22">
        <f t="shared" si="15"/>
        <v>8.2768198679466736E-5</v>
      </c>
      <c r="J33" s="22">
        <f t="shared" si="16"/>
        <v>60.6582621322585</v>
      </c>
      <c r="K33" s="23">
        <f t="shared" si="17"/>
        <v>4416</v>
      </c>
      <c r="L33" s="23" t="str">
        <f t="shared" si="18"/>
        <v>0,00013645 ± 0,001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1.7543999999999999E-4</v>
      </c>
      <c r="C38" s="22">
        <v>1.4699999999999999E-6</v>
      </c>
      <c r="D38" s="22">
        <f t="shared" si="10"/>
        <v>2.2514363231593691E-4</v>
      </c>
      <c r="E38" s="22">
        <f t="shared" si="11"/>
        <v>8.5087089694781072E-4</v>
      </c>
      <c r="F38" s="22">
        <f t="shared" si="12"/>
        <v>-4.9999089694781069E-4</v>
      </c>
      <c r="G38" s="22">
        <f t="shared" si="13"/>
        <v>128.33084377333387</v>
      </c>
      <c r="H38" s="22">
        <f t="shared" si="14"/>
        <v>4.1105415366029244E-5</v>
      </c>
      <c r="I38" s="22">
        <f t="shared" si="15"/>
        <v>8.2210830732058488E-5</v>
      </c>
      <c r="J38" s="22">
        <f t="shared" si="16"/>
        <v>46.859798638884229</v>
      </c>
      <c r="K38" s="23">
        <f t="shared" si="17"/>
        <v>2636</v>
      </c>
      <c r="L38" s="23" t="str">
        <f t="shared" si="18"/>
        <v>0,00017544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9.747E-5</v>
      </c>
      <c r="C43" s="22">
        <v>5.7000000000000005E-7</v>
      </c>
      <c r="D43" s="22">
        <f t="shared" si="10"/>
        <v>1.4019690586383534E-4</v>
      </c>
      <c r="E43" s="22">
        <f t="shared" si="11"/>
        <v>5.1806071759150606E-4</v>
      </c>
      <c r="F43" s="22">
        <f t="shared" si="12"/>
        <v>-3.2312071759150606E-4</v>
      </c>
      <c r="G43" s="22">
        <f t="shared" si="13"/>
        <v>143.83595553897132</v>
      </c>
      <c r="H43" s="22">
        <f t="shared" si="14"/>
        <v>2.5596335944683639E-5</v>
      </c>
      <c r="I43" s="22">
        <f t="shared" si="15"/>
        <v>5.1192671889367277E-5</v>
      </c>
      <c r="J43" s="22">
        <f t="shared" si="16"/>
        <v>52.521464952669831</v>
      </c>
      <c r="K43" s="23">
        <f t="shared" si="17"/>
        <v>3311</v>
      </c>
      <c r="L43" s="23" t="str">
        <f t="shared" si="18"/>
        <v>0,00009747 ± 0,001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1.0721E-4</v>
      </c>
      <c r="C48" s="22">
        <v>1.11E-6</v>
      </c>
      <c r="D48" s="22">
        <f t="shared" si="10"/>
        <v>1.956421786552315E-4</v>
      </c>
      <c r="E48" s="22">
        <f t="shared" si="11"/>
        <v>6.941365359656945E-4</v>
      </c>
      <c r="F48" s="22">
        <f t="shared" si="12"/>
        <v>-4.7971653596569455E-4</v>
      </c>
      <c r="G48" s="22">
        <f t="shared" si="13"/>
        <v>182.4850094722801</v>
      </c>
      <c r="H48" s="22">
        <f t="shared" si="14"/>
        <v>3.5719211482975339E-5</v>
      </c>
      <c r="I48" s="22">
        <f t="shared" si="15"/>
        <v>7.1438422965950678E-5</v>
      </c>
      <c r="J48" s="22">
        <f t="shared" si="16"/>
        <v>66.634104063007811</v>
      </c>
      <c r="K48" s="23">
        <f t="shared" si="17"/>
        <v>5329</v>
      </c>
      <c r="L48" s="23" t="str">
        <f t="shared" si="18"/>
        <v>0,00010721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1.6568999999999999E-4</v>
      </c>
      <c r="C53" s="22">
        <v>1.66E-6</v>
      </c>
      <c r="D53" s="22">
        <f t="shared" si="10"/>
        <v>2.3925170701657455E-4</v>
      </c>
      <c r="E53" s="22">
        <f t="shared" si="11"/>
        <v>8.8344512104972369E-4</v>
      </c>
      <c r="F53" s="22">
        <f t="shared" si="12"/>
        <v>-5.5206512104972365E-4</v>
      </c>
      <c r="G53" s="22">
        <f t="shared" si="13"/>
        <v>144.39719175362094</v>
      </c>
      <c r="H53" s="22">
        <f t="shared" si="14"/>
        <v>4.3681185618198299E-5</v>
      </c>
      <c r="I53" s="22">
        <f t="shared" si="15"/>
        <v>8.7362371236396599E-5</v>
      </c>
      <c r="J53" s="22">
        <f t="shared" si="16"/>
        <v>52.726399442571427</v>
      </c>
      <c r="K53" s="23">
        <f t="shared" si="17"/>
        <v>3337</v>
      </c>
      <c r="L53" s="23" t="str">
        <f t="shared" si="18"/>
        <v>0,00016569 ± 0,001</v>
      </c>
    </row>
    <row r="54" spans="1:12" x14ac:dyDescent="0.25">
      <c r="A54" s="17">
        <f t="shared" si="9"/>
        <v>52</v>
      </c>
      <c r="B54" s="22">
        <v>2.5340999999999997E-4</v>
      </c>
      <c r="C54" s="22">
        <v>2.1799999999999999E-6</v>
      </c>
      <c r="D54" s="22">
        <f t="shared" si="10"/>
        <v>2.7417588112943752E-4</v>
      </c>
      <c r="E54" s="22">
        <f t="shared" si="11"/>
        <v>1.0759376433883126E-3</v>
      </c>
      <c r="F54" s="22">
        <f t="shared" si="12"/>
        <v>-5.6911764338831252E-4</v>
      </c>
      <c r="G54" s="22">
        <f t="shared" si="13"/>
        <v>108.19457840236673</v>
      </c>
      <c r="H54" s="22">
        <f t="shared" si="14"/>
        <v>5.0057438272815973E-5</v>
      </c>
      <c r="I54" s="22">
        <f t="shared" si="15"/>
        <v>1.0011487654563195E-4</v>
      </c>
      <c r="J54" s="22">
        <f t="shared" si="16"/>
        <v>39.50707412715834</v>
      </c>
      <c r="K54" s="23">
        <f t="shared" si="17"/>
        <v>1873</v>
      </c>
      <c r="L54" s="23" t="str">
        <f t="shared" si="18"/>
        <v>0,00025341 ± 0,001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2.0468E-4</v>
      </c>
      <c r="C58" s="22">
        <v>2.4200000000000001E-6</v>
      </c>
      <c r="D58" s="22">
        <f t="shared" si="10"/>
        <v>2.8887415229138962E-4</v>
      </c>
      <c r="E58" s="22">
        <f t="shared" si="11"/>
        <v>1.0713024568741688E-3</v>
      </c>
      <c r="F58" s="22">
        <f t="shared" si="12"/>
        <v>-6.6194245687416892E-4</v>
      </c>
      <c r="G58" s="22">
        <f t="shared" si="13"/>
        <v>141.13452818613916</v>
      </c>
      <c r="H58" s="22">
        <f t="shared" si="14"/>
        <v>5.2740963163392257E-5</v>
      </c>
      <c r="I58" s="22">
        <f t="shared" si="15"/>
        <v>1.0548192632678451E-4</v>
      </c>
      <c r="J58" s="22">
        <f t="shared" si="16"/>
        <v>51.53504315359806</v>
      </c>
      <c r="K58" s="23">
        <f t="shared" si="17"/>
        <v>3188</v>
      </c>
      <c r="L58" s="23" t="str">
        <f t="shared" si="18"/>
        <v>0,00020468 ± 0,001</v>
      </c>
    </row>
    <row r="59" spans="1:12" x14ac:dyDescent="0.25">
      <c r="A59" s="17">
        <f t="shared" si="9"/>
        <v>57</v>
      </c>
      <c r="B59" s="22">
        <v>2.5340999999999997E-4</v>
      </c>
      <c r="C59" s="22">
        <v>4.0600000000000001E-6</v>
      </c>
      <c r="D59" s="22">
        <f t="shared" si="10"/>
        <v>3.7416573867739413E-4</v>
      </c>
      <c r="E59" s="22">
        <f t="shared" si="11"/>
        <v>1.3759072160321824E-3</v>
      </c>
      <c r="F59" s="22">
        <f t="shared" si="12"/>
        <v>-8.6908721603218254E-4</v>
      </c>
      <c r="G59" s="22">
        <f t="shared" si="13"/>
        <v>147.65231785540988</v>
      </c>
      <c r="H59" s="22">
        <f t="shared" si="14"/>
        <v>6.8313005106397315E-5</v>
      </c>
      <c r="I59" s="22">
        <f t="shared" si="15"/>
        <v>1.3662601021279463E-4</v>
      </c>
      <c r="J59" s="22">
        <f t="shared" si="16"/>
        <v>53.915003438220531</v>
      </c>
      <c r="K59" s="23">
        <f t="shared" si="17"/>
        <v>3489</v>
      </c>
      <c r="L59" s="23" t="str">
        <f t="shared" si="18"/>
        <v>0,00025341 ± 0,001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8.7719999999999994E-5</v>
      </c>
      <c r="C63" s="22">
        <v>1.0499999999999999E-6</v>
      </c>
      <c r="D63" s="22">
        <f t="shared" si="10"/>
        <v>1.9028109877684683E-4</v>
      </c>
      <c r="E63" s="22">
        <f t="shared" si="11"/>
        <v>6.5856329633054054E-4</v>
      </c>
      <c r="F63" s="22">
        <f t="shared" si="12"/>
        <v>-4.8312329633054053E-4</v>
      </c>
      <c r="G63" s="22">
        <f t="shared" si="13"/>
        <v>216.91871725586736</v>
      </c>
      <c r="H63" s="22">
        <f t="shared" si="14"/>
        <v>3.4740416688982556E-5</v>
      </c>
      <c r="I63" s="22">
        <f t="shared" si="15"/>
        <v>6.9480833377965113E-5</v>
      </c>
      <c r="J63" s="22">
        <f t="shared" si="16"/>
        <v>79.207516390749106</v>
      </c>
      <c r="K63" s="23">
        <f t="shared" si="17"/>
        <v>7529</v>
      </c>
      <c r="L63" s="23" t="str">
        <f t="shared" si="18"/>
        <v>0,00008772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2.1442E-4</v>
      </c>
      <c r="C68" s="22">
        <v>2.5500000000000001E-6</v>
      </c>
      <c r="D68" s="22">
        <f t="shared" si="10"/>
        <v>2.9653167534474058E-4</v>
      </c>
      <c r="E68" s="22">
        <f t="shared" si="11"/>
        <v>1.1040150260342217E-3</v>
      </c>
      <c r="F68" s="22">
        <f t="shared" si="12"/>
        <v>-6.7517502603422173E-4</v>
      </c>
      <c r="G68" s="22">
        <f t="shared" si="13"/>
        <v>138.29478376305408</v>
      </c>
      <c r="H68" s="22">
        <f t="shared" si="14"/>
        <v>5.4139029200370974E-5</v>
      </c>
      <c r="I68" s="22">
        <f t="shared" si="15"/>
        <v>1.0827805840074195E-4</v>
      </c>
      <c r="J68" s="22">
        <f t="shared" si="16"/>
        <v>50.498115101549267</v>
      </c>
      <c r="K68" s="23">
        <f t="shared" si="17"/>
        <v>3061</v>
      </c>
      <c r="L68" s="23" t="str">
        <f t="shared" si="18"/>
        <v>0,00021442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1.8519000000000001E-4</v>
      </c>
      <c r="C73" s="22">
        <v>2.65E-6</v>
      </c>
      <c r="D73" s="22">
        <f t="shared" ref="D73:D78" si="20">POWER(C73/($O$5-1),0.5)</f>
        <v>3.022901095716292E-4</v>
      </c>
      <c r="E73" s="22">
        <f t="shared" ref="E73:E78" si="21">B73+3*D73</f>
        <v>1.0920603287148875E-3</v>
      </c>
      <c r="F73" s="22">
        <f t="shared" ref="F73:F78" si="22">B73-3*D73</f>
        <v>-7.216803287148876E-4</v>
      </c>
      <c r="G73" s="22">
        <f t="shared" ref="G73:G78" si="23">D73/B73*100</f>
        <v>163.23241512588649</v>
      </c>
      <c r="H73" s="22">
        <f t="shared" ref="H73:H78" si="24">D73/POWER($O$5, 0.5)</f>
        <v>5.5190370641029883E-5</v>
      </c>
      <c r="I73" s="22">
        <f t="shared" ref="I73:I78" si="25">H73*$P$5</f>
        <v>1.1038074128205977E-4</v>
      </c>
      <c r="J73" s="22">
        <f t="shared" ref="J73:J78" si="26">I73/B73*100</f>
        <v>59.604050586997012</v>
      </c>
      <c r="K73" s="23">
        <f t="shared" ref="K73:K78" si="27">ROUNDUP(POWER(G73*$P$5/$Q$5,2),0)</f>
        <v>4264</v>
      </c>
      <c r="L73" s="23" t="str">
        <f t="shared" ref="L73:L78" si="28" xml:space="preserve"> B73 &amp; " ± " &amp; (ROUNDUP(I73, 3))</f>
        <v>0,00018519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1.6568999999999999E-4</v>
      </c>
      <c r="C78" s="22">
        <v>2.17E-6</v>
      </c>
      <c r="D78" s="22">
        <f t="shared" si="20"/>
        <v>2.7354631455550003E-4</v>
      </c>
      <c r="E78" s="22">
        <f t="shared" si="21"/>
        <v>9.8632894366650005E-4</v>
      </c>
      <c r="F78" s="22">
        <f t="shared" si="22"/>
        <v>-6.5494894366650001E-4</v>
      </c>
      <c r="G78" s="22">
        <f t="shared" si="23"/>
        <v>165.09524688001693</v>
      </c>
      <c r="H78" s="22">
        <f t="shared" si="24"/>
        <v>4.9942495668150375E-5</v>
      </c>
      <c r="I78" s="22">
        <f t="shared" si="25"/>
        <v>9.9884991336300749E-5</v>
      </c>
      <c r="J78" s="22">
        <f t="shared" si="26"/>
        <v>60.284260568713108</v>
      </c>
      <c r="K78" s="23">
        <f t="shared" si="27"/>
        <v>4362</v>
      </c>
      <c r="L78" s="23" t="str">
        <f t="shared" si="28"/>
        <v>0,00016569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9.7499999999999998E-6</v>
      </c>
      <c r="C81" s="22">
        <v>8.0000000000000002E-8</v>
      </c>
      <c r="D81" s="22">
        <f t="shared" si="38"/>
        <v>5.2522573143889021E-5</v>
      </c>
      <c r="E81" s="22">
        <f t="shared" si="39"/>
        <v>1.6731771943166707E-4</v>
      </c>
      <c r="F81" s="22">
        <f t="shared" si="40"/>
        <v>-1.4781771943166708E-4</v>
      </c>
      <c r="G81" s="22">
        <f t="shared" si="41"/>
        <v>538.69305788604129</v>
      </c>
      <c r="H81" s="22">
        <f t="shared" si="42"/>
        <v>9.5892660297076818E-6</v>
      </c>
      <c r="I81" s="22">
        <f t="shared" si="43"/>
        <v>1.9178532059415364E-5</v>
      </c>
      <c r="J81" s="22">
        <f t="shared" si="44"/>
        <v>196.70289291708065</v>
      </c>
      <c r="K81" s="23">
        <f t="shared" si="45"/>
        <v>46431</v>
      </c>
      <c r="L81" s="23" t="str">
        <f t="shared" si="46"/>
        <v>0,00000975 ± 0,001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1.46199E-3</v>
      </c>
      <c r="C83" s="22">
        <v>7.4889999999999996E-5</v>
      </c>
      <c r="D83" s="22">
        <f t="shared" si="38"/>
        <v>1.6069890457322503E-3</v>
      </c>
      <c r="E83" s="22">
        <f t="shared" si="39"/>
        <v>6.282957137196751E-3</v>
      </c>
      <c r="F83" s="22">
        <f t="shared" si="40"/>
        <v>-3.3589771371967513E-3</v>
      </c>
      <c r="G83" s="22">
        <f t="shared" si="41"/>
        <v>109.91792322329499</v>
      </c>
      <c r="H83" s="22">
        <f t="shared" si="42"/>
        <v>2.9339471667041815E-4</v>
      </c>
      <c r="I83" s="22">
        <f t="shared" si="43"/>
        <v>5.867894333408363E-4</v>
      </c>
      <c r="J83" s="22">
        <f t="shared" si="44"/>
        <v>40.136350682346411</v>
      </c>
      <c r="K83" s="23">
        <f t="shared" si="45"/>
        <v>1934</v>
      </c>
      <c r="L83" s="23" t="str">
        <f t="shared" si="46"/>
        <v>0,00146199 ± 0,001</v>
      </c>
    </row>
    <row r="84" spans="1:12" x14ac:dyDescent="0.25">
      <c r="A84" s="17" t="s">
        <v>64</v>
      </c>
      <c r="B84" s="22">
        <v>1.3255400000000001E-3</v>
      </c>
      <c r="C84" s="22">
        <v>9.5710000000000004E-5</v>
      </c>
      <c r="D84" s="22">
        <f t="shared" si="38"/>
        <v>1.8166851206486518E-3</v>
      </c>
      <c r="E84" s="22">
        <f t="shared" si="39"/>
        <v>6.7755953619459556E-3</v>
      </c>
      <c r="F84" s="22">
        <f t="shared" si="40"/>
        <v>-4.1245153619459555E-3</v>
      </c>
      <c r="G84" s="22">
        <f t="shared" si="41"/>
        <v>137.05245565193445</v>
      </c>
      <c r="H84" s="22">
        <f t="shared" si="42"/>
        <v>3.3167980682108697E-4</v>
      </c>
      <c r="I84" s="22">
        <f t="shared" si="43"/>
        <v>6.6335961364217394E-4</v>
      </c>
      <c r="J84" s="22">
        <f t="shared" si="44"/>
        <v>50.044481014693929</v>
      </c>
      <c r="K84" s="23">
        <f t="shared" si="45"/>
        <v>3006</v>
      </c>
      <c r="L84" s="23" t="str">
        <f t="shared" si="46"/>
        <v>0,00132554 ± 0,001</v>
      </c>
    </row>
    <row r="85" spans="1:12" x14ac:dyDescent="0.25">
      <c r="A85" s="17" t="s">
        <v>65</v>
      </c>
      <c r="B85" s="22">
        <v>4.0936E-4</v>
      </c>
      <c r="C85" s="22">
        <v>1.0530000000000001E-5</v>
      </c>
      <c r="D85" s="22">
        <f t="shared" si="38"/>
        <v>6.0258065707078756E-4</v>
      </c>
      <c r="E85" s="22">
        <f t="shared" si="39"/>
        <v>2.2171019712123627E-3</v>
      </c>
      <c r="F85" s="22">
        <f t="shared" si="40"/>
        <v>-1.3983819712123625E-3</v>
      </c>
      <c r="G85" s="22">
        <f t="shared" si="41"/>
        <v>147.20066862194341</v>
      </c>
      <c r="H85" s="22">
        <f t="shared" si="42"/>
        <v>1.1001567286465174E-4</v>
      </c>
      <c r="I85" s="22">
        <f t="shared" si="43"/>
        <v>2.2003134572930348E-4</v>
      </c>
      <c r="J85" s="22">
        <f t="shared" si="44"/>
        <v>53.750084456054203</v>
      </c>
      <c r="K85" s="23">
        <f t="shared" si="45"/>
        <v>3467</v>
      </c>
      <c r="L85" s="23" t="str">
        <f t="shared" si="46"/>
        <v>0,00040936 ± 0,001</v>
      </c>
    </row>
    <row r="86" spans="1:12" x14ac:dyDescent="0.25">
      <c r="A86" s="17" t="s">
        <v>66</v>
      </c>
      <c r="B86" s="22">
        <v>3.5087999999999997E-4</v>
      </c>
      <c r="C86" s="22">
        <v>5.5400000000000003E-6</v>
      </c>
      <c r="D86" s="22">
        <f t="shared" si="38"/>
        <v>4.370749166431548E-4</v>
      </c>
      <c r="E86" s="22">
        <f t="shared" si="39"/>
        <v>1.6621047499294644E-3</v>
      </c>
      <c r="F86" s="22">
        <f t="shared" si="40"/>
        <v>-9.6034474992946436E-4</v>
      </c>
      <c r="G86" s="22">
        <f t="shared" si="41"/>
        <v>124.56535472046136</v>
      </c>
      <c r="H86" s="22">
        <f t="shared" si="42"/>
        <v>7.9798597055048682E-5</v>
      </c>
      <c r="I86" s="22">
        <f t="shared" si="43"/>
        <v>1.5959719411009736E-4</v>
      </c>
      <c r="J86" s="22">
        <f t="shared" si="44"/>
        <v>45.484836442686209</v>
      </c>
      <c r="K86" s="23">
        <f t="shared" si="45"/>
        <v>2483</v>
      </c>
      <c r="L86" s="23" t="str">
        <f t="shared" si="46"/>
        <v>0,00035088 ± 0,001</v>
      </c>
    </row>
    <row r="87" spans="1:12" x14ac:dyDescent="0.25">
      <c r="A87" s="17" t="s">
        <v>67</v>
      </c>
      <c r="B87" s="22">
        <v>1.4912300000000001E-3</v>
      </c>
      <c r="C87" s="22">
        <v>6.6060000000000001E-5</v>
      </c>
      <c r="D87" s="22">
        <f t="shared" si="38"/>
        <v>1.5092816286176541E-3</v>
      </c>
      <c r="E87" s="22">
        <f t="shared" si="39"/>
        <v>6.0190748858529632E-3</v>
      </c>
      <c r="F87" s="22">
        <f t="shared" si="40"/>
        <v>-3.0366148858529626E-3</v>
      </c>
      <c r="G87" s="22">
        <f t="shared" si="41"/>
        <v>101.21051941133521</v>
      </c>
      <c r="H87" s="22">
        <f t="shared" si="42"/>
        <v>2.7555586454067459E-4</v>
      </c>
      <c r="I87" s="22">
        <f t="shared" si="43"/>
        <v>5.5111172908134918E-4</v>
      </c>
      <c r="J87" s="22">
        <f t="shared" si="44"/>
        <v>36.956856358935184</v>
      </c>
      <c r="K87" s="23">
        <f t="shared" si="45"/>
        <v>1639</v>
      </c>
      <c r="L87" s="23" t="str">
        <f t="shared" si="46"/>
        <v>0,00149123 ± 0,001</v>
      </c>
    </row>
    <row r="88" spans="1:12" x14ac:dyDescent="0.25">
      <c r="A88" s="17" t="s">
        <v>68</v>
      </c>
      <c r="B88" s="22">
        <v>3.63548E-3</v>
      </c>
      <c r="C88" s="22">
        <v>2.7593000000000002E-4</v>
      </c>
      <c r="D88" s="22">
        <f t="shared" ref="D88" si="47">POWER(C88/($O$5-1),0.5)</f>
        <v>3.0846114157551349E-3</v>
      </c>
      <c r="E88" s="22">
        <f t="shared" ref="E88" si="48">B88+3*D88</f>
        <v>1.2889314247265405E-2</v>
      </c>
      <c r="F88" s="22">
        <f t="shared" ref="F88" si="49">B88-3*D88</f>
        <v>-5.6183542472654051E-3</v>
      </c>
      <c r="G88" s="22">
        <f t="shared" ref="G88" si="50">D88/B88*100</f>
        <v>84.847431859208001</v>
      </c>
      <c r="H88" s="22">
        <f t="shared" ref="H88" si="51">D88/POWER($O$5, 0.5)</f>
        <v>5.6317041784901124E-4</v>
      </c>
      <c r="I88" s="22">
        <f t="shared" ref="I88" si="52">H88*$P$5</f>
        <v>1.1263408356980225E-3</v>
      </c>
      <c r="J88" s="22">
        <f t="shared" ref="J88" si="53">I88/B88*100</f>
        <v>30.981901583780473</v>
      </c>
      <c r="K88" s="23">
        <f t="shared" ref="K88" si="54">ROUNDUP(POWER(G88*$P$5/$Q$5,2),0)</f>
        <v>1152</v>
      </c>
      <c r="L88" s="23" t="str">
        <f t="shared" ref="L88" si="55" xml:space="preserve"> B88 &amp; " ± " &amp; (ROUNDUP(I88, 3))</f>
        <v>0,00363548 ± 0,002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05E9-E3D1-49C9-8E9A-BE14DDE5F632}">
  <dimension ref="A1:V88"/>
  <sheetViews>
    <sheetView topLeftCell="A57" workbookViewId="0">
      <selection activeCell="R83" sqref="R83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3.5703125" style="22" customWidth="1"/>
    <col min="7" max="8" width="8.85546875" style="22"/>
    <col min="9" max="9" width="10" style="22" bestFit="1" customWidth="1"/>
    <col min="10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47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9</v>
      </c>
      <c r="H1" s="25" t="s">
        <v>58</v>
      </c>
      <c r="I1" s="25" t="s">
        <v>60</v>
      </c>
      <c r="J1" s="25" t="s">
        <v>43</v>
      </c>
      <c r="K1" s="26" t="s">
        <v>5</v>
      </c>
      <c r="L1" s="26" t="s">
        <v>59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0</v>
      </c>
      <c r="C3" s="21">
        <v>0</v>
      </c>
      <c r="D3" s="21">
        <f t="shared" ref="D3:D8" si="0">POWER(C3/($O$5-1),0.5)</f>
        <v>0</v>
      </c>
      <c r="E3" s="21">
        <f t="shared" ref="E3:E8" si="1">B3+3*D3</f>
        <v>0</v>
      </c>
      <c r="F3" s="21">
        <f t="shared" ref="F3:F8" si="2">B3-3*D3</f>
        <v>0</v>
      </c>
      <c r="G3" s="21" t="e">
        <f t="shared" ref="G3:G8" si="3">D3/B3*100</f>
        <v>#DIV/0!</v>
      </c>
      <c r="H3" s="21">
        <f t="shared" ref="H3:H8" si="4">D3/POWER($O$5, 0.5)</f>
        <v>0</v>
      </c>
      <c r="I3" s="21">
        <f t="shared" ref="I3:I8" si="5">H3*$P$5</f>
        <v>0</v>
      </c>
      <c r="J3" s="21" t="e">
        <f t="shared" ref="J3:J8" si="6">I3/B3*100</f>
        <v>#DIV/0!</v>
      </c>
      <c r="K3" s="30" t="e">
        <f t="shared" ref="K3:K8" si="7">ROUNDUP(POWER(G3*$P$5/$Q$5,2),0)</f>
        <v>#DIV/0!</v>
      </c>
      <c r="L3" s="30" t="str">
        <f t="shared" ref="L3:L8" si="8" xml:space="preserve"> B3 &amp; " ± " &amp; (ROUNDUP(I3, 3))</f>
        <v>0 ± 0</v>
      </c>
    </row>
    <row r="4" spans="1:17" x14ac:dyDescent="0.25">
      <c r="A4" s="16">
        <f>A3+1</f>
        <v>2</v>
      </c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0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 t="e">
        <f t="shared" si="3"/>
        <v>#DIV/0!</v>
      </c>
      <c r="H8" s="22">
        <f t="shared" si="4"/>
        <v>0</v>
      </c>
      <c r="I8" s="22">
        <f t="shared" si="5"/>
        <v>0</v>
      </c>
      <c r="J8" s="22" t="e">
        <f t="shared" si="6"/>
        <v>#DIV/0!</v>
      </c>
      <c r="K8" s="23" t="e">
        <f t="shared" si="7"/>
        <v>#DIV/0!</v>
      </c>
      <c r="L8" s="23" t="str">
        <f t="shared" si="8"/>
        <v>0 ± 0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0</v>
      </c>
      <c r="C13" s="22">
        <v>0</v>
      </c>
      <c r="D13" s="22">
        <f t="shared" si="10"/>
        <v>0</v>
      </c>
      <c r="E13" s="22">
        <f t="shared" si="11"/>
        <v>0</v>
      </c>
      <c r="F13" s="22">
        <f t="shared" si="12"/>
        <v>0</v>
      </c>
      <c r="G13" s="22" t="e">
        <f t="shared" si="13"/>
        <v>#DIV/0!</v>
      </c>
      <c r="H13" s="22">
        <f t="shared" si="14"/>
        <v>0</v>
      </c>
      <c r="I13" s="22">
        <f t="shared" si="15"/>
        <v>0</v>
      </c>
      <c r="J13" s="22" t="e">
        <f t="shared" si="16"/>
        <v>#DIV/0!</v>
      </c>
      <c r="K13" s="23" t="e">
        <f t="shared" si="17"/>
        <v>#DIV/0!</v>
      </c>
      <c r="L13" s="23" t="str">
        <f t="shared" si="18"/>
        <v>0 ± 0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4.8730000000000003E-5</v>
      </c>
      <c r="C18" s="22">
        <v>3.5999999999999999E-7</v>
      </c>
      <c r="D18" s="22">
        <f t="shared" si="10"/>
        <v>1.1141720290623112E-4</v>
      </c>
      <c r="E18" s="22">
        <f t="shared" si="11"/>
        <v>3.829816087186933E-4</v>
      </c>
      <c r="F18" s="22">
        <f t="shared" si="12"/>
        <v>-2.8552160871869335E-4</v>
      </c>
      <c r="G18" s="22">
        <f t="shared" si="13"/>
        <v>228.64191033497048</v>
      </c>
      <c r="H18" s="22">
        <f t="shared" si="14"/>
        <v>2.0341905108624311E-5</v>
      </c>
      <c r="I18" s="22">
        <f t="shared" si="15"/>
        <v>4.0683810217248622E-5</v>
      </c>
      <c r="J18" s="22">
        <f t="shared" si="16"/>
        <v>83.488221254357924</v>
      </c>
      <c r="K18" s="23">
        <f t="shared" si="17"/>
        <v>8365</v>
      </c>
      <c r="L18" s="23" t="str">
        <f t="shared" si="18"/>
        <v>0,00004873 ± 0,001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37">
        <v>9.7499999999999998E-6</v>
      </c>
      <c r="C23" s="37">
        <v>8.0000000000000002E-8</v>
      </c>
      <c r="D23" s="22">
        <f t="shared" si="10"/>
        <v>5.2522573143889021E-5</v>
      </c>
      <c r="E23" s="22">
        <f t="shared" si="11"/>
        <v>1.6731771943166707E-4</v>
      </c>
      <c r="F23" s="22">
        <f t="shared" si="12"/>
        <v>-1.4781771943166708E-4</v>
      </c>
      <c r="G23" s="22">
        <f t="shared" si="13"/>
        <v>538.69305788604129</v>
      </c>
      <c r="H23" s="22">
        <f t="shared" si="14"/>
        <v>9.5892660297076818E-6</v>
      </c>
      <c r="I23" s="22">
        <f t="shared" si="15"/>
        <v>1.9178532059415364E-5</v>
      </c>
      <c r="J23" s="22">
        <f t="shared" si="16"/>
        <v>196.70289291708065</v>
      </c>
      <c r="K23" s="23">
        <f t="shared" si="17"/>
        <v>46431</v>
      </c>
      <c r="L23" s="23" t="str">
        <f t="shared" si="18"/>
        <v>0,00000975 ± 0,001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2.2416999999999999E-4</v>
      </c>
      <c r="C28" s="22">
        <v>3.7100000000000001E-6</v>
      </c>
      <c r="D28" s="22">
        <f t="shared" si="10"/>
        <v>3.5767448117353666E-4</v>
      </c>
      <c r="E28" s="22">
        <f t="shared" si="11"/>
        <v>1.2971934435206099E-3</v>
      </c>
      <c r="F28" s="22">
        <f t="shared" si="12"/>
        <v>-8.4885344352060999E-4</v>
      </c>
      <c r="G28" s="22">
        <f t="shared" si="13"/>
        <v>159.55501680578877</v>
      </c>
      <c r="H28" s="22">
        <f t="shared" si="14"/>
        <v>6.5302127194234291E-5</v>
      </c>
      <c r="I28" s="22">
        <f t="shared" si="15"/>
        <v>1.3060425438846858E-4</v>
      </c>
      <c r="J28" s="22">
        <f t="shared" si="16"/>
        <v>58.261254578430922</v>
      </c>
      <c r="K28" s="23">
        <f t="shared" si="17"/>
        <v>4074</v>
      </c>
      <c r="L28" s="23" t="str">
        <f t="shared" si="18"/>
        <v>0,00022417 ± 0,001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9.7499999999999998E-6</v>
      </c>
      <c r="C33" s="22">
        <v>8.0000000000000002E-8</v>
      </c>
      <c r="D33" s="22">
        <f t="shared" si="10"/>
        <v>5.2522573143889021E-5</v>
      </c>
      <c r="E33" s="22">
        <f t="shared" si="11"/>
        <v>1.6731771943166707E-4</v>
      </c>
      <c r="F33" s="22">
        <f t="shared" si="12"/>
        <v>-1.4781771943166708E-4</v>
      </c>
      <c r="G33" s="22">
        <f t="shared" si="13"/>
        <v>538.69305788604129</v>
      </c>
      <c r="H33" s="22">
        <f t="shared" si="14"/>
        <v>9.5892660297076818E-6</v>
      </c>
      <c r="I33" s="22">
        <f t="shared" si="15"/>
        <v>1.9178532059415364E-5</v>
      </c>
      <c r="J33" s="22">
        <f t="shared" si="16"/>
        <v>196.70289291708065</v>
      </c>
      <c r="K33" s="23">
        <f t="shared" si="17"/>
        <v>46431</v>
      </c>
      <c r="L33" s="23" t="str">
        <f t="shared" si="18"/>
        <v>0,00000975 ± 0,001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9.7499999999999998E-6</v>
      </c>
      <c r="C38" s="22">
        <v>8.0000000000000002E-8</v>
      </c>
      <c r="D38" s="22">
        <f t="shared" si="10"/>
        <v>5.2522573143889021E-5</v>
      </c>
      <c r="E38" s="22">
        <f t="shared" si="11"/>
        <v>1.6731771943166707E-4</v>
      </c>
      <c r="F38" s="22">
        <f t="shared" si="12"/>
        <v>-1.4781771943166708E-4</v>
      </c>
      <c r="G38" s="22">
        <f t="shared" si="13"/>
        <v>538.69305788604129</v>
      </c>
      <c r="H38" s="22">
        <f t="shared" si="14"/>
        <v>9.5892660297076818E-6</v>
      </c>
      <c r="I38" s="22">
        <f t="shared" si="15"/>
        <v>1.9178532059415364E-5</v>
      </c>
      <c r="J38" s="22">
        <f t="shared" si="16"/>
        <v>196.70289291708065</v>
      </c>
      <c r="K38" s="23">
        <f t="shared" si="17"/>
        <v>46431</v>
      </c>
      <c r="L38" s="23" t="str">
        <f t="shared" si="18"/>
        <v>0,00000975 ± 0,001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0</v>
      </c>
      <c r="C43" s="22">
        <v>0</v>
      </c>
      <c r="D43" s="22">
        <f t="shared" si="10"/>
        <v>0</v>
      </c>
      <c r="E43" s="22">
        <f t="shared" si="11"/>
        <v>0</v>
      </c>
      <c r="F43" s="22">
        <f t="shared" si="12"/>
        <v>0</v>
      </c>
      <c r="G43" s="22" t="e">
        <f t="shared" si="13"/>
        <v>#DIV/0!</v>
      </c>
      <c r="H43" s="22">
        <f t="shared" si="14"/>
        <v>0</v>
      </c>
      <c r="I43" s="22">
        <f t="shared" si="15"/>
        <v>0</v>
      </c>
      <c r="J43" s="22" t="e">
        <f t="shared" si="16"/>
        <v>#DIV/0!</v>
      </c>
      <c r="K43" s="23" t="e">
        <f t="shared" si="17"/>
        <v>#DIV/0!</v>
      </c>
      <c r="L43" s="23" t="str">
        <f t="shared" si="18"/>
        <v>0 ± 0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9.7499999999999998E-6</v>
      </c>
      <c r="C48" s="22">
        <v>8.0000000000000002E-8</v>
      </c>
      <c r="D48" s="22">
        <f t="shared" si="10"/>
        <v>5.2522573143889021E-5</v>
      </c>
      <c r="E48" s="22">
        <f t="shared" si="11"/>
        <v>1.6731771943166707E-4</v>
      </c>
      <c r="F48" s="22">
        <f t="shared" si="12"/>
        <v>-1.4781771943166708E-4</v>
      </c>
      <c r="G48" s="22">
        <f t="shared" si="13"/>
        <v>538.69305788604129</v>
      </c>
      <c r="H48" s="22">
        <f t="shared" si="14"/>
        <v>9.5892660297076818E-6</v>
      </c>
      <c r="I48" s="22">
        <f t="shared" si="15"/>
        <v>1.9178532059415364E-5</v>
      </c>
      <c r="J48" s="22">
        <f t="shared" si="16"/>
        <v>196.70289291708065</v>
      </c>
      <c r="K48" s="23">
        <f t="shared" si="17"/>
        <v>46431</v>
      </c>
      <c r="L48" s="23" t="str">
        <f t="shared" si="18"/>
        <v>0,00000975 ± 0,001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2.9240000000000001E-5</v>
      </c>
      <c r="C53" s="22">
        <v>2.2999999999999999E-7</v>
      </c>
      <c r="D53" s="22">
        <f t="shared" si="10"/>
        <v>8.9056355656172125E-5</v>
      </c>
      <c r="E53" s="22">
        <f t="shared" si="11"/>
        <v>2.9640906696851637E-4</v>
      </c>
      <c r="F53" s="22">
        <f t="shared" si="12"/>
        <v>-2.3792906696851638E-4</v>
      </c>
      <c r="G53" s="22">
        <f t="shared" si="13"/>
        <v>304.57029978171039</v>
      </c>
      <c r="H53" s="22">
        <f t="shared" si="14"/>
        <v>1.6259391627362753E-5</v>
      </c>
      <c r="I53" s="22">
        <f t="shared" si="15"/>
        <v>3.2518783254725506E-5</v>
      </c>
      <c r="J53" s="22">
        <f t="shared" si="16"/>
        <v>111.21334902436904</v>
      </c>
      <c r="K53" s="23">
        <f t="shared" si="17"/>
        <v>14843</v>
      </c>
      <c r="L53" s="23" t="str">
        <f t="shared" si="18"/>
        <v>0,00002924 ± 0,001</v>
      </c>
    </row>
    <row r="54" spans="1:12" x14ac:dyDescent="0.25">
      <c r="A54" s="17">
        <f t="shared" si="9"/>
        <v>52</v>
      </c>
      <c r="B54" s="22">
        <v>7.7970000000000001E-5</v>
      </c>
      <c r="C54" s="22">
        <v>4.9999999999999998E-7</v>
      </c>
      <c r="D54" s="22">
        <f t="shared" si="10"/>
        <v>1.3130643285972255E-4</v>
      </c>
      <c r="E54" s="22">
        <f t="shared" si="11"/>
        <v>4.7188929857916765E-4</v>
      </c>
      <c r="F54" s="22">
        <f t="shared" si="12"/>
        <v>-3.1594929857916762E-4</v>
      </c>
      <c r="G54" s="22">
        <f t="shared" si="13"/>
        <v>168.40635226333532</v>
      </c>
      <c r="H54" s="22">
        <f t="shared" si="14"/>
        <v>2.3973165074269204E-5</v>
      </c>
      <c r="I54" s="22">
        <f t="shared" si="15"/>
        <v>4.7946330148538409E-5</v>
      </c>
      <c r="J54" s="22">
        <f t="shared" si="16"/>
        <v>61.493305307859956</v>
      </c>
      <c r="K54" s="23">
        <f t="shared" si="17"/>
        <v>4538</v>
      </c>
      <c r="L54" s="23" t="str">
        <f t="shared" si="18"/>
        <v>0,00007797 ± 0,001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B56" s="38"/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1.9490000000000001E-5</v>
      </c>
      <c r="C58" s="22">
        <v>1.6E-7</v>
      </c>
      <c r="D58" s="22">
        <f t="shared" si="10"/>
        <v>7.4278135270820745E-5</v>
      </c>
      <c r="E58" s="22">
        <f t="shared" si="11"/>
        <v>2.4232440581246223E-4</v>
      </c>
      <c r="F58" s="22">
        <f t="shared" si="12"/>
        <v>-2.0334440581246224E-4</v>
      </c>
      <c r="G58" s="22">
        <f t="shared" si="13"/>
        <v>381.10895469892631</v>
      </c>
      <c r="H58" s="22">
        <f t="shared" si="14"/>
        <v>1.3561270072416207E-5</v>
      </c>
      <c r="I58" s="22">
        <f t="shared" si="15"/>
        <v>2.7122540144832415E-5</v>
      </c>
      <c r="J58" s="22">
        <f t="shared" si="16"/>
        <v>139.16131423721095</v>
      </c>
      <c r="K58" s="23">
        <f t="shared" si="17"/>
        <v>23240</v>
      </c>
      <c r="L58" s="23" t="str">
        <f t="shared" si="18"/>
        <v>0,00001949 ± 0,001</v>
      </c>
    </row>
    <row r="59" spans="1:12" x14ac:dyDescent="0.25">
      <c r="A59" s="17">
        <f t="shared" si="9"/>
        <v>57</v>
      </c>
      <c r="B59" s="22">
        <v>4.8730000000000003E-5</v>
      </c>
      <c r="C59" s="22">
        <v>3.5999999999999999E-7</v>
      </c>
      <c r="D59" s="22">
        <f t="shared" si="10"/>
        <v>1.1141720290623112E-4</v>
      </c>
      <c r="E59" s="22">
        <f t="shared" si="11"/>
        <v>3.829816087186933E-4</v>
      </c>
      <c r="F59" s="22">
        <f t="shared" si="12"/>
        <v>-2.8552160871869335E-4</v>
      </c>
      <c r="G59" s="22">
        <f t="shared" si="13"/>
        <v>228.64191033497048</v>
      </c>
      <c r="H59" s="22">
        <f t="shared" si="14"/>
        <v>2.0341905108624311E-5</v>
      </c>
      <c r="I59" s="22">
        <f t="shared" si="15"/>
        <v>4.0683810217248622E-5</v>
      </c>
      <c r="J59" s="22">
        <f t="shared" si="16"/>
        <v>83.488221254357924</v>
      </c>
      <c r="K59" s="23">
        <f t="shared" si="17"/>
        <v>8365</v>
      </c>
      <c r="L59" s="23" t="str">
        <f t="shared" si="18"/>
        <v>0,00004873 ± 0,001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1.9490000000000001E-5</v>
      </c>
      <c r="C63" s="22">
        <v>1.6E-7</v>
      </c>
      <c r="D63" s="22">
        <f t="shared" si="10"/>
        <v>7.4278135270820745E-5</v>
      </c>
      <c r="E63" s="22">
        <f t="shared" si="11"/>
        <v>2.4232440581246223E-4</v>
      </c>
      <c r="F63" s="22">
        <f t="shared" si="12"/>
        <v>-2.0334440581246224E-4</v>
      </c>
      <c r="G63" s="22">
        <f t="shared" si="13"/>
        <v>381.10895469892631</v>
      </c>
      <c r="H63" s="22">
        <f t="shared" si="14"/>
        <v>1.3561270072416207E-5</v>
      </c>
      <c r="I63" s="22">
        <f t="shared" si="15"/>
        <v>2.7122540144832415E-5</v>
      </c>
      <c r="J63" s="22">
        <f t="shared" si="16"/>
        <v>139.16131423721095</v>
      </c>
      <c r="K63" s="23">
        <f t="shared" si="17"/>
        <v>23240</v>
      </c>
      <c r="L63" s="23" t="str">
        <f t="shared" si="18"/>
        <v>0,00001949 ± 0,001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7.7970000000000001E-5</v>
      </c>
      <c r="C68" s="22">
        <v>4.9999999999999998E-7</v>
      </c>
      <c r="D68" s="22">
        <f t="shared" si="10"/>
        <v>1.3130643285972255E-4</v>
      </c>
      <c r="E68" s="22">
        <f t="shared" si="11"/>
        <v>4.7188929857916765E-4</v>
      </c>
      <c r="F68" s="22">
        <f t="shared" si="12"/>
        <v>-3.1594929857916762E-4</v>
      </c>
      <c r="G68" s="22">
        <f t="shared" si="13"/>
        <v>168.40635226333532</v>
      </c>
      <c r="H68" s="22">
        <f t="shared" si="14"/>
        <v>2.3973165074269204E-5</v>
      </c>
      <c r="I68" s="22">
        <f t="shared" si="15"/>
        <v>4.7946330148538409E-5</v>
      </c>
      <c r="J68" s="22">
        <f t="shared" si="16"/>
        <v>61.493305307859956</v>
      </c>
      <c r="K68" s="23">
        <f t="shared" si="17"/>
        <v>4538</v>
      </c>
      <c r="L68" s="23" t="str">
        <f t="shared" si="18"/>
        <v>0,00007797 ± 0,001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3.8989999999999998E-5</v>
      </c>
      <c r="C73" s="22">
        <v>4.7E-7</v>
      </c>
      <c r="D73" s="22">
        <f t="shared" ref="D73:D78" si="20">POWER(C73/($O$5-1),0.5)</f>
        <v>1.2730630994465332E-4</v>
      </c>
      <c r="E73" s="22">
        <f t="shared" ref="E73:E78" si="21">B73+3*D73</f>
        <v>4.2090892983395994E-4</v>
      </c>
      <c r="F73" s="22">
        <f t="shared" ref="F73:F78" si="22">B73-3*D73</f>
        <v>-3.4292892983395998E-4</v>
      </c>
      <c r="G73" s="22">
        <f t="shared" ref="G73:G78" si="23">D73/B73*100</f>
        <v>326.51015630842096</v>
      </c>
      <c r="H73" s="22">
        <f t="shared" ref="H73:H78" si="24">D73/POWER($O$5, 0.5)</f>
        <v>2.3242845889810293E-5</v>
      </c>
      <c r="I73" s="22">
        <f t="shared" ref="I73:I78" si="25">H73*$P$5</f>
        <v>4.6485691779620587E-5</v>
      </c>
      <c r="J73" s="22">
        <f t="shared" ref="J73:J78" si="26">I73/B73*100</f>
        <v>119.22465190977324</v>
      </c>
      <c r="K73" s="23">
        <f t="shared" ref="K73:K78" si="27">ROUNDUP(POWER(G73*$P$5/$Q$5,2),0)</f>
        <v>17058</v>
      </c>
      <c r="L73" s="23" t="str">
        <f t="shared" ref="L73:L78" si="28" xml:space="preserve"> B73 &amp; " ± " &amp; (ROUNDUP(I73, 3))</f>
        <v>0,00003899 ± 0,001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5.8480000000000003E-5</v>
      </c>
      <c r="C78" s="22">
        <v>4.0999999999999999E-7</v>
      </c>
      <c r="D78" s="22">
        <f t="shared" si="20"/>
        <v>1.1890303206597701E-4</v>
      </c>
      <c r="E78" s="22">
        <f t="shared" si="21"/>
        <v>4.1518909619793108E-4</v>
      </c>
      <c r="F78" s="22">
        <f t="shared" si="22"/>
        <v>-2.9822909619793103E-4</v>
      </c>
      <c r="G78" s="22">
        <f t="shared" si="23"/>
        <v>203.32255825235467</v>
      </c>
      <c r="H78" s="22">
        <f t="shared" si="24"/>
        <v>2.1708624272765236E-5</v>
      </c>
      <c r="I78" s="22">
        <f t="shared" si="25"/>
        <v>4.3417248545530472E-5</v>
      </c>
      <c r="J78" s="22">
        <f t="shared" si="26"/>
        <v>74.242901069648553</v>
      </c>
      <c r="K78" s="23">
        <f t="shared" si="27"/>
        <v>6615</v>
      </c>
      <c r="L78" s="23" t="str">
        <f t="shared" si="28"/>
        <v>0,00005848 ± 0,001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0</v>
      </c>
      <c r="C81" s="22">
        <v>0</v>
      </c>
      <c r="D81" s="22">
        <f t="shared" si="38"/>
        <v>0</v>
      </c>
      <c r="E81" s="22">
        <f t="shared" si="39"/>
        <v>0</v>
      </c>
      <c r="F81" s="22">
        <f t="shared" si="40"/>
        <v>0</v>
      </c>
      <c r="G81" s="22" t="e">
        <f t="shared" si="41"/>
        <v>#DIV/0!</v>
      </c>
      <c r="H81" s="22">
        <f t="shared" si="42"/>
        <v>0</v>
      </c>
      <c r="I81" s="22">
        <f t="shared" si="43"/>
        <v>0</v>
      </c>
      <c r="J81" s="22" t="e">
        <f t="shared" si="44"/>
        <v>#DIV/0!</v>
      </c>
      <c r="K81" s="23" t="e">
        <f t="shared" si="45"/>
        <v>#DIV/0!</v>
      </c>
      <c r="L81" s="23" t="str">
        <f t="shared" si="46"/>
        <v>0 ± 0</v>
      </c>
    </row>
    <row r="82" spans="1:12" x14ac:dyDescent="0.25">
      <c r="A82" s="17" t="s">
        <v>62</v>
      </c>
      <c r="B82" s="22">
        <v>0</v>
      </c>
      <c r="C82" s="22">
        <v>0</v>
      </c>
      <c r="D82" s="22">
        <f t="shared" si="38"/>
        <v>0</v>
      </c>
      <c r="E82" s="22">
        <f t="shared" si="39"/>
        <v>0</v>
      </c>
      <c r="F82" s="22">
        <f t="shared" si="40"/>
        <v>0</v>
      </c>
      <c r="G82" s="22" t="e">
        <f t="shared" si="41"/>
        <v>#DIV/0!</v>
      </c>
      <c r="H82" s="22">
        <f t="shared" si="42"/>
        <v>0</v>
      </c>
      <c r="I82" s="22">
        <f t="shared" si="43"/>
        <v>0</v>
      </c>
      <c r="J82" s="22" t="e">
        <f t="shared" si="44"/>
        <v>#DIV/0!</v>
      </c>
      <c r="K82" s="23" t="e">
        <f t="shared" si="45"/>
        <v>#DIV/0!</v>
      </c>
      <c r="L82" s="23" t="str">
        <f t="shared" si="46"/>
        <v>0 ± 0</v>
      </c>
    </row>
    <row r="83" spans="1:12" x14ac:dyDescent="0.25">
      <c r="A83" s="17" t="s">
        <v>63</v>
      </c>
      <c r="B83" s="22">
        <v>5.4580999999999998E-4</v>
      </c>
      <c r="C83" s="22">
        <v>1.7220000000000001E-5</v>
      </c>
      <c r="D83" s="22">
        <f t="shared" si="38"/>
        <v>7.7057971907407207E-4</v>
      </c>
      <c r="E83" s="22">
        <f>B83+3*D83</f>
        <v>2.8575491572222162E-3</v>
      </c>
      <c r="F83" s="22">
        <f>B83-3*D83</f>
        <v>-1.7659291572222164E-3</v>
      </c>
      <c r="G83" s="22">
        <f>D83/B83*100</f>
        <v>141.18094558070979</v>
      </c>
      <c r="H83" s="22">
        <f t="shared" si="42"/>
        <v>1.4068796483095441E-4</v>
      </c>
      <c r="I83" s="22">
        <f t="shared" si="43"/>
        <v>2.8137592966190881E-4</v>
      </c>
      <c r="J83" s="22">
        <f>I83/B83*100</f>
        <v>51.551992389642699</v>
      </c>
      <c r="K83" s="23">
        <f t="shared" si="45"/>
        <v>3190</v>
      </c>
      <c r="L83" s="23" t="str">
        <f xml:space="preserve"> B83 &amp; " ± " &amp; (ROUNDUP(I83, 3))</f>
        <v>0,00054581 ± 0,001</v>
      </c>
    </row>
    <row r="84" spans="1:12" x14ac:dyDescent="0.25">
      <c r="A84" s="17" t="s">
        <v>64</v>
      </c>
      <c r="B84" s="22">
        <v>4.0936E-4</v>
      </c>
      <c r="C84" s="22">
        <v>1.1389999999999999E-5</v>
      </c>
      <c r="D84" s="22">
        <f t="shared" si="38"/>
        <v>6.2670457209889187E-4</v>
      </c>
      <c r="E84" s="22">
        <f>B84+3*D84</f>
        <v>2.2894737162966758E-3</v>
      </c>
      <c r="F84" s="22">
        <f>B84-3*D84</f>
        <v>-1.4707537162966756E-3</v>
      </c>
      <c r="G84" s="22">
        <f>D84/B84*100</f>
        <v>153.09374929130638</v>
      </c>
      <c r="H84" s="22">
        <f t="shared" si="42"/>
        <v>1.1442007701006193E-4</v>
      </c>
      <c r="I84" s="22">
        <f t="shared" si="43"/>
        <v>2.2884015402012387E-4</v>
      </c>
      <c r="J84" s="22">
        <f>I84/B84*100</f>
        <v>55.901933266592692</v>
      </c>
      <c r="K84" s="23">
        <f t="shared" si="45"/>
        <v>3751</v>
      </c>
      <c r="L84" s="23" t="str">
        <f xml:space="preserve"> B84 &amp; " ± " &amp; (ROUNDUP(I84, 3))</f>
        <v>0,00040936 ± 0,001</v>
      </c>
    </row>
    <row r="85" spans="1:12" x14ac:dyDescent="0.25">
      <c r="A85" s="17" t="s">
        <v>65</v>
      </c>
      <c r="B85" s="22">
        <v>9.747E-5</v>
      </c>
      <c r="C85" s="22">
        <v>9.0999999999999997E-7</v>
      </c>
      <c r="D85" s="22">
        <f t="shared" si="38"/>
        <v>1.7714206260746653E-4</v>
      </c>
      <c r="E85" s="22">
        <f t="shared" si="39"/>
        <v>6.2889618782239955E-4</v>
      </c>
      <c r="F85" s="22">
        <f t="shared" si="40"/>
        <v>-4.3395618782239955E-4</v>
      </c>
      <c r="G85" s="22">
        <f t="shared" si="41"/>
        <v>181.74008680359753</v>
      </c>
      <c r="H85" s="22">
        <f t="shared" si="42"/>
        <v>3.2341567857700607E-5</v>
      </c>
      <c r="I85" s="22">
        <f t="shared" si="43"/>
        <v>6.4683135715401215E-5</v>
      </c>
      <c r="J85" s="22">
        <f t="shared" si="44"/>
        <v>66.362096763518224</v>
      </c>
      <c r="K85" s="23">
        <f t="shared" si="45"/>
        <v>5285</v>
      </c>
      <c r="L85" s="23" t="str">
        <f t="shared" si="46"/>
        <v>0,00009747 ± 0,001</v>
      </c>
    </row>
    <row r="86" spans="1:12" x14ac:dyDescent="0.25">
      <c r="A86" s="17" t="s">
        <v>66</v>
      </c>
      <c r="B86" s="22">
        <v>1.0721E-4</v>
      </c>
      <c r="C86" s="22">
        <v>7.7000000000000004E-7</v>
      </c>
      <c r="D86" s="22">
        <f t="shared" si="38"/>
        <v>1.6294699794083668E-4</v>
      </c>
      <c r="E86" s="22">
        <f t="shared" si="39"/>
        <v>5.9605099382251006E-4</v>
      </c>
      <c r="F86" s="22">
        <f t="shared" si="40"/>
        <v>-3.8163099382251001E-4</v>
      </c>
      <c r="G86" s="22">
        <f t="shared" si="41"/>
        <v>151.98861854382676</v>
      </c>
      <c r="H86" s="22">
        <f t="shared" si="42"/>
        <v>2.9749915483314701E-5</v>
      </c>
      <c r="I86" s="22">
        <f t="shared" si="43"/>
        <v>5.9499830966629403E-5</v>
      </c>
      <c r="J86" s="22">
        <f t="shared" si="44"/>
        <v>55.498396573667939</v>
      </c>
      <c r="K86" s="23">
        <f t="shared" si="45"/>
        <v>3697</v>
      </c>
      <c r="L86" s="23" t="str">
        <f t="shared" si="46"/>
        <v>0,00010721 ± 0,001</v>
      </c>
    </row>
    <row r="87" spans="1:12" x14ac:dyDescent="0.25">
      <c r="A87" s="17" t="s">
        <v>67</v>
      </c>
      <c r="B87" s="22">
        <v>7.5049000000000003E-4</v>
      </c>
      <c r="C87" s="22">
        <v>2.8670000000000002E-5</v>
      </c>
      <c r="D87" s="22">
        <f t="shared" si="38"/>
        <v>9.9429406598610087E-4</v>
      </c>
      <c r="E87" s="22">
        <f t="shared" si="39"/>
        <v>3.7333721979583025E-3</v>
      </c>
      <c r="F87" s="22">
        <f t="shared" si="40"/>
        <v>-2.2323921979583027E-3</v>
      </c>
      <c r="G87" s="22">
        <f t="shared" si="41"/>
        <v>132.48598462152739</v>
      </c>
      <c r="H87" s="22">
        <f t="shared" si="42"/>
        <v>1.8153242957803919E-4</v>
      </c>
      <c r="I87" s="22">
        <f t="shared" si="43"/>
        <v>3.6306485915607839E-4</v>
      </c>
      <c r="J87" s="22">
        <f t="shared" si="44"/>
        <v>48.37704155366206</v>
      </c>
      <c r="K87" s="23">
        <f t="shared" si="45"/>
        <v>2809</v>
      </c>
      <c r="L87" s="23" t="str">
        <f t="shared" si="46"/>
        <v>0,00075049 ± 0,001</v>
      </c>
    </row>
    <row r="88" spans="1:12" x14ac:dyDescent="0.25">
      <c r="A88" s="17" t="s">
        <v>68</v>
      </c>
      <c r="B88" s="22">
        <v>8.2846000000000005E-4</v>
      </c>
      <c r="C88" s="22">
        <v>1.9340000000000001E-5</v>
      </c>
      <c r="D88" s="22">
        <f t="shared" ref="D88" si="47">POWER(C88/($O$5-1),0.5)</f>
        <v>8.1663734406659243E-4</v>
      </c>
      <c r="E88" s="22">
        <f t="shared" ref="E88" si="48">B88+3*D88</f>
        <v>3.2783720321997774E-3</v>
      </c>
      <c r="F88" s="22">
        <f t="shared" ref="F88" si="49">B88-3*D88</f>
        <v>-1.6214520321997774E-3</v>
      </c>
      <c r="G88" s="22">
        <f t="shared" ref="G88" si="50">D88/B88*100</f>
        <v>98.572935816646833</v>
      </c>
      <c r="H88" s="22">
        <f t="shared" ref="H88" si="51">D88/POWER($O$5, 0.5)</f>
        <v>1.4909689821546011E-4</v>
      </c>
      <c r="I88" s="22">
        <f t="shared" ref="I88" si="52">H88*$P$5</f>
        <v>2.9819379643092022E-4</v>
      </c>
      <c r="J88" s="22">
        <f t="shared" ref="J88" si="53">I88/B88*100</f>
        <v>35.993747004190936</v>
      </c>
      <c r="K88" s="23">
        <f t="shared" ref="K88" si="54">ROUNDUP(POWER(G88*$P$5/$Q$5,2),0)</f>
        <v>1555</v>
      </c>
      <c r="L88" s="23" t="str">
        <f t="shared" ref="L88" si="55" xml:space="preserve"> B88 &amp; " ± " &amp; (ROUNDUP(I88, 3))</f>
        <v>0,00082846 ± 0,001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310B-DE75-4F1F-AEA8-6BC33D3F0472}">
  <sheetPr codeName="Лист1"/>
  <dimension ref="A1:CK88"/>
  <sheetViews>
    <sheetView workbookViewId="0">
      <selection activeCell="C5" sqref="C5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4.710937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89" width="8.85546875" style="23"/>
    <col min="90" max="16384" width="8.85546875" style="1"/>
  </cols>
  <sheetData>
    <row r="1" spans="1:89" s="11" customFormat="1" x14ac:dyDescent="0.25">
      <c r="A1" s="12" t="s">
        <v>15</v>
      </c>
      <c r="B1" s="25" t="s">
        <v>29</v>
      </c>
      <c r="C1" s="25" t="s">
        <v>44</v>
      </c>
      <c r="D1" s="25" t="s">
        <v>12</v>
      </c>
      <c r="E1" s="25" t="s">
        <v>45</v>
      </c>
      <c r="F1" s="25" t="s">
        <v>46</v>
      </c>
      <c r="G1" s="25" t="s">
        <v>9</v>
      </c>
      <c r="H1" s="25" t="s">
        <v>30</v>
      </c>
      <c r="I1" s="25" t="s">
        <v>31</v>
      </c>
      <c r="J1" s="25" t="s">
        <v>32</v>
      </c>
      <c r="K1" s="26" t="s">
        <v>5</v>
      </c>
      <c r="L1" s="26" t="s">
        <v>33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</row>
    <row r="2" spans="1:89" s="7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</row>
    <row r="3" spans="1:89" s="5" customFormat="1" x14ac:dyDescent="0.25">
      <c r="A3" s="15">
        <v>1</v>
      </c>
      <c r="B3" s="21">
        <v>6690</v>
      </c>
      <c r="C3" s="21">
        <v>0</v>
      </c>
      <c r="D3" s="21">
        <f>POWER(C3/($O$5-1),0.5)</f>
        <v>0</v>
      </c>
      <c r="E3" s="21">
        <f>B3+3*D3</f>
        <v>6690</v>
      </c>
      <c r="F3" s="21">
        <f>B3-3*D3</f>
        <v>6690</v>
      </c>
      <c r="G3" s="21">
        <f>D3/B3*100</f>
        <v>0</v>
      </c>
      <c r="H3" s="21">
        <f t="shared" ref="H3:H8" si="0">D3/POWER($O$5, 0.5)</f>
        <v>0</v>
      </c>
      <c r="I3" s="21">
        <f t="shared" ref="I3:I8" si="1">H3*$P$5</f>
        <v>0</v>
      </c>
      <c r="J3" s="21">
        <f>I3/B3*100</f>
        <v>0</v>
      </c>
      <c r="K3" s="30">
        <f t="shared" ref="K3:K8" si="2">ROUNDUP(POWER(G3*$P$5/$Q$5,2),0)</f>
        <v>0</v>
      </c>
      <c r="L3" s="30" t="str">
        <f xml:space="preserve"> B3 &amp; " ± " &amp; (ROUNDUP(I3, 3))</f>
        <v>6690 ± 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</row>
    <row r="4" spans="1:89" s="19" customFormat="1" x14ac:dyDescent="0.25">
      <c r="A4" s="16">
        <f>A3+1</f>
        <v>2</v>
      </c>
      <c r="B4" s="21"/>
      <c r="C4" s="21">
        <v>0</v>
      </c>
      <c r="D4" s="22">
        <f>POWER(C4/($O$5-1),0.5)</f>
        <v>0</v>
      </c>
      <c r="E4" s="22">
        <f>B4+3*D4</f>
        <v>0</v>
      </c>
      <c r="F4" s="22">
        <f>B4-3*D4</f>
        <v>0</v>
      </c>
      <c r="G4" s="22" t="e">
        <f>D4/B4*100</f>
        <v>#DIV/0!</v>
      </c>
      <c r="H4" s="22">
        <f t="shared" si="0"/>
        <v>0</v>
      </c>
      <c r="I4" s="22">
        <f t="shared" si="1"/>
        <v>0</v>
      </c>
      <c r="J4" s="22" t="e">
        <f>I4/B4*100</f>
        <v>#DIV/0!</v>
      </c>
      <c r="K4" s="23" t="e">
        <f t="shared" si="2"/>
        <v>#DIV/0!</v>
      </c>
      <c r="L4" s="23" t="str">
        <f xml:space="preserve"> B4 &amp; " ± " &amp; (ROUNDUP(I4, 3))</f>
        <v xml:space="preserve"> ± 0</v>
      </c>
      <c r="M4" s="31"/>
      <c r="N4" s="32" t="s">
        <v>3</v>
      </c>
      <c r="O4" s="25" t="s">
        <v>2</v>
      </c>
      <c r="P4" s="25" t="s">
        <v>1</v>
      </c>
      <c r="Q4" s="25" t="s">
        <v>0</v>
      </c>
      <c r="R4" s="31"/>
      <c r="S4" s="31"/>
      <c r="T4" s="31"/>
      <c r="U4" s="31"/>
      <c r="V4" s="31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</row>
    <row r="5" spans="1:89" x14ac:dyDescent="0.25">
      <c r="A5" s="16">
        <f t="shared" ref="A5:A68" si="3">A4+1</f>
        <v>3</v>
      </c>
      <c r="D5" s="22">
        <f t="shared" ref="D5:D8" si="4">POWER(C5/($O$5-1),0.5)</f>
        <v>0</v>
      </c>
      <c r="E5" s="22">
        <f t="shared" ref="E5:E8" si="5">B5+3*D5</f>
        <v>0</v>
      </c>
      <c r="F5" s="22">
        <f t="shared" ref="F5:F8" si="6">B5-3*D5</f>
        <v>0</v>
      </c>
      <c r="G5" s="22" t="e">
        <f t="shared" ref="G5:G8" si="7">D5/B5*100</f>
        <v>#DIV/0!</v>
      </c>
      <c r="H5" s="22">
        <f t="shared" si="0"/>
        <v>0</v>
      </c>
      <c r="I5" s="22">
        <f t="shared" si="1"/>
        <v>0</v>
      </c>
      <c r="J5" s="22" t="e">
        <f t="shared" ref="J5:J8" si="8">I5/B5*100</f>
        <v>#DIV/0!</v>
      </c>
      <c r="K5" s="23" t="e">
        <f t="shared" si="2"/>
        <v>#DIV/0!</v>
      </c>
      <c r="L5" s="23" t="str">
        <f t="shared" ref="L5:L8" si="9" xml:space="preserve"> B5 &amp; " ± " &amp; (ROUNDUP(I5, 3))</f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89" x14ac:dyDescent="0.25">
      <c r="A6" s="16">
        <f t="shared" si="3"/>
        <v>4</v>
      </c>
      <c r="D6" s="22">
        <f t="shared" si="4"/>
        <v>0</v>
      </c>
      <c r="E6" s="22">
        <f t="shared" si="5"/>
        <v>0</v>
      </c>
      <c r="F6" s="22">
        <f t="shared" si="6"/>
        <v>0</v>
      </c>
      <c r="G6" s="22" t="e">
        <f t="shared" si="7"/>
        <v>#DIV/0!</v>
      </c>
      <c r="H6" s="22">
        <f t="shared" si="0"/>
        <v>0</v>
      </c>
      <c r="I6" s="22">
        <f t="shared" si="1"/>
        <v>0</v>
      </c>
      <c r="J6" s="22" t="e">
        <f t="shared" si="8"/>
        <v>#DIV/0!</v>
      </c>
      <c r="K6" s="23" t="e">
        <f t="shared" si="2"/>
        <v>#DIV/0!</v>
      </c>
      <c r="L6" s="23" t="str">
        <f t="shared" si="9"/>
        <v xml:space="preserve"> ± 0</v>
      </c>
    </row>
    <row r="7" spans="1:89" x14ac:dyDescent="0.25">
      <c r="A7" s="16">
        <f t="shared" si="3"/>
        <v>5</v>
      </c>
      <c r="D7" s="22">
        <f t="shared" si="4"/>
        <v>0</v>
      </c>
      <c r="E7" s="22">
        <f t="shared" si="5"/>
        <v>0</v>
      </c>
      <c r="F7" s="22">
        <f t="shared" si="6"/>
        <v>0</v>
      </c>
      <c r="G7" s="22" t="e">
        <f t="shared" si="7"/>
        <v>#DIV/0!</v>
      </c>
      <c r="H7" s="22">
        <f t="shared" si="0"/>
        <v>0</v>
      </c>
      <c r="I7" s="22">
        <f t="shared" si="1"/>
        <v>0</v>
      </c>
      <c r="J7" s="22" t="e">
        <f t="shared" si="8"/>
        <v>#DIV/0!</v>
      </c>
      <c r="K7" s="23" t="e">
        <f t="shared" si="2"/>
        <v>#DIV/0!</v>
      </c>
      <c r="L7" s="23" t="str">
        <f t="shared" si="9"/>
        <v xml:space="preserve"> ± 0</v>
      </c>
    </row>
    <row r="8" spans="1:89" x14ac:dyDescent="0.25">
      <c r="A8" s="17">
        <f t="shared" si="3"/>
        <v>6</v>
      </c>
      <c r="B8" s="22">
        <v>6689</v>
      </c>
      <c r="C8" s="22">
        <v>0</v>
      </c>
      <c r="D8" s="22">
        <f t="shared" si="4"/>
        <v>0</v>
      </c>
      <c r="E8" s="22">
        <f t="shared" si="5"/>
        <v>6689</v>
      </c>
      <c r="F8" s="22">
        <f t="shared" si="6"/>
        <v>6689</v>
      </c>
      <c r="G8" s="22">
        <f t="shared" si="7"/>
        <v>0</v>
      </c>
      <c r="H8" s="22">
        <f t="shared" si="0"/>
        <v>0</v>
      </c>
      <c r="I8" s="22">
        <f t="shared" si="1"/>
        <v>0</v>
      </c>
      <c r="J8" s="22">
        <f t="shared" si="8"/>
        <v>0</v>
      </c>
      <c r="K8" s="23">
        <f t="shared" si="2"/>
        <v>0</v>
      </c>
      <c r="L8" s="23" t="str">
        <f t="shared" si="9"/>
        <v>6689 ± 0</v>
      </c>
    </row>
    <row r="9" spans="1:89" s="19" customFormat="1" x14ac:dyDescent="0.25">
      <c r="A9" s="16">
        <f t="shared" si="3"/>
        <v>7</v>
      </c>
      <c r="B9" s="22"/>
      <c r="C9" s="22">
        <v>0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</row>
    <row r="10" spans="1:89" x14ac:dyDescent="0.25">
      <c r="A10" s="16">
        <f t="shared" si="3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89" x14ac:dyDescent="0.25">
      <c r="A11" s="16">
        <f t="shared" si="3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89" x14ac:dyDescent="0.25">
      <c r="A12" s="16">
        <f t="shared" si="3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89" x14ac:dyDescent="0.25">
      <c r="A13" s="17">
        <f t="shared" si="3"/>
        <v>11</v>
      </c>
      <c r="B13" s="22">
        <v>6701</v>
      </c>
      <c r="C13" s="22">
        <v>0</v>
      </c>
      <c r="D13" s="22">
        <f t="shared" si="10"/>
        <v>0</v>
      </c>
      <c r="E13" s="22">
        <f t="shared" si="11"/>
        <v>6701</v>
      </c>
      <c r="F13" s="22">
        <f t="shared" si="12"/>
        <v>6701</v>
      </c>
      <c r="G13" s="22">
        <f t="shared" si="13"/>
        <v>0</v>
      </c>
      <c r="H13" s="22">
        <f t="shared" si="14"/>
        <v>0</v>
      </c>
      <c r="I13" s="22">
        <f t="shared" si="15"/>
        <v>0</v>
      </c>
      <c r="J13" s="22">
        <f t="shared" si="16"/>
        <v>0</v>
      </c>
      <c r="K13" s="23">
        <f t="shared" si="17"/>
        <v>0</v>
      </c>
      <c r="L13" s="23" t="str">
        <f t="shared" si="18"/>
        <v>6701 ± 0</v>
      </c>
    </row>
    <row r="14" spans="1:89" s="19" customFormat="1" x14ac:dyDescent="0.25">
      <c r="A14" s="16">
        <f t="shared" si="3"/>
        <v>12</v>
      </c>
      <c r="B14" s="22"/>
      <c r="C14" s="22">
        <v>0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</row>
    <row r="15" spans="1:89" x14ac:dyDescent="0.25">
      <c r="A15" s="16">
        <f t="shared" si="3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89" x14ac:dyDescent="0.25">
      <c r="A16" s="16">
        <f t="shared" si="3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89" x14ac:dyDescent="0.25">
      <c r="A17" s="16">
        <f t="shared" si="3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89" x14ac:dyDescent="0.25">
      <c r="A18" s="17">
        <f t="shared" si="3"/>
        <v>16</v>
      </c>
      <c r="B18" s="22">
        <v>6642</v>
      </c>
      <c r="C18" s="22">
        <v>0</v>
      </c>
      <c r="D18" s="22">
        <f t="shared" si="10"/>
        <v>0</v>
      </c>
      <c r="E18" s="22">
        <f t="shared" si="11"/>
        <v>6642</v>
      </c>
      <c r="F18" s="22">
        <f t="shared" si="12"/>
        <v>6642</v>
      </c>
      <c r="G18" s="22">
        <f t="shared" si="13"/>
        <v>0</v>
      </c>
      <c r="H18" s="22">
        <f t="shared" si="14"/>
        <v>0</v>
      </c>
      <c r="I18" s="22">
        <f t="shared" si="15"/>
        <v>0</v>
      </c>
      <c r="J18" s="22">
        <f t="shared" si="16"/>
        <v>0</v>
      </c>
      <c r="K18" s="23">
        <f t="shared" si="17"/>
        <v>0</v>
      </c>
      <c r="L18" s="23" t="str">
        <f t="shared" si="18"/>
        <v>6642 ± 0</v>
      </c>
    </row>
    <row r="19" spans="1:89" s="19" customFormat="1" x14ac:dyDescent="0.25">
      <c r="A19" s="16">
        <f t="shared" si="3"/>
        <v>17</v>
      </c>
      <c r="B19" s="22"/>
      <c r="C19" s="22"/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</row>
    <row r="20" spans="1:89" x14ac:dyDescent="0.25">
      <c r="A20" s="16">
        <f t="shared" si="3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89" x14ac:dyDescent="0.25">
      <c r="A21" s="16">
        <f t="shared" si="3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89" x14ac:dyDescent="0.25">
      <c r="A22" s="16">
        <f t="shared" si="3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89" x14ac:dyDescent="0.25">
      <c r="A23" s="17">
        <f t="shared" si="3"/>
        <v>21</v>
      </c>
      <c r="B23" s="22">
        <v>6681</v>
      </c>
      <c r="C23" s="22">
        <v>0</v>
      </c>
      <c r="D23" s="22">
        <f t="shared" si="10"/>
        <v>0</v>
      </c>
      <c r="E23" s="22">
        <f t="shared" si="11"/>
        <v>6681</v>
      </c>
      <c r="F23" s="22">
        <f t="shared" si="12"/>
        <v>6681</v>
      </c>
      <c r="G23" s="22">
        <f t="shared" si="13"/>
        <v>0</v>
      </c>
      <c r="H23" s="22">
        <f t="shared" si="14"/>
        <v>0</v>
      </c>
      <c r="I23" s="22">
        <f t="shared" si="15"/>
        <v>0</v>
      </c>
      <c r="J23" s="22">
        <f t="shared" si="16"/>
        <v>0</v>
      </c>
      <c r="K23" s="23">
        <f t="shared" si="17"/>
        <v>0</v>
      </c>
      <c r="L23" s="23" t="str">
        <f t="shared" si="18"/>
        <v>6681 ± 0</v>
      </c>
    </row>
    <row r="24" spans="1:89" s="19" customFormat="1" x14ac:dyDescent="0.25">
      <c r="A24" s="3">
        <f t="shared" si="3"/>
        <v>22</v>
      </c>
      <c r="B24" s="22"/>
      <c r="C24" s="22"/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</row>
    <row r="25" spans="1:89" x14ac:dyDescent="0.25">
      <c r="A25" s="3">
        <f t="shared" si="3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89" x14ac:dyDescent="0.25">
      <c r="A26" s="3">
        <f t="shared" si="3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89" x14ac:dyDescent="0.25">
      <c r="A27" s="3">
        <f t="shared" si="3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89" x14ac:dyDescent="0.25">
      <c r="A28" s="17">
        <f t="shared" si="3"/>
        <v>26</v>
      </c>
      <c r="B28" s="22">
        <v>6891</v>
      </c>
      <c r="C28" s="22">
        <v>0</v>
      </c>
      <c r="D28" s="22">
        <f t="shared" si="10"/>
        <v>0</v>
      </c>
      <c r="E28" s="22">
        <f t="shared" si="11"/>
        <v>6891</v>
      </c>
      <c r="F28" s="22">
        <f t="shared" si="12"/>
        <v>6891</v>
      </c>
      <c r="G28" s="22">
        <f t="shared" si="13"/>
        <v>0</v>
      </c>
      <c r="H28" s="22">
        <f t="shared" si="14"/>
        <v>0</v>
      </c>
      <c r="I28" s="22">
        <f t="shared" si="15"/>
        <v>0</v>
      </c>
      <c r="J28" s="22">
        <f t="shared" si="16"/>
        <v>0</v>
      </c>
      <c r="K28" s="23">
        <f t="shared" si="17"/>
        <v>0</v>
      </c>
      <c r="L28" s="23" t="str">
        <f t="shared" si="18"/>
        <v>6891 ± 0</v>
      </c>
    </row>
    <row r="29" spans="1:89" s="19" customFormat="1" x14ac:dyDescent="0.25">
      <c r="A29" s="3">
        <f t="shared" si="3"/>
        <v>27</v>
      </c>
      <c r="B29" s="22"/>
      <c r="C29" s="22"/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</row>
    <row r="30" spans="1:89" x14ac:dyDescent="0.25">
      <c r="A30" s="3">
        <f t="shared" si="3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89" x14ac:dyDescent="0.25">
      <c r="A31" s="3">
        <f t="shared" si="3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89" x14ac:dyDescent="0.25">
      <c r="A32" s="3">
        <f t="shared" si="3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89" x14ac:dyDescent="0.25">
      <c r="A33" s="17">
        <f t="shared" si="3"/>
        <v>31</v>
      </c>
      <c r="B33" s="22">
        <v>6897</v>
      </c>
      <c r="C33" s="22">
        <v>0</v>
      </c>
      <c r="D33" s="22">
        <f t="shared" si="10"/>
        <v>0</v>
      </c>
      <c r="E33" s="22">
        <f t="shared" si="11"/>
        <v>6897</v>
      </c>
      <c r="F33" s="22">
        <f t="shared" si="12"/>
        <v>6897</v>
      </c>
      <c r="G33" s="22">
        <f t="shared" si="13"/>
        <v>0</v>
      </c>
      <c r="H33" s="22">
        <f t="shared" si="14"/>
        <v>0</v>
      </c>
      <c r="I33" s="22">
        <f t="shared" si="15"/>
        <v>0</v>
      </c>
      <c r="J33" s="22">
        <f t="shared" si="16"/>
        <v>0</v>
      </c>
      <c r="K33" s="23">
        <f t="shared" si="17"/>
        <v>0</v>
      </c>
      <c r="L33" s="23" t="str">
        <f t="shared" si="18"/>
        <v>6897 ± 0</v>
      </c>
    </row>
    <row r="34" spans="1:89" s="19" customFormat="1" x14ac:dyDescent="0.25">
      <c r="A34" s="3">
        <f t="shared" si="3"/>
        <v>32</v>
      </c>
      <c r="B34" s="22"/>
      <c r="C34" s="22"/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</row>
    <row r="35" spans="1:89" x14ac:dyDescent="0.25">
      <c r="A35" s="3">
        <f t="shared" si="3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89" x14ac:dyDescent="0.25">
      <c r="A36" s="3">
        <f t="shared" si="3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89" x14ac:dyDescent="0.25">
      <c r="A37" s="3">
        <f t="shared" si="3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89" x14ac:dyDescent="0.25">
      <c r="A38" s="17">
        <f t="shared" si="3"/>
        <v>36</v>
      </c>
      <c r="B38" s="22">
        <v>6733</v>
      </c>
      <c r="C38" s="22">
        <v>0</v>
      </c>
      <c r="D38" s="22">
        <f t="shared" si="10"/>
        <v>0</v>
      </c>
      <c r="E38" s="22">
        <f t="shared" si="11"/>
        <v>6733</v>
      </c>
      <c r="F38" s="22">
        <f t="shared" si="12"/>
        <v>6733</v>
      </c>
      <c r="G38" s="22">
        <f t="shared" si="13"/>
        <v>0</v>
      </c>
      <c r="H38" s="22">
        <f t="shared" si="14"/>
        <v>0</v>
      </c>
      <c r="I38" s="22">
        <f t="shared" si="15"/>
        <v>0</v>
      </c>
      <c r="J38" s="22">
        <f t="shared" si="16"/>
        <v>0</v>
      </c>
      <c r="K38" s="23">
        <f t="shared" si="17"/>
        <v>0</v>
      </c>
      <c r="L38" s="23" t="str">
        <f t="shared" si="18"/>
        <v>6733 ± 0</v>
      </c>
    </row>
    <row r="39" spans="1:89" s="19" customFormat="1" x14ac:dyDescent="0.25">
      <c r="A39" s="3">
        <f t="shared" si="3"/>
        <v>37</v>
      </c>
      <c r="B39" s="22"/>
      <c r="C39" s="22"/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</row>
    <row r="40" spans="1:89" x14ac:dyDescent="0.25">
      <c r="A40" s="3">
        <f t="shared" si="3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89" x14ac:dyDescent="0.25">
      <c r="A41" s="3">
        <f t="shared" si="3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89" x14ac:dyDescent="0.25">
      <c r="A42" s="3">
        <f t="shared" si="3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89" x14ac:dyDescent="0.25">
      <c r="A43" s="17">
        <f t="shared" si="3"/>
        <v>41</v>
      </c>
      <c r="B43" s="22">
        <v>6865</v>
      </c>
      <c r="C43" s="22">
        <v>0</v>
      </c>
      <c r="D43" s="22">
        <f t="shared" si="10"/>
        <v>0</v>
      </c>
      <c r="E43" s="22">
        <f t="shared" si="11"/>
        <v>6865</v>
      </c>
      <c r="F43" s="22">
        <f t="shared" si="12"/>
        <v>6865</v>
      </c>
      <c r="G43" s="22">
        <f t="shared" si="13"/>
        <v>0</v>
      </c>
      <c r="H43" s="22">
        <f t="shared" si="14"/>
        <v>0</v>
      </c>
      <c r="I43" s="22">
        <f t="shared" si="15"/>
        <v>0</v>
      </c>
      <c r="J43" s="22">
        <f t="shared" si="16"/>
        <v>0</v>
      </c>
      <c r="K43" s="23">
        <f t="shared" si="17"/>
        <v>0</v>
      </c>
      <c r="L43" s="23" t="str">
        <f t="shared" si="18"/>
        <v>6865 ± 0</v>
      </c>
    </row>
    <row r="44" spans="1:89" s="19" customFormat="1" x14ac:dyDescent="0.25">
      <c r="A44" s="16">
        <f t="shared" si="3"/>
        <v>42</v>
      </c>
      <c r="B44" s="22"/>
      <c r="C44" s="22"/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</row>
    <row r="45" spans="1:89" x14ac:dyDescent="0.25">
      <c r="A45" s="16">
        <f t="shared" si="3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89" x14ac:dyDescent="0.25">
      <c r="A46" s="16">
        <f t="shared" si="3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89" x14ac:dyDescent="0.25">
      <c r="A47" s="16">
        <f t="shared" si="3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89" x14ac:dyDescent="0.25">
      <c r="A48" s="17">
        <f t="shared" si="3"/>
        <v>46</v>
      </c>
      <c r="B48" s="22">
        <v>6917</v>
      </c>
      <c r="C48" s="22">
        <v>0</v>
      </c>
      <c r="D48" s="22">
        <f t="shared" si="10"/>
        <v>0</v>
      </c>
      <c r="E48" s="22">
        <f t="shared" si="11"/>
        <v>6917</v>
      </c>
      <c r="F48" s="22">
        <f t="shared" si="12"/>
        <v>6917</v>
      </c>
      <c r="G48" s="22">
        <f t="shared" si="13"/>
        <v>0</v>
      </c>
      <c r="H48" s="22">
        <f t="shared" si="14"/>
        <v>0</v>
      </c>
      <c r="I48" s="22">
        <f t="shared" si="15"/>
        <v>0</v>
      </c>
      <c r="J48" s="22">
        <f t="shared" si="16"/>
        <v>0</v>
      </c>
      <c r="K48" s="23">
        <f t="shared" si="17"/>
        <v>0</v>
      </c>
      <c r="L48" s="23" t="str">
        <f t="shared" si="18"/>
        <v>6917 ± 0</v>
      </c>
    </row>
    <row r="49" spans="1:89" s="19" customFormat="1" x14ac:dyDescent="0.25">
      <c r="A49" s="16">
        <f t="shared" si="3"/>
        <v>47</v>
      </c>
      <c r="B49" s="22"/>
      <c r="C49" s="22"/>
      <c r="D49" s="22">
        <f t="shared" si="10"/>
        <v>0</v>
      </c>
      <c r="E49" s="22">
        <f t="shared" si="11"/>
        <v>0</v>
      </c>
      <c r="F49" s="22">
        <f t="shared" si="12"/>
        <v>0</v>
      </c>
      <c r="G49" s="22" t="e">
        <f t="shared" si="13"/>
        <v>#DIV/0!</v>
      </c>
      <c r="H49" s="22">
        <f t="shared" si="14"/>
        <v>0</v>
      </c>
      <c r="I49" s="22">
        <f t="shared" si="15"/>
        <v>0</v>
      </c>
      <c r="J49" s="22" t="e">
        <f t="shared" si="16"/>
        <v>#DIV/0!</v>
      </c>
      <c r="K49" s="23" t="e">
        <f t="shared" si="17"/>
        <v>#DIV/0!</v>
      </c>
      <c r="L49" s="23" t="str">
        <f t="shared" si="18"/>
        <v xml:space="preserve"> ± 0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</row>
    <row r="50" spans="1:89" x14ac:dyDescent="0.25">
      <c r="A50" s="3">
        <f t="shared" si="3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89" x14ac:dyDescent="0.25">
      <c r="A51" s="3">
        <f t="shared" si="3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89" x14ac:dyDescent="0.25">
      <c r="A52" s="3">
        <f t="shared" si="3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89" x14ac:dyDescent="0.25">
      <c r="A53" s="17">
        <f t="shared" si="3"/>
        <v>51</v>
      </c>
      <c r="B53" s="22">
        <v>6941</v>
      </c>
      <c r="C53" s="22">
        <v>0</v>
      </c>
      <c r="D53" s="22">
        <f t="shared" si="10"/>
        <v>0</v>
      </c>
      <c r="E53" s="22">
        <f t="shared" si="11"/>
        <v>6941</v>
      </c>
      <c r="F53" s="22">
        <f t="shared" si="12"/>
        <v>6941</v>
      </c>
      <c r="G53" s="22">
        <f t="shared" si="13"/>
        <v>0</v>
      </c>
      <c r="H53" s="22">
        <f t="shared" si="14"/>
        <v>0</v>
      </c>
      <c r="I53" s="22">
        <f t="shared" si="15"/>
        <v>0</v>
      </c>
      <c r="J53" s="22">
        <f t="shared" si="16"/>
        <v>0</v>
      </c>
      <c r="K53" s="23">
        <f t="shared" si="17"/>
        <v>0</v>
      </c>
      <c r="L53" s="23" t="str">
        <f t="shared" si="18"/>
        <v>6941 ± 0</v>
      </c>
    </row>
    <row r="54" spans="1:89" x14ac:dyDescent="0.25">
      <c r="A54" s="17">
        <f t="shared" si="3"/>
        <v>52</v>
      </c>
      <c r="B54" s="22">
        <v>12704</v>
      </c>
      <c r="C54" s="22">
        <v>0</v>
      </c>
      <c r="D54" s="22">
        <f t="shared" si="10"/>
        <v>0</v>
      </c>
      <c r="E54" s="22">
        <f>B54+3*D54</f>
        <v>12704</v>
      </c>
      <c r="F54" s="22">
        <f>B54-3*D54</f>
        <v>12704</v>
      </c>
      <c r="G54" s="22">
        <f>D54/B54*100</f>
        <v>0</v>
      </c>
      <c r="H54" s="22">
        <f t="shared" si="14"/>
        <v>0</v>
      </c>
      <c r="I54" s="22">
        <f t="shared" si="15"/>
        <v>0</v>
      </c>
      <c r="J54" s="22">
        <f>I54/B54*100</f>
        <v>0</v>
      </c>
      <c r="K54" s="23">
        <f t="shared" si="17"/>
        <v>0</v>
      </c>
      <c r="L54" s="23" t="str">
        <f>B54 &amp; " ± " &amp; (ROUNDUP(I54, 3))</f>
        <v>12704 ± 0</v>
      </c>
    </row>
    <row r="55" spans="1:89" s="19" customFormat="1" x14ac:dyDescent="0.25">
      <c r="A55" s="3">
        <f t="shared" si="3"/>
        <v>53</v>
      </c>
      <c r="B55" s="22"/>
      <c r="C55" s="22"/>
      <c r="D55" s="22">
        <f t="shared" si="10"/>
        <v>0</v>
      </c>
      <c r="E55" s="22">
        <f>B54+3*D55</f>
        <v>12704</v>
      </c>
      <c r="F55" s="22">
        <f>B54-3*D55</f>
        <v>12704</v>
      </c>
      <c r="G55" s="22">
        <f>D55/B54*100</f>
        <v>0</v>
      </c>
      <c r="H55" s="22">
        <f t="shared" si="14"/>
        <v>0</v>
      </c>
      <c r="I55" s="22">
        <f t="shared" si="15"/>
        <v>0</v>
      </c>
      <c r="J55" s="22">
        <f>I55/B54*100</f>
        <v>0</v>
      </c>
      <c r="K55" s="23">
        <f t="shared" si="17"/>
        <v>0</v>
      </c>
      <c r="L55" s="23" t="str">
        <f xml:space="preserve"> B54 &amp; " ± " &amp; (ROUNDUP(I55, 3))</f>
        <v>12704 ± 0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</row>
    <row r="56" spans="1:89" s="19" customFormat="1" x14ac:dyDescent="0.25">
      <c r="A56" s="3">
        <f t="shared" si="3"/>
        <v>54</v>
      </c>
      <c r="B56" s="22"/>
      <c r="C56" s="22"/>
      <c r="D56" s="22">
        <f t="shared" si="10"/>
        <v>0</v>
      </c>
      <c r="E56" s="22">
        <f t="shared" si="11"/>
        <v>0</v>
      </c>
      <c r="F56" s="22">
        <f t="shared" si="12"/>
        <v>0</v>
      </c>
      <c r="G56" s="22" t="e">
        <f t="shared" si="13"/>
        <v>#DIV/0!</v>
      </c>
      <c r="H56" s="22">
        <f t="shared" si="14"/>
        <v>0</v>
      </c>
      <c r="I56" s="22">
        <f t="shared" si="15"/>
        <v>0</v>
      </c>
      <c r="J56" s="22" t="e">
        <f t="shared" si="16"/>
        <v>#DIV/0!</v>
      </c>
      <c r="K56" s="23" t="e">
        <f t="shared" si="17"/>
        <v>#DIV/0!</v>
      </c>
      <c r="L56" s="23" t="str">
        <f t="shared" si="18"/>
        <v xml:space="preserve"> ± 0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</row>
    <row r="57" spans="1:89" x14ac:dyDescent="0.25">
      <c r="A57" s="3">
        <f t="shared" si="3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89" x14ac:dyDescent="0.25">
      <c r="A58" s="17">
        <f t="shared" si="3"/>
        <v>56</v>
      </c>
      <c r="B58" s="22">
        <v>6917</v>
      </c>
      <c r="C58" s="22">
        <v>0</v>
      </c>
      <c r="D58" s="22">
        <f t="shared" si="10"/>
        <v>0</v>
      </c>
      <c r="E58" s="22">
        <f t="shared" si="11"/>
        <v>6917</v>
      </c>
      <c r="F58" s="22">
        <f t="shared" si="12"/>
        <v>6917</v>
      </c>
      <c r="G58" s="22">
        <f t="shared" si="13"/>
        <v>0</v>
      </c>
      <c r="H58" s="22">
        <f t="shared" si="14"/>
        <v>0</v>
      </c>
      <c r="I58" s="22">
        <f t="shared" si="15"/>
        <v>0</v>
      </c>
      <c r="J58" s="22">
        <f t="shared" si="16"/>
        <v>0</v>
      </c>
      <c r="K58" s="23">
        <f t="shared" si="17"/>
        <v>0</v>
      </c>
      <c r="L58" s="23" t="str">
        <f t="shared" si="18"/>
        <v>6917 ± 0</v>
      </c>
    </row>
    <row r="59" spans="1:89" x14ac:dyDescent="0.25">
      <c r="A59" s="17">
        <f t="shared" si="3"/>
        <v>57</v>
      </c>
      <c r="B59" s="22">
        <v>12783</v>
      </c>
      <c r="C59" s="22">
        <v>0</v>
      </c>
      <c r="D59" s="22">
        <f t="shared" si="10"/>
        <v>0</v>
      </c>
      <c r="E59" s="22">
        <f t="shared" si="11"/>
        <v>12783</v>
      </c>
      <c r="F59" s="22">
        <f t="shared" si="12"/>
        <v>12783</v>
      </c>
      <c r="G59" s="22">
        <f t="shared" si="13"/>
        <v>0</v>
      </c>
      <c r="H59" s="22">
        <f t="shared" si="14"/>
        <v>0</v>
      </c>
      <c r="I59" s="22">
        <f t="shared" si="15"/>
        <v>0</v>
      </c>
      <c r="J59" s="22">
        <f t="shared" si="16"/>
        <v>0</v>
      </c>
      <c r="K59" s="23">
        <f t="shared" si="17"/>
        <v>0</v>
      </c>
      <c r="L59" s="23" t="str">
        <f t="shared" si="18"/>
        <v>12783 ± 0</v>
      </c>
    </row>
    <row r="60" spans="1:89" s="19" customFormat="1" x14ac:dyDescent="0.25">
      <c r="A60" s="3">
        <f t="shared" si="3"/>
        <v>58</v>
      </c>
      <c r="B60" s="22"/>
      <c r="C60" s="22"/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</row>
    <row r="61" spans="1:89" s="19" customFormat="1" x14ac:dyDescent="0.25">
      <c r="A61" s="3">
        <f t="shared" si="3"/>
        <v>59</v>
      </c>
      <c r="B61" s="22"/>
      <c r="C61" s="22"/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</row>
    <row r="62" spans="1:89" x14ac:dyDescent="0.25">
      <c r="A62" s="3">
        <f t="shared" si="3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89" x14ac:dyDescent="0.25">
      <c r="A63" s="18">
        <f t="shared" si="3"/>
        <v>61</v>
      </c>
      <c r="B63" s="22">
        <v>6807</v>
      </c>
      <c r="C63" s="22">
        <v>0</v>
      </c>
      <c r="D63" s="22">
        <f t="shared" si="10"/>
        <v>0</v>
      </c>
      <c r="E63" s="22">
        <f t="shared" si="11"/>
        <v>6807</v>
      </c>
      <c r="F63" s="22">
        <f t="shared" si="12"/>
        <v>6807</v>
      </c>
      <c r="G63" s="22">
        <f t="shared" si="13"/>
        <v>0</v>
      </c>
      <c r="H63" s="22">
        <f t="shared" si="14"/>
        <v>0</v>
      </c>
      <c r="I63" s="22">
        <f t="shared" si="15"/>
        <v>0</v>
      </c>
      <c r="J63" s="22">
        <f t="shared" si="16"/>
        <v>0</v>
      </c>
      <c r="K63" s="23">
        <f t="shared" si="17"/>
        <v>0</v>
      </c>
      <c r="L63" s="23" t="str">
        <f t="shared" si="18"/>
        <v>6807 ± 0</v>
      </c>
    </row>
    <row r="64" spans="1:89" s="19" customFormat="1" x14ac:dyDescent="0.25">
      <c r="A64" s="16">
        <f t="shared" si="3"/>
        <v>62</v>
      </c>
      <c r="B64" s="22"/>
      <c r="C64" s="22"/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</row>
    <row r="65" spans="1:89" x14ac:dyDescent="0.25">
      <c r="A65" s="16">
        <f t="shared" si="3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89" x14ac:dyDescent="0.25">
      <c r="A66" s="16">
        <f t="shared" si="3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89" x14ac:dyDescent="0.25">
      <c r="A67" s="16">
        <f t="shared" si="3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89" x14ac:dyDescent="0.25">
      <c r="A68" s="17">
        <f t="shared" si="3"/>
        <v>66</v>
      </c>
      <c r="B68" s="22">
        <v>6741</v>
      </c>
      <c r="C68" s="22">
        <v>0</v>
      </c>
      <c r="D68" s="22">
        <f t="shared" si="10"/>
        <v>0</v>
      </c>
      <c r="E68" s="22">
        <f t="shared" si="11"/>
        <v>6741</v>
      </c>
      <c r="F68" s="22">
        <f t="shared" si="12"/>
        <v>6741</v>
      </c>
      <c r="G68" s="22">
        <f t="shared" si="13"/>
        <v>0</v>
      </c>
      <c r="H68" s="22">
        <f t="shared" si="14"/>
        <v>0</v>
      </c>
      <c r="I68" s="22">
        <f t="shared" si="15"/>
        <v>0</v>
      </c>
      <c r="J68" s="22">
        <f t="shared" si="16"/>
        <v>0</v>
      </c>
      <c r="K68" s="23">
        <f t="shared" si="17"/>
        <v>0</v>
      </c>
      <c r="L68" s="23" t="str">
        <f t="shared" si="18"/>
        <v>6741 ± 0</v>
      </c>
    </row>
    <row r="69" spans="1:89" s="19" customFormat="1" x14ac:dyDescent="0.25">
      <c r="A69" s="16">
        <f t="shared" ref="A69:A78" si="19">A68+1</f>
        <v>67</v>
      </c>
      <c r="B69" s="22"/>
      <c r="C69" s="22"/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</row>
    <row r="70" spans="1:89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89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89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89" x14ac:dyDescent="0.25">
      <c r="A73" s="17">
        <f t="shared" si="19"/>
        <v>71</v>
      </c>
      <c r="B73" s="22">
        <v>6793</v>
      </c>
      <c r="C73" s="22">
        <v>0</v>
      </c>
      <c r="D73" s="22">
        <f t="shared" ref="D73:D78" si="20">POWER(C73/($O$5-1),0.5)</f>
        <v>0</v>
      </c>
      <c r="E73" s="22">
        <f t="shared" ref="E73:E78" si="21">B73+3*D73</f>
        <v>6793</v>
      </c>
      <c r="F73" s="22">
        <f t="shared" ref="F73:F78" si="22">B73-3*D73</f>
        <v>6793</v>
      </c>
      <c r="G73" s="22">
        <f t="shared" ref="G73:G78" si="23">D73/B73*100</f>
        <v>0</v>
      </c>
      <c r="H73" s="22">
        <f t="shared" ref="H73:H78" si="24">D73/POWER($O$5, 0.5)</f>
        <v>0</v>
      </c>
      <c r="I73" s="22">
        <f t="shared" ref="I73:I78" si="25">H73*$P$5</f>
        <v>0</v>
      </c>
      <c r="J73" s="22">
        <f t="shared" ref="J73:J78" si="26">I73/B73*100</f>
        <v>0</v>
      </c>
      <c r="K73" s="23">
        <f t="shared" ref="K73:K78" si="27">ROUNDUP(POWER(G73*$P$5/$Q$5,2),0)</f>
        <v>0</v>
      </c>
      <c r="L73" s="23" t="str">
        <f t="shared" ref="L73:L78" si="28" xml:space="preserve"> B73 &amp; " ± " &amp; (ROUNDUP(I73, 3))</f>
        <v>6793 ± 0</v>
      </c>
    </row>
    <row r="74" spans="1:89" s="19" customFormat="1" x14ac:dyDescent="0.25">
      <c r="A74" s="16">
        <f t="shared" si="19"/>
        <v>72</v>
      </c>
      <c r="B74" s="22"/>
      <c r="C74" s="22"/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</row>
    <row r="75" spans="1:89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89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89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89" x14ac:dyDescent="0.25">
      <c r="A78" s="17">
        <f t="shared" si="19"/>
        <v>76</v>
      </c>
      <c r="B78" s="22">
        <v>6638</v>
      </c>
      <c r="C78" s="22">
        <v>0</v>
      </c>
      <c r="D78" s="22">
        <f t="shared" si="20"/>
        <v>0</v>
      </c>
      <c r="E78" s="22">
        <f t="shared" si="21"/>
        <v>6638</v>
      </c>
      <c r="F78" s="22">
        <f t="shared" si="22"/>
        <v>6638</v>
      </c>
      <c r="G78" s="22">
        <f t="shared" si="23"/>
        <v>0</v>
      </c>
      <c r="H78" s="22">
        <f t="shared" si="24"/>
        <v>0</v>
      </c>
      <c r="I78" s="22">
        <f t="shared" si="25"/>
        <v>0</v>
      </c>
      <c r="J78" s="22">
        <f t="shared" si="26"/>
        <v>0</v>
      </c>
      <c r="K78" s="23">
        <f t="shared" si="27"/>
        <v>0</v>
      </c>
      <c r="L78" s="23" t="str">
        <f t="shared" si="28"/>
        <v>6638 ± 0</v>
      </c>
    </row>
    <row r="79" spans="1:89" s="19" customFormat="1" x14ac:dyDescent="0.25">
      <c r="A79" s="16"/>
      <c r="B79" s="22"/>
      <c r="C79" s="22"/>
      <c r="D79" s="22">
        <f t="shared" ref="D79:D87" si="29">POWER(C79/($O$5-1),0.5)</f>
        <v>0</v>
      </c>
      <c r="E79" s="22">
        <f t="shared" ref="E79:E87" si="30">B79+3*D79</f>
        <v>0</v>
      </c>
      <c r="F79" s="22">
        <f t="shared" ref="F79:F87" si="31">B79-3*D79</f>
        <v>0</v>
      </c>
      <c r="G79" s="22" t="e">
        <f t="shared" ref="G79:G87" si="32">D79/B79*100</f>
        <v>#DIV/0!</v>
      </c>
      <c r="H79" s="22">
        <f t="shared" ref="H79:H87" si="33">D79/POWER($O$5, 0.5)</f>
        <v>0</v>
      </c>
      <c r="I79" s="22">
        <f t="shared" ref="I79:I87" si="34">H79*$P$5</f>
        <v>0</v>
      </c>
      <c r="J79" s="22" t="e">
        <f t="shared" ref="J79:J87" si="35">I79/B79*100</f>
        <v>#DIV/0!</v>
      </c>
      <c r="K79" s="23" t="e">
        <f t="shared" ref="K79:K87" si="36">ROUNDUP(POWER(G79*$P$5/$Q$5,2),0)</f>
        <v>#DIV/0!</v>
      </c>
      <c r="L79" s="23" t="str">
        <f t="shared" ref="L79:L87" si="37" xml:space="preserve"> B79 &amp; " ± " &amp; (ROUNDUP(I79, 3))</f>
        <v xml:space="preserve"> ± 0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</row>
    <row r="80" spans="1:89" x14ac:dyDescent="0.25">
      <c r="A80" s="16"/>
      <c r="D80" s="22">
        <f t="shared" si="29"/>
        <v>0</v>
      </c>
      <c r="E80" s="22">
        <f t="shared" si="30"/>
        <v>0</v>
      </c>
      <c r="F80" s="22">
        <f t="shared" si="31"/>
        <v>0</v>
      </c>
      <c r="G80" s="22" t="e">
        <f t="shared" si="32"/>
        <v>#DIV/0!</v>
      </c>
      <c r="H80" s="22">
        <f t="shared" si="33"/>
        <v>0</v>
      </c>
      <c r="I80" s="22">
        <f t="shared" si="34"/>
        <v>0</v>
      </c>
      <c r="J80" s="22" t="e">
        <f t="shared" si="35"/>
        <v>#DIV/0!</v>
      </c>
      <c r="K80" s="23" t="e">
        <f t="shared" si="36"/>
        <v>#DIV/0!</v>
      </c>
      <c r="L80" s="23" t="str">
        <f t="shared" si="37"/>
        <v xml:space="preserve"> ± 0</v>
      </c>
    </row>
    <row r="81" spans="1:12" x14ac:dyDescent="0.25">
      <c r="A81" s="17" t="s">
        <v>61</v>
      </c>
      <c r="B81" s="22">
        <v>6719</v>
      </c>
      <c r="C81" s="22">
        <v>0</v>
      </c>
      <c r="D81" s="22">
        <f t="shared" si="29"/>
        <v>0</v>
      </c>
      <c r="E81" s="22">
        <f t="shared" si="30"/>
        <v>6719</v>
      </c>
      <c r="F81" s="22">
        <f t="shared" si="31"/>
        <v>6719</v>
      </c>
      <c r="G81" s="22">
        <f t="shared" si="32"/>
        <v>0</v>
      </c>
      <c r="H81" s="22">
        <f t="shared" si="33"/>
        <v>0</v>
      </c>
      <c r="I81" s="22">
        <f t="shared" si="34"/>
        <v>0</v>
      </c>
      <c r="J81" s="22">
        <f t="shared" si="35"/>
        <v>0</v>
      </c>
      <c r="K81" s="23">
        <f t="shared" si="36"/>
        <v>0</v>
      </c>
      <c r="L81" s="23" t="str">
        <f t="shared" si="37"/>
        <v>6719 ± 0</v>
      </c>
    </row>
    <row r="82" spans="1:12" x14ac:dyDescent="0.25">
      <c r="A82" s="17" t="s">
        <v>62</v>
      </c>
      <c r="B82" s="22">
        <v>6993</v>
      </c>
      <c r="C82" s="22">
        <v>0</v>
      </c>
      <c r="D82" s="22">
        <f t="shared" si="29"/>
        <v>0</v>
      </c>
      <c r="E82" s="22">
        <f t="shared" si="30"/>
        <v>6993</v>
      </c>
      <c r="F82" s="22">
        <f t="shared" si="31"/>
        <v>6993</v>
      </c>
      <c r="G82" s="22">
        <f t="shared" si="32"/>
        <v>0</v>
      </c>
      <c r="H82" s="22">
        <f t="shared" si="33"/>
        <v>0</v>
      </c>
      <c r="I82" s="22">
        <f t="shared" si="34"/>
        <v>0</v>
      </c>
      <c r="J82" s="22">
        <f t="shared" si="35"/>
        <v>0</v>
      </c>
      <c r="K82" s="23">
        <f t="shared" si="36"/>
        <v>0</v>
      </c>
      <c r="L82" s="23" t="str">
        <f t="shared" si="37"/>
        <v>6993 ± 0</v>
      </c>
    </row>
    <row r="83" spans="1:12" x14ac:dyDescent="0.25">
      <c r="A83" s="17" t="s">
        <v>63</v>
      </c>
      <c r="B83" s="22">
        <v>6508</v>
      </c>
      <c r="C83" s="22">
        <v>0</v>
      </c>
      <c r="D83" s="22">
        <f t="shared" si="29"/>
        <v>0</v>
      </c>
      <c r="E83" s="22">
        <f t="shared" si="30"/>
        <v>6508</v>
      </c>
      <c r="F83" s="22">
        <f t="shared" si="31"/>
        <v>6508</v>
      </c>
      <c r="G83" s="22">
        <f t="shared" si="32"/>
        <v>0</v>
      </c>
      <c r="H83" s="22">
        <f t="shared" si="33"/>
        <v>0</v>
      </c>
      <c r="I83" s="22">
        <f t="shared" si="34"/>
        <v>0</v>
      </c>
      <c r="J83" s="22">
        <f t="shared" si="35"/>
        <v>0</v>
      </c>
      <c r="K83" s="23">
        <f t="shared" si="36"/>
        <v>0</v>
      </c>
      <c r="L83" s="23" t="str">
        <f t="shared" si="37"/>
        <v>6508 ± 0</v>
      </c>
    </row>
    <row r="84" spans="1:12" x14ac:dyDescent="0.25">
      <c r="A84" s="17" t="s">
        <v>64</v>
      </c>
      <c r="B84" s="22">
        <v>6594</v>
      </c>
      <c r="C84" s="22">
        <v>0</v>
      </c>
      <c r="D84" s="22">
        <f t="shared" si="29"/>
        <v>0</v>
      </c>
      <c r="E84" s="22">
        <f t="shared" si="30"/>
        <v>6594</v>
      </c>
      <c r="F84" s="22">
        <f t="shared" si="31"/>
        <v>6594</v>
      </c>
      <c r="G84" s="22">
        <f t="shared" si="32"/>
        <v>0</v>
      </c>
      <c r="H84" s="22">
        <f t="shared" si="33"/>
        <v>0</v>
      </c>
      <c r="I84" s="22">
        <f t="shared" si="34"/>
        <v>0</v>
      </c>
      <c r="J84" s="22">
        <f t="shared" si="35"/>
        <v>0</v>
      </c>
      <c r="K84" s="23">
        <f t="shared" si="36"/>
        <v>0</v>
      </c>
      <c r="L84" s="23" t="str">
        <f t="shared" si="37"/>
        <v>6594 ± 0</v>
      </c>
    </row>
    <row r="85" spans="1:12" x14ac:dyDescent="0.25">
      <c r="A85" s="17" t="s">
        <v>65</v>
      </c>
      <c r="B85" s="22">
        <v>6656</v>
      </c>
      <c r="C85" s="22">
        <v>0</v>
      </c>
      <c r="D85" s="22">
        <f t="shared" si="29"/>
        <v>0</v>
      </c>
      <c r="E85" s="22">
        <f t="shared" si="30"/>
        <v>6656</v>
      </c>
      <c r="F85" s="22">
        <f t="shared" si="31"/>
        <v>6656</v>
      </c>
      <c r="G85" s="22">
        <f t="shared" si="32"/>
        <v>0</v>
      </c>
      <c r="H85" s="22">
        <f t="shared" si="33"/>
        <v>0</v>
      </c>
      <c r="I85" s="22">
        <f t="shared" si="34"/>
        <v>0</v>
      </c>
      <c r="J85" s="22">
        <f t="shared" si="35"/>
        <v>0</v>
      </c>
      <c r="K85" s="23">
        <f t="shared" si="36"/>
        <v>0</v>
      </c>
      <c r="L85" s="23" t="str">
        <f t="shared" si="37"/>
        <v>6656 ± 0</v>
      </c>
    </row>
    <row r="86" spans="1:12" x14ac:dyDescent="0.25">
      <c r="A86" s="17" t="s">
        <v>66</v>
      </c>
      <c r="B86" s="22">
        <v>6668</v>
      </c>
      <c r="C86" s="22">
        <v>0</v>
      </c>
      <c r="D86" s="22">
        <f t="shared" si="29"/>
        <v>0</v>
      </c>
      <c r="E86" s="22">
        <f t="shared" si="30"/>
        <v>6668</v>
      </c>
      <c r="F86" s="22">
        <f t="shared" si="31"/>
        <v>6668</v>
      </c>
      <c r="G86" s="22">
        <f t="shared" si="32"/>
        <v>0</v>
      </c>
      <c r="H86" s="22">
        <f t="shared" si="33"/>
        <v>0</v>
      </c>
      <c r="I86" s="22">
        <f t="shared" si="34"/>
        <v>0</v>
      </c>
      <c r="J86" s="22">
        <f t="shared" si="35"/>
        <v>0</v>
      </c>
      <c r="K86" s="23">
        <f t="shared" si="36"/>
        <v>0</v>
      </c>
      <c r="L86" s="23" t="str">
        <f t="shared" si="37"/>
        <v>6668 ± 0</v>
      </c>
    </row>
    <row r="87" spans="1:12" x14ac:dyDescent="0.25">
      <c r="A87" s="17" t="s">
        <v>67</v>
      </c>
      <c r="B87" s="22">
        <v>6503</v>
      </c>
      <c r="C87" s="22">
        <v>0</v>
      </c>
      <c r="D87" s="22">
        <f t="shared" si="29"/>
        <v>0</v>
      </c>
      <c r="E87" s="22">
        <f t="shared" si="30"/>
        <v>6503</v>
      </c>
      <c r="F87" s="22">
        <f t="shared" si="31"/>
        <v>6503</v>
      </c>
      <c r="G87" s="22">
        <f t="shared" si="32"/>
        <v>0</v>
      </c>
      <c r="H87" s="22">
        <f t="shared" si="33"/>
        <v>0</v>
      </c>
      <c r="I87" s="22">
        <f t="shared" si="34"/>
        <v>0</v>
      </c>
      <c r="J87" s="22">
        <f t="shared" si="35"/>
        <v>0</v>
      </c>
      <c r="K87" s="23">
        <f t="shared" si="36"/>
        <v>0</v>
      </c>
      <c r="L87" s="23" t="str">
        <f t="shared" si="37"/>
        <v>6503 ± 0</v>
      </c>
    </row>
    <row r="88" spans="1:12" x14ac:dyDescent="0.25">
      <c r="A88" s="17" t="s">
        <v>68</v>
      </c>
      <c r="B88" s="22">
        <v>6515</v>
      </c>
      <c r="C88" s="2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0705-A62D-41E8-A7A5-64EEE9B86124}">
  <sheetPr codeName="Лист2"/>
  <dimension ref="A1:V88"/>
  <sheetViews>
    <sheetView topLeftCell="A57" workbookViewId="0">
      <selection activeCell="N83" sqref="N83"/>
    </sheetView>
  </sheetViews>
  <sheetFormatPr defaultColWidth="8.85546875" defaultRowHeight="15" x14ac:dyDescent="0.25"/>
  <cols>
    <col min="1" max="1" width="33.28515625" style="3" customWidth="1"/>
    <col min="2" max="2" width="15.7109375" style="22" customWidth="1"/>
    <col min="3" max="3" width="24" style="22" customWidth="1"/>
    <col min="4" max="4" width="12.140625" style="22" customWidth="1"/>
    <col min="5" max="5" width="15.7109375" style="22" customWidth="1"/>
    <col min="6" max="6" width="14.7109375" style="22" customWidth="1"/>
    <col min="7" max="10" width="8.85546875" style="22"/>
    <col min="11" max="11" width="8.85546875" style="23"/>
    <col min="12" max="12" width="18.42578125" style="23" customWidth="1"/>
    <col min="13" max="22" width="8.85546875" style="31"/>
    <col min="23" max="16384" width="8.85546875" style="23"/>
  </cols>
  <sheetData>
    <row r="1" spans="1:17" s="26" customFormat="1" x14ac:dyDescent="0.25">
      <c r="A1" s="12" t="s">
        <v>15</v>
      </c>
      <c r="B1" s="25" t="s">
        <v>34</v>
      </c>
      <c r="C1" s="25" t="s">
        <v>35</v>
      </c>
      <c r="D1" s="25" t="s">
        <v>36</v>
      </c>
      <c r="E1" s="25" t="s">
        <v>37</v>
      </c>
      <c r="F1" s="25" t="s">
        <v>38</v>
      </c>
      <c r="G1" s="25" t="s">
        <v>9</v>
      </c>
      <c r="H1" s="25" t="s">
        <v>39</v>
      </c>
      <c r="I1" s="25" t="s">
        <v>40</v>
      </c>
      <c r="J1" s="25" t="s">
        <v>41</v>
      </c>
      <c r="K1" s="26" t="s">
        <v>5</v>
      </c>
      <c r="L1" s="26" t="s">
        <v>42</v>
      </c>
    </row>
    <row r="2" spans="1:17" s="29" customFormat="1" ht="15.75" thickBot="1" x14ac:dyDescent="0.3">
      <c r="A2" s="10"/>
      <c r="B2" s="27"/>
      <c r="C2" s="28"/>
      <c r="D2" s="28"/>
      <c r="E2" s="28"/>
      <c r="F2" s="28"/>
      <c r="G2" s="28"/>
      <c r="H2" s="28"/>
      <c r="I2" s="28"/>
      <c r="J2" s="28"/>
    </row>
    <row r="3" spans="1:17" s="30" customFormat="1" x14ac:dyDescent="0.25">
      <c r="A3" s="15">
        <v>1</v>
      </c>
      <c r="B3" s="21">
        <v>7936</v>
      </c>
      <c r="C3" s="21">
        <v>0</v>
      </c>
      <c r="D3" s="21">
        <f t="shared" ref="D3:D8" si="0">POWER(C3/($O$5-1),0.5)</f>
        <v>0</v>
      </c>
      <c r="E3" s="21">
        <f t="shared" ref="E3:E8" si="1">B3+3*D3</f>
        <v>7936</v>
      </c>
      <c r="F3" s="21">
        <f t="shared" ref="F3:F8" si="2">B3-3*D3</f>
        <v>7936</v>
      </c>
      <c r="G3" s="21">
        <f t="shared" ref="G3:G8" si="3">D3/B3*100</f>
        <v>0</v>
      </c>
      <c r="H3" s="21">
        <f t="shared" ref="H3:H8" si="4">D3/POWER($O$5, 0.5)</f>
        <v>0</v>
      </c>
      <c r="I3" s="21">
        <f t="shared" ref="I3:I8" si="5">H3*$P$5</f>
        <v>0</v>
      </c>
      <c r="J3" s="21">
        <f t="shared" ref="J3:J8" si="6">I3/B3*100</f>
        <v>0</v>
      </c>
      <c r="K3" s="30">
        <f t="shared" ref="K3:K8" si="7">ROUNDUP(POWER(G3*$P$5/$Q$5,2),0)</f>
        <v>0</v>
      </c>
      <c r="L3" s="30" t="str">
        <f t="shared" ref="L3:L8" si="8" xml:space="preserve"> B3 &amp; " ± " &amp; (ROUNDUP(I3, 3))</f>
        <v>7936 ± 0</v>
      </c>
    </row>
    <row r="4" spans="1:17" x14ac:dyDescent="0.25">
      <c r="A4" s="16">
        <f>A3+1</f>
        <v>2</v>
      </c>
      <c r="B4" s="21"/>
      <c r="C4" s="21"/>
      <c r="D4" s="22">
        <f t="shared" si="0"/>
        <v>0</v>
      </c>
      <c r="E4" s="22">
        <f t="shared" si="1"/>
        <v>0</v>
      </c>
      <c r="F4" s="22">
        <f t="shared" si="2"/>
        <v>0</v>
      </c>
      <c r="G4" s="22" t="e">
        <f t="shared" si="3"/>
        <v>#DIV/0!</v>
      </c>
      <c r="H4" s="22">
        <f t="shared" si="4"/>
        <v>0</v>
      </c>
      <c r="I4" s="22">
        <f t="shared" si="5"/>
        <v>0</v>
      </c>
      <c r="J4" s="22" t="e">
        <f t="shared" si="6"/>
        <v>#DIV/0!</v>
      </c>
      <c r="K4" s="23" t="e">
        <f t="shared" si="7"/>
        <v>#DIV/0!</v>
      </c>
      <c r="L4" s="23" t="str">
        <f t="shared" si="8"/>
        <v xml:space="preserve"> ± 0</v>
      </c>
      <c r="N4" s="32" t="s">
        <v>3</v>
      </c>
      <c r="O4" s="25" t="s">
        <v>2</v>
      </c>
      <c r="P4" s="25" t="s">
        <v>1</v>
      </c>
      <c r="Q4" s="25" t="s">
        <v>0</v>
      </c>
    </row>
    <row r="5" spans="1:17" x14ac:dyDescent="0.25">
      <c r="A5" s="16">
        <f t="shared" ref="A5:A68" si="9">A4+1</f>
        <v>3</v>
      </c>
      <c r="D5" s="22">
        <f t="shared" si="0"/>
        <v>0</v>
      </c>
      <c r="E5" s="22">
        <f t="shared" si="1"/>
        <v>0</v>
      </c>
      <c r="F5" s="22">
        <f t="shared" si="2"/>
        <v>0</v>
      </c>
      <c r="G5" s="22" t="e">
        <f t="shared" si="3"/>
        <v>#DIV/0!</v>
      </c>
      <c r="H5" s="22">
        <f t="shared" si="4"/>
        <v>0</v>
      </c>
      <c r="I5" s="22">
        <f t="shared" si="5"/>
        <v>0</v>
      </c>
      <c r="J5" s="22" t="e">
        <f t="shared" si="6"/>
        <v>#DIV/0!</v>
      </c>
      <c r="K5" s="23" t="e">
        <f t="shared" si="7"/>
        <v>#DIV/0!</v>
      </c>
      <c r="L5" s="23" t="str">
        <f t="shared" si="8"/>
        <v xml:space="preserve"> ± 0</v>
      </c>
      <c r="N5" s="20">
        <v>0.95</v>
      </c>
      <c r="O5" s="33">
        <v>30</v>
      </c>
      <c r="P5" s="22">
        <v>2</v>
      </c>
      <c r="Q5" s="22">
        <v>5</v>
      </c>
    </row>
    <row r="6" spans="1:17" x14ac:dyDescent="0.25">
      <c r="A6" s="16">
        <f t="shared" si="9"/>
        <v>4</v>
      </c>
      <c r="D6" s="22">
        <f t="shared" si="0"/>
        <v>0</v>
      </c>
      <c r="E6" s="22">
        <f t="shared" si="1"/>
        <v>0</v>
      </c>
      <c r="F6" s="22">
        <f t="shared" si="2"/>
        <v>0</v>
      </c>
      <c r="G6" s="22" t="e">
        <f t="shared" si="3"/>
        <v>#DIV/0!</v>
      </c>
      <c r="H6" s="22">
        <f t="shared" si="4"/>
        <v>0</v>
      </c>
      <c r="I6" s="22">
        <f t="shared" si="5"/>
        <v>0</v>
      </c>
      <c r="J6" s="22" t="e">
        <f t="shared" si="6"/>
        <v>#DIV/0!</v>
      </c>
      <c r="K6" s="23" t="e">
        <f t="shared" si="7"/>
        <v>#DIV/0!</v>
      </c>
      <c r="L6" s="23" t="str">
        <f t="shared" si="8"/>
        <v xml:space="preserve"> ± 0</v>
      </c>
    </row>
    <row r="7" spans="1:17" x14ac:dyDescent="0.25">
      <c r="A7" s="16">
        <f t="shared" si="9"/>
        <v>5</v>
      </c>
      <c r="D7" s="22">
        <f t="shared" si="0"/>
        <v>0</v>
      </c>
      <c r="E7" s="22">
        <f t="shared" si="1"/>
        <v>0</v>
      </c>
      <c r="F7" s="22">
        <f t="shared" si="2"/>
        <v>0</v>
      </c>
      <c r="G7" s="22" t="e">
        <f t="shared" si="3"/>
        <v>#DIV/0!</v>
      </c>
      <c r="H7" s="22">
        <f t="shared" si="4"/>
        <v>0</v>
      </c>
      <c r="I7" s="22">
        <f t="shared" si="5"/>
        <v>0</v>
      </c>
      <c r="J7" s="22" t="e">
        <f t="shared" si="6"/>
        <v>#DIV/0!</v>
      </c>
      <c r="K7" s="23" t="e">
        <f t="shared" si="7"/>
        <v>#DIV/0!</v>
      </c>
      <c r="L7" s="23" t="str">
        <f t="shared" si="8"/>
        <v xml:space="preserve"> ± 0</v>
      </c>
    </row>
    <row r="8" spans="1:17" x14ac:dyDescent="0.25">
      <c r="A8" s="17">
        <f t="shared" si="9"/>
        <v>6</v>
      </c>
      <c r="B8" s="22">
        <v>7936</v>
      </c>
      <c r="C8" s="22">
        <v>0</v>
      </c>
      <c r="D8" s="22">
        <f t="shared" si="0"/>
        <v>0</v>
      </c>
      <c r="E8" s="22">
        <f t="shared" si="1"/>
        <v>7936</v>
      </c>
      <c r="F8" s="22">
        <f t="shared" si="2"/>
        <v>7936</v>
      </c>
      <c r="G8" s="22">
        <f t="shared" si="3"/>
        <v>0</v>
      </c>
      <c r="H8" s="22">
        <f t="shared" si="4"/>
        <v>0</v>
      </c>
      <c r="I8" s="22">
        <f t="shared" si="5"/>
        <v>0</v>
      </c>
      <c r="J8" s="22">
        <f t="shared" si="6"/>
        <v>0</v>
      </c>
      <c r="K8" s="23">
        <f t="shared" si="7"/>
        <v>0</v>
      </c>
      <c r="L8" s="23" t="str">
        <f t="shared" si="8"/>
        <v>7936 ± 0</v>
      </c>
    </row>
    <row r="9" spans="1:17" x14ac:dyDescent="0.25">
      <c r="A9" s="16">
        <f t="shared" si="9"/>
        <v>7</v>
      </c>
      <c r="D9" s="22">
        <f t="shared" ref="D9:D72" si="10">POWER(C9/($O$5-1),0.5)</f>
        <v>0</v>
      </c>
      <c r="E9" s="22">
        <f t="shared" ref="E9:E72" si="11">B9+3*D9</f>
        <v>0</v>
      </c>
      <c r="F9" s="22">
        <f t="shared" ref="F9:F72" si="12">B9-3*D9</f>
        <v>0</v>
      </c>
      <c r="G9" s="22" t="e">
        <f t="shared" ref="G9:G72" si="13">D9/B9*100</f>
        <v>#DIV/0!</v>
      </c>
      <c r="H9" s="22">
        <f t="shared" ref="H9:H72" si="14">D9/POWER($O$5, 0.5)</f>
        <v>0</v>
      </c>
      <c r="I9" s="22">
        <f t="shared" ref="I9:I72" si="15">H9*$P$5</f>
        <v>0</v>
      </c>
      <c r="J9" s="22" t="e">
        <f t="shared" ref="J9:J72" si="16">I9/B9*100</f>
        <v>#DIV/0!</v>
      </c>
      <c r="K9" s="23" t="e">
        <f t="shared" ref="K9:K72" si="17">ROUNDUP(POWER(G9*$P$5/$Q$5,2),0)</f>
        <v>#DIV/0!</v>
      </c>
      <c r="L9" s="23" t="str">
        <f t="shared" ref="L9:L72" si="18" xml:space="preserve"> B9 &amp; " ± " &amp; (ROUNDUP(I9, 3))</f>
        <v xml:space="preserve"> ± 0</v>
      </c>
    </row>
    <row r="10" spans="1:17" x14ac:dyDescent="0.25">
      <c r="A10" s="16">
        <f t="shared" si="9"/>
        <v>8</v>
      </c>
      <c r="D10" s="22">
        <f t="shared" si="10"/>
        <v>0</v>
      </c>
      <c r="E10" s="22">
        <f t="shared" si="11"/>
        <v>0</v>
      </c>
      <c r="F10" s="22">
        <f t="shared" si="12"/>
        <v>0</v>
      </c>
      <c r="G10" s="22" t="e">
        <f t="shared" si="13"/>
        <v>#DIV/0!</v>
      </c>
      <c r="H10" s="22">
        <f t="shared" si="14"/>
        <v>0</v>
      </c>
      <c r="I10" s="22">
        <f t="shared" si="15"/>
        <v>0</v>
      </c>
      <c r="J10" s="22" t="e">
        <f t="shared" si="16"/>
        <v>#DIV/0!</v>
      </c>
      <c r="K10" s="23" t="e">
        <f t="shared" si="17"/>
        <v>#DIV/0!</v>
      </c>
      <c r="L10" s="23" t="str">
        <f t="shared" si="18"/>
        <v xml:space="preserve"> ± 0</v>
      </c>
    </row>
    <row r="11" spans="1:17" x14ac:dyDescent="0.25">
      <c r="A11" s="16">
        <f t="shared" si="9"/>
        <v>9</v>
      </c>
      <c r="D11" s="22">
        <f t="shared" si="10"/>
        <v>0</v>
      </c>
      <c r="E11" s="22">
        <f t="shared" si="11"/>
        <v>0</v>
      </c>
      <c r="F11" s="22">
        <f t="shared" si="12"/>
        <v>0</v>
      </c>
      <c r="G11" s="22" t="e">
        <f t="shared" si="13"/>
        <v>#DIV/0!</v>
      </c>
      <c r="H11" s="22">
        <f t="shared" si="14"/>
        <v>0</v>
      </c>
      <c r="I11" s="22">
        <f t="shared" si="15"/>
        <v>0</v>
      </c>
      <c r="J11" s="22" t="e">
        <f t="shared" si="16"/>
        <v>#DIV/0!</v>
      </c>
      <c r="K11" s="23" t="e">
        <f t="shared" si="17"/>
        <v>#DIV/0!</v>
      </c>
      <c r="L11" s="23" t="str">
        <f t="shared" si="18"/>
        <v xml:space="preserve"> ± 0</v>
      </c>
    </row>
    <row r="12" spans="1:17" x14ac:dyDescent="0.25">
      <c r="A12" s="16">
        <f t="shared" si="9"/>
        <v>10</v>
      </c>
      <c r="D12" s="22">
        <f t="shared" si="10"/>
        <v>0</v>
      </c>
      <c r="E12" s="22">
        <f t="shared" si="11"/>
        <v>0</v>
      </c>
      <c r="F12" s="22">
        <f t="shared" si="12"/>
        <v>0</v>
      </c>
      <c r="G12" s="22" t="e">
        <f t="shared" si="13"/>
        <v>#DIV/0!</v>
      </c>
      <c r="H12" s="22">
        <f t="shared" si="14"/>
        <v>0</v>
      </c>
      <c r="I12" s="22">
        <f t="shared" si="15"/>
        <v>0</v>
      </c>
      <c r="J12" s="22" t="e">
        <f t="shared" si="16"/>
        <v>#DIV/0!</v>
      </c>
      <c r="K12" s="23" t="e">
        <f t="shared" si="17"/>
        <v>#DIV/0!</v>
      </c>
      <c r="L12" s="23" t="str">
        <f t="shared" si="18"/>
        <v xml:space="preserve"> ± 0</v>
      </c>
    </row>
    <row r="13" spans="1:17" x14ac:dyDescent="0.25">
      <c r="A13" s="17">
        <f t="shared" si="9"/>
        <v>11</v>
      </c>
      <c r="B13" s="22">
        <v>7936</v>
      </c>
      <c r="C13" s="22">
        <v>0</v>
      </c>
      <c r="D13" s="22">
        <f t="shared" si="10"/>
        <v>0</v>
      </c>
      <c r="E13" s="22">
        <f t="shared" si="11"/>
        <v>7936</v>
      </c>
      <c r="F13" s="22">
        <f t="shared" si="12"/>
        <v>7936</v>
      </c>
      <c r="G13" s="22">
        <f t="shared" si="13"/>
        <v>0</v>
      </c>
      <c r="H13" s="22">
        <f t="shared" si="14"/>
        <v>0</v>
      </c>
      <c r="I13" s="22">
        <f t="shared" si="15"/>
        <v>0</v>
      </c>
      <c r="J13" s="22">
        <f t="shared" si="16"/>
        <v>0</v>
      </c>
      <c r="K13" s="23">
        <f t="shared" si="17"/>
        <v>0</v>
      </c>
      <c r="L13" s="23" t="str">
        <f t="shared" si="18"/>
        <v>7936 ± 0</v>
      </c>
    </row>
    <row r="14" spans="1:17" x14ac:dyDescent="0.25">
      <c r="A14" s="16">
        <f t="shared" si="9"/>
        <v>12</v>
      </c>
      <c r="D14" s="22">
        <f t="shared" si="10"/>
        <v>0</v>
      </c>
      <c r="E14" s="22">
        <f t="shared" si="11"/>
        <v>0</v>
      </c>
      <c r="F14" s="22">
        <f t="shared" si="12"/>
        <v>0</v>
      </c>
      <c r="G14" s="22" t="e">
        <f t="shared" si="13"/>
        <v>#DIV/0!</v>
      </c>
      <c r="H14" s="22">
        <f t="shared" si="14"/>
        <v>0</v>
      </c>
      <c r="I14" s="22">
        <f t="shared" si="15"/>
        <v>0</v>
      </c>
      <c r="J14" s="22" t="e">
        <f t="shared" si="16"/>
        <v>#DIV/0!</v>
      </c>
      <c r="K14" s="23" t="e">
        <f t="shared" si="17"/>
        <v>#DIV/0!</v>
      </c>
      <c r="L14" s="23" t="str">
        <f t="shared" si="18"/>
        <v xml:space="preserve"> ± 0</v>
      </c>
    </row>
    <row r="15" spans="1:17" x14ac:dyDescent="0.25">
      <c r="A15" s="16">
        <f t="shared" si="9"/>
        <v>13</v>
      </c>
      <c r="D15" s="22">
        <f t="shared" si="10"/>
        <v>0</v>
      </c>
      <c r="E15" s="22">
        <f t="shared" si="11"/>
        <v>0</v>
      </c>
      <c r="F15" s="22">
        <f t="shared" si="12"/>
        <v>0</v>
      </c>
      <c r="G15" s="22" t="e">
        <f t="shared" si="13"/>
        <v>#DIV/0!</v>
      </c>
      <c r="H15" s="22">
        <f t="shared" si="14"/>
        <v>0</v>
      </c>
      <c r="I15" s="22">
        <f t="shared" si="15"/>
        <v>0</v>
      </c>
      <c r="J15" s="22" t="e">
        <f t="shared" si="16"/>
        <v>#DIV/0!</v>
      </c>
      <c r="K15" s="23" t="e">
        <f t="shared" si="17"/>
        <v>#DIV/0!</v>
      </c>
      <c r="L15" s="23" t="str">
        <f t="shared" si="18"/>
        <v xml:space="preserve"> ± 0</v>
      </c>
    </row>
    <row r="16" spans="1:17" x14ac:dyDescent="0.25">
      <c r="A16" s="16">
        <f t="shared" si="9"/>
        <v>14</v>
      </c>
      <c r="D16" s="22">
        <f t="shared" si="10"/>
        <v>0</v>
      </c>
      <c r="E16" s="22">
        <f t="shared" si="11"/>
        <v>0</v>
      </c>
      <c r="F16" s="22">
        <f t="shared" si="12"/>
        <v>0</v>
      </c>
      <c r="G16" s="22" t="e">
        <f t="shared" si="13"/>
        <v>#DIV/0!</v>
      </c>
      <c r="H16" s="22">
        <f t="shared" si="14"/>
        <v>0</v>
      </c>
      <c r="I16" s="22">
        <f t="shared" si="15"/>
        <v>0</v>
      </c>
      <c r="J16" s="22" t="e">
        <f t="shared" si="16"/>
        <v>#DIV/0!</v>
      </c>
      <c r="K16" s="23" t="e">
        <f t="shared" si="17"/>
        <v>#DIV/0!</v>
      </c>
      <c r="L16" s="23" t="str">
        <f t="shared" si="18"/>
        <v xml:space="preserve"> ± 0</v>
      </c>
    </row>
    <row r="17" spans="1:12" x14ac:dyDescent="0.25">
      <c r="A17" s="16">
        <f t="shared" si="9"/>
        <v>15</v>
      </c>
      <c r="D17" s="22">
        <f t="shared" si="10"/>
        <v>0</v>
      </c>
      <c r="E17" s="22">
        <f t="shared" si="11"/>
        <v>0</v>
      </c>
      <c r="F17" s="22">
        <f t="shared" si="12"/>
        <v>0</v>
      </c>
      <c r="G17" s="22" t="e">
        <f t="shared" si="13"/>
        <v>#DIV/0!</v>
      </c>
      <c r="H17" s="22">
        <f t="shared" si="14"/>
        <v>0</v>
      </c>
      <c r="I17" s="22">
        <f t="shared" si="15"/>
        <v>0</v>
      </c>
      <c r="J17" s="22" t="e">
        <f t="shared" si="16"/>
        <v>#DIV/0!</v>
      </c>
      <c r="K17" s="23" t="e">
        <f t="shared" si="17"/>
        <v>#DIV/0!</v>
      </c>
      <c r="L17" s="23" t="str">
        <f t="shared" si="18"/>
        <v xml:space="preserve"> ± 0</v>
      </c>
    </row>
    <row r="18" spans="1:12" x14ac:dyDescent="0.25">
      <c r="A18" s="17">
        <f t="shared" si="9"/>
        <v>16</v>
      </c>
      <c r="B18" s="22">
        <v>7488</v>
      </c>
      <c r="C18" s="22">
        <v>0</v>
      </c>
      <c r="D18" s="22">
        <f t="shared" si="10"/>
        <v>0</v>
      </c>
      <c r="E18" s="22">
        <f t="shared" si="11"/>
        <v>7488</v>
      </c>
      <c r="F18" s="22">
        <f t="shared" si="12"/>
        <v>7488</v>
      </c>
      <c r="G18" s="22">
        <f t="shared" si="13"/>
        <v>0</v>
      </c>
      <c r="H18" s="22">
        <f t="shared" si="14"/>
        <v>0</v>
      </c>
      <c r="I18" s="22">
        <f t="shared" si="15"/>
        <v>0</v>
      </c>
      <c r="J18" s="22">
        <f t="shared" si="16"/>
        <v>0</v>
      </c>
      <c r="K18" s="23">
        <f t="shared" si="17"/>
        <v>0</v>
      </c>
      <c r="L18" s="23" t="str">
        <f t="shared" si="18"/>
        <v>7488 ± 0</v>
      </c>
    </row>
    <row r="19" spans="1:12" x14ac:dyDescent="0.25">
      <c r="A19" s="16">
        <f t="shared" si="9"/>
        <v>17</v>
      </c>
      <c r="D19" s="22">
        <f t="shared" si="10"/>
        <v>0</v>
      </c>
      <c r="E19" s="22">
        <f t="shared" si="11"/>
        <v>0</v>
      </c>
      <c r="F19" s="22">
        <f t="shared" si="12"/>
        <v>0</v>
      </c>
      <c r="G19" s="22" t="e">
        <f t="shared" si="13"/>
        <v>#DIV/0!</v>
      </c>
      <c r="H19" s="22">
        <f t="shared" si="14"/>
        <v>0</v>
      </c>
      <c r="I19" s="22">
        <f t="shared" si="15"/>
        <v>0</v>
      </c>
      <c r="J19" s="22" t="e">
        <f t="shared" si="16"/>
        <v>#DIV/0!</v>
      </c>
      <c r="K19" s="23" t="e">
        <f t="shared" si="17"/>
        <v>#DIV/0!</v>
      </c>
      <c r="L19" s="23" t="str">
        <f t="shared" si="18"/>
        <v xml:space="preserve"> ± 0</v>
      </c>
    </row>
    <row r="20" spans="1:12" x14ac:dyDescent="0.25">
      <c r="A20" s="16">
        <f t="shared" si="9"/>
        <v>18</v>
      </c>
      <c r="D20" s="22">
        <f t="shared" si="10"/>
        <v>0</v>
      </c>
      <c r="E20" s="22">
        <f t="shared" si="11"/>
        <v>0</v>
      </c>
      <c r="F20" s="22">
        <f t="shared" si="12"/>
        <v>0</v>
      </c>
      <c r="G20" s="22" t="e">
        <f t="shared" si="13"/>
        <v>#DIV/0!</v>
      </c>
      <c r="H20" s="22">
        <f t="shared" si="14"/>
        <v>0</v>
      </c>
      <c r="I20" s="22">
        <f t="shared" si="15"/>
        <v>0</v>
      </c>
      <c r="J20" s="22" t="e">
        <f t="shared" si="16"/>
        <v>#DIV/0!</v>
      </c>
      <c r="K20" s="23" t="e">
        <f t="shared" si="17"/>
        <v>#DIV/0!</v>
      </c>
      <c r="L20" s="23" t="str">
        <f t="shared" si="18"/>
        <v xml:space="preserve"> ± 0</v>
      </c>
    </row>
    <row r="21" spans="1:12" x14ac:dyDescent="0.25">
      <c r="A21" s="16">
        <f t="shared" si="9"/>
        <v>19</v>
      </c>
      <c r="D21" s="22">
        <f t="shared" si="10"/>
        <v>0</v>
      </c>
      <c r="E21" s="22">
        <f t="shared" si="11"/>
        <v>0</v>
      </c>
      <c r="F21" s="22">
        <f t="shared" si="12"/>
        <v>0</v>
      </c>
      <c r="G21" s="22" t="e">
        <f t="shared" si="13"/>
        <v>#DIV/0!</v>
      </c>
      <c r="H21" s="22">
        <f t="shared" si="14"/>
        <v>0</v>
      </c>
      <c r="I21" s="22">
        <f t="shared" si="15"/>
        <v>0</v>
      </c>
      <c r="J21" s="22" t="e">
        <f t="shared" si="16"/>
        <v>#DIV/0!</v>
      </c>
      <c r="K21" s="23" t="e">
        <f t="shared" si="17"/>
        <v>#DIV/0!</v>
      </c>
      <c r="L21" s="23" t="str">
        <f t="shared" si="18"/>
        <v xml:space="preserve"> ± 0</v>
      </c>
    </row>
    <row r="22" spans="1:12" x14ac:dyDescent="0.25">
      <c r="A22" s="16">
        <f t="shared" si="9"/>
        <v>20</v>
      </c>
      <c r="D22" s="22">
        <f t="shared" si="10"/>
        <v>0</v>
      </c>
      <c r="E22" s="22">
        <f t="shared" si="11"/>
        <v>0</v>
      </c>
      <c r="F22" s="22">
        <f t="shared" si="12"/>
        <v>0</v>
      </c>
      <c r="G22" s="22" t="e">
        <f t="shared" si="13"/>
        <v>#DIV/0!</v>
      </c>
      <c r="H22" s="22">
        <f t="shared" si="14"/>
        <v>0</v>
      </c>
      <c r="I22" s="22">
        <f t="shared" si="15"/>
        <v>0</v>
      </c>
      <c r="J22" s="22" t="e">
        <f t="shared" si="16"/>
        <v>#DIV/0!</v>
      </c>
      <c r="K22" s="23" t="e">
        <f t="shared" si="17"/>
        <v>#DIV/0!</v>
      </c>
      <c r="L22" s="23" t="str">
        <f t="shared" si="18"/>
        <v xml:space="preserve"> ± 0</v>
      </c>
    </row>
    <row r="23" spans="1:12" x14ac:dyDescent="0.25">
      <c r="A23" s="17">
        <f t="shared" si="9"/>
        <v>21</v>
      </c>
      <c r="B23" s="22">
        <v>7488</v>
      </c>
      <c r="C23" s="22">
        <v>0</v>
      </c>
      <c r="D23" s="22">
        <f t="shared" si="10"/>
        <v>0</v>
      </c>
      <c r="E23" s="22">
        <f t="shared" si="11"/>
        <v>7488</v>
      </c>
      <c r="F23" s="22">
        <f t="shared" si="12"/>
        <v>7488</v>
      </c>
      <c r="G23" s="22">
        <f t="shared" si="13"/>
        <v>0</v>
      </c>
      <c r="H23" s="22">
        <f t="shared" si="14"/>
        <v>0</v>
      </c>
      <c r="I23" s="22">
        <f t="shared" si="15"/>
        <v>0</v>
      </c>
      <c r="J23" s="22">
        <f t="shared" si="16"/>
        <v>0</v>
      </c>
      <c r="K23" s="23">
        <f t="shared" si="17"/>
        <v>0</v>
      </c>
      <c r="L23" s="23" t="str">
        <f t="shared" si="18"/>
        <v>7488 ± 0</v>
      </c>
    </row>
    <row r="24" spans="1:12" x14ac:dyDescent="0.25">
      <c r="A24" s="3">
        <f t="shared" si="9"/>
        <v>22</v>
      </c>
      <c r="D24" s="22">
        <f t="shared" si="10"/>
        <v>0</v>
      </c>
      <c r="E24" s="22">
        <f t="shared" si="11"/>
        <v>0</v>
      </c>
      <c r="F24" s="22">
        <f t="shared" si="12"/>
        <v>0</v>
      </c>
      <c r="G24" s="22" t="e">
        <f t="shared" si="13"/>
        <v>#DIV/0!</v>
      </c>
      <c r="H24" s="22">
        <f t="shared" si="14"/>
        <v>0</v>
      </c>
      <c r="I24" s="22">
        <f t="shared" si="15"/>
        <v>0</v>
      </c>
      <c r="J24" s="22" t="e">
        <f t="shared" si="16"/>
        <v>#DIV/0!</v>
      </c>
      <c r="K24" s="23" t="e">
        <f t="shared" si="17"/>
        <v>#DIV/0!</v>
      </c>
      <c r="L24" s="23" t="str">
        <f t="shared" si="18"/>
        <v xml:space="preserve"> ± 0</v>
      </c>
    </row>
    <row r="25" spans="1:12" x14ac:dyDescent="0.25">
      <c r="A25" s="3">
        <f t="shared" si="9"/>
        <v>23</v>
      </c>
      <c r="D25" s="22">
        <f t="shared" si="10"/>
        <v>0</v>
      </c>
      <c r="E25" s="22">
        <f t="shared" si="11"/>
        <v>0</v>
      </c>
      <c r="F25" s="22">
        <f t="shared" si="12"/>
        <v>0</v>
      </c>
      <c r="G25" s="22" t="e">
        <f t="shared" si="13"/>
        <v>#DIV/0!</v>
      </c>
      <c r="H25" s="22">
        <f t="shared" si="14"/>
        <v>0</v>
      </c>
      <c r="I25" s="22">
        <f t="shared" si="15"/>
        <v>0</v>
      </c>
      <c r="J25" s="22" t="e">
        <f t="shared" si="16"/>
        <v>#DIV/0!</v>
      </c>
      <c r="K25" s="23" t="e">
        <f t="shared" si="17"/>
        <v>#DIV/0!</v>
      </c>
      <c r="L25" s="23" t="str">
        <f t="shared" si="18"/>
        <v xml:space="preserve"> ± 0</v>
      </c>
    </row>
    <row r="26" spans="1:12" x14ac:dyDescent="0.25">
      <c r="A26" s="3">
        <f t="shared" si="9"/>
        <v>24</v>
      </c>
      <c r="D26" s="22">
        <f t="shared" si="10"/>
        <v>0</v>
      </c>
      <c r="E26" s="22">
        <f t="shared" si="11"/>
        <v>0</v>
      </c>
      <c r="F26" s="22">
        <f t="shared" si="12"/>
        <v>0</v>
      </c>
      <c r="G26" s="22" t="e">
        <f t="shared" si="13"/>
        <v>#DIV/0!</v>
      </c>
      <c r="H26" s="22">
        <f t="shared" si="14"/>
        <v>0</v>
      </c>
      <c r="I26" s="22">
        <f t="shared" si="15"/>
        <v>0</v>
      </c>
      <c r="J26" s="22" t="e">
        <f t="shared" si="16"/>
        <v>#DIV/0!</v>
      </c>
      <c r="K26" s="23" t="e">
        <f t="shared" si="17"/>
        <v>#DIV/0!</v>
      </c>
      <c r="L26" s="23" t="str">
        <f t="shared" si="18"/>
        <v xml:space="preserve"> ± 0</v>
      </c>
    </row>
    <row r="27" spans="1:12" x14ac:dyDescent="0.25">
      <c r="A27" s="3">
        <f t="shared" si="9"/>
        <v>25</v>
      </c>
      <c r="D27" s="22">
        <f t="shared" si="10"/>
        <v>0</v>
      </c>
      <c r="E27" s="22">
        <f t="shared" si="11"/>
        <v>0</v>
      </c>
      <c r="F27" s="22">
        <f t="shared" si="12"/>
        <v>0</v>
      </c>
      <c r="G27" s="22" t="e">
        <f t="shared" si="13"/>
        <v>#DIV/0!</v>
      </c>
      <c r="H27" s="22">
        <f t="shared" si="14"/>
        <v>0</v>
      </c>
      <c r="I27" s="22">
        <f t="shared" si="15"/>
        <v>0</v>
      </c>
      <c r="J27" s="22" t="e">
        <f t="shared" si="16"/>
        <v>#DIV/0!</v>
      </c>
      <c r="K27" s="23" t="e">
        <f t="shared" si="17"/>
        <v>#DIV/0!</v>
      </c>
      <c r="L27" s="23" t="str">
        <f t="shared" si="18"/>
        <v xml:space="preserve"> ± 0</v>
      </c>
    </row>
    <row r="28" spans="1:12" x14ac:dyDescent="0.25">
      <c r="A28" s="17">
        <f t="shared" si="9"/>
        <v>26</v>
      </c>
      <c r="B28" s="22">
        <v>7936</v>
      </c>
      <c r="C28" s="22">
        <v>0</v>
      </c>
      <c r="D28" s="22">
        <f t="shared" si="10"/>
        <v>0</v>
      </c>
      <c r="E28" s="22">
        <f t="shared" si="11"/>
        <v>7936</v>
      </c>
      <c r="F28" s="22">
        <f t="shared" si="12"/>
        <v>7936</v>
      </c>
      <c r="G28" s="22">
        <f t="shared" si="13"/>
        <v>0</v>
      </c>
      <c r="H28" s="22">
        <f t="shared" si="14"/>
        <v>0</v>
      </c>
      <c r="I28" s="22">
        <f t="shared" si="15"/>
        <v>0</v>
      </c>
      <c r="J28" s="22">
        <f t="shared" si="16"/>
        <v>0</v>
      </c>
      <c r="K28" s="23">
        <f t="shared" si="17"/>
        <v>0</v>
      </c>
      <c r="L28" s="23" t="str">
        <f t="shared" si="18"/>
        <v>7936 ± 0</v>
      </c>
    </row>
    <row r="29" spans="1:12" x14ac:dyDescent="0.25">
      <c r="A29" s="3">
        <f t="shared" si="9"/>
        <v>27</v>
      </c>
      <c r="D29" s="22">
        <f t="shared" si="10"/>
        <v>0</v>
      </c>
      <c r="E29" s="22">
        <f t="shared" si="11"/>
        <v>0</v>
      </c>
      <c r="F29" s="22">
        <f t="shared" si="12"/>
        <v>0</v>
      </c>
      <c r="G29" s="22" t="e">
        <f t="shared" si="13"/>
        <v>#DIV/0!</v>
      </c>
      <c r="H29" s="22">
        <f t="shared" si="14"/>
        <v>0</v>
      </c>
      <c r="I29" s="22">
        <f t="shared" si="15"/>
        <v>0</v>
      </c>
      <c r="J29" s="22" t="e">
        <f t="shared" si="16"/>
        <v>#DIV/0!</v>
      </c>
      <c r="K29" s="23" t="e">
        <f t="shared" si="17"/>
        <v>#DIV/0!</v>
      </c>
      <c r="L29" s="23" t="str">
        <f t="shared" si="18"/>
        <v xml:space="preserve"> ± 0</v>
      </c>
    </row>
    <row r="30" spans="1:12" x14ac:dyDescent="0.25">
      <c r="A30" s="3">
        <f t="shared" si="9"/>
        <v>28</v>
      </c>
      <c r="D30" s="22">
        <f t="shared" si="10"/>
        <v>0</v>
      </c>
      <c r="E30" s="22">
        <f t="shared" si="11"/>
        <v>0</v>
      </c>
      <c r="F30" s="22">
        <f t="shared" si="12"/>
        <v>0</v>
      </c>
      <c r="G30" s="22" t="e">
        <f t="shared" si="13"/>
        <v>#DIV/0!</v>
      </c>
      <c r="H30" s="22">
        <f t="shared" si="14"/>
        <v>0</v>
      </c>
      <c r="I30" s="22">
        <f t="shared" si="15"/>
        <v>0</v>
      </c>
      <c r="J30" s="22" t="e">
        <f t="shared" si="16"/>
        <v>#DIV/0!</v>
      </c>
      <c r="K30" s="23" t="e">
        <f t="shared" si="17"/>
        <v>#DIV/0!</v>
      </c>
      <c r="L30" s="23" t="str">
        <f t="shared" si="18"/>
        <v xml:space="preserve"> ± 0</v>
      </c>
    </row>
    <row r="31" spans="1:12" x14ac:dyDescent="0.25">
      <c r="A31" s="3">
        <f t="shared" si="9"/>
        <v>29</v>
      </c>
      <c r="D31" s="22">
        <f t="shared" si="10"/>
        <v>0</v>
      </c>
      <c r="E31" s="22">
        <f t="shared" si="11"/>
        <v>0</v>
      </c>
      <c r="F31" s="22">
        <f t="shared" si="12"/>
        <v>0</v>
      </c>
      <c r="G31" s="22" t="e">
        <f t="shared" si="13"/>
        <v>#DIV/0!</v>
      </c>
      <c r="H31" s="22">
        <f t="shared" si="14"/>
        <v>0</v>
      </c>
      <c r="I31" s="22">
        <f t="shared" si="15"/>
        <v>0</v>
      </c>
      <c r="J31" s="22" t="e">
        <f t="shared" si="16"/>
        <v>#DIV/0!</v>
      </c>
      <c r="K31" s="23" t="e">
        <f t="shared" si="17"/>
        <v>#DIV/0!</v>
      </c>
      <c r="L31" s="23" t="str">
        <f t="shared" si="18"/>
        <v xml:space="preserve"> ± 0</v>
      </c>
    </row>
    <row r="32" spans="1:12" x14ac:dyDescent="0.25">
      <c r="A32" s="3">
        <f t="shared" si="9"/>
        <v>30</v>
      </c>
      <c r="D32" s="22">
        <f t="shared" si="10"/>
        <v>0</v>
      </c>
      <c r="E32" s="22">
        <f t="shared" si="11"/>
        <v>0</v>
      </c>
      <c r="F32" s="22">
        <f t="shared" si="12"/>
        <v>0</v>
      </c>
      <c r="G32" s="22" t="e">
        <f t="shared" si="13"/>
        <v>#DIV/0!</v>
      </c>
      <c r="H32" s="22">
        <f t="shared" si="14"/>
        <v>0</v>
      </c>
      <c r="I32" s="22">
        <f t="shared" si="15"/>
        <v>0</v>
      </c>
      <c r="J32" s="22" t="e">
        <f t="shared" si="16"/>
        <v>#DIV/0!</v>
      </c>
      <c r="K32" s="23" t="e">
        <f t="shared" si="17"/>
        <v>#DIV/0!</v>
      </c>
      <c r="L32" s="23" t="str">
        <f t="shared" si="18"/>
        <v xml:space="preserve"> ± 0</v>
      </c>
    </row>
    <row r="33" spans="1:12" x14ac:dyDescent="0.25">
      <c r="A33" s="17">
        <f t="shared" si="9"/>
        <v>31</v>
      </c>
      <c r="B33" s="22">
        <v>7936</v>
      </c>
      <c r="C33" s="22">
        <v>0</v>
      </c>
      <c r="D33" s="22">
        <f t="shared" si="10"/>
        <v>0</v>
      </c>
      <c r="E33" s="22">
        <f t="shared" si="11"/>
        <v>7936</v>
      </c>
      <c r="F33" s="22">
        <f t="shared" si="12"/>
        <v>7936</v>
      </c>
      <c r="G33" s="22">
        <f t="shared" si="13"/>
        <v>0</v>
      </c>
      <c r="H33" s="22">
        <f t="shared" si="14"/>
        <v>0</v>
      </c>
      <c r="I33" s="22">
        <f t="shared" si="15"/>
        <v>0</v>
      </c>
      <c r="J33" s="22">
        <f t="shared" si="16"/>
        <v>0</v>
      </c>
      <c r="K33" s="23">
        <f t="shared" si="17"/>
        <v>0</v>
      </c>
      <c r="L33" s="23" t="str">
        <f t="shared" si="18"/>
        <v>7936 ± 0</v>
      </c>
    </row>
    <row r="34" spans="1:12" x14ac:dyDescent="0.25">
      <c r="A34" s="3">
        <f t="shared" si="9"/>
        <v>32</v>
      </c>
      <c r="D34" s="22">
        <f t="shared" si="10"/>
        <v>0</v>
      </c>
      <c r="E34" s="22">
        <f t="shared" si="11"/>
        <v>0</v>
      </c>
      <c r="F34" s="22">
        <f t="shared" si="12"/>
        <v>0</v>
      </c>
      <c r="G34" s="22" t="e">
        <f t="shared" si="13"/>
        <v>#DIV/0!</v>
      </c>
      <c r="H34" s="22">
        <f t="shared" si="14"/>
        <v>0</v>
      </c>
      <c r="I34" s="22">
        <f t="shared" si="15"/>
        <v>0</v>
      </c>
      <c r="J34" s="22" t="e">
        <f t="shared" si="16"/>
        <v>#DIV/0!</v>
      </c>
      <c r="K34" s="23" t="e">
        <f t="shared" si="17"/>
        <v>#DIV/0!</v>
      </c>
      <c r="L34" s="23" t="str">
        <f t="shared" si="18"/>
        <v xml:space="preserve"> ± 0</v>
      </c>
    </row>
    <row r="35" spans="1:12" x14ac:dyDescent="0.25">
      <c r="A35" s="3">
        <f t="shared" si="9"/>
        <v>33</v>
      </c>
      <c r="D35" s="22">
        <f t="shared" si="10"/>
        <v>0</v>
      </c>
      <c r="E35" s="22">
        <f t="shared" si="11"/>
        <v>0</v>
      </c>
      <c r="F35" s="22">
        <f t="shared" si="12"/>
        <v>0</v>
      </c>
      <c r="G35" s="22" t="e">
        <f t="shared" si="13"/>
        <v>#DIV/0!</v>
      </c>
      <c r="H35" s="22">
        <f t="shared" si="14"/>
        <v>0</v>
      </c>
      <c r="I35" s="22">
        <f t="shared" si="15"/>
        <v>0</v>
      </c>
      <c r="J35" s="22" t="e">
        <f t="shared" si="16"/>
        <v>#DIV/0!</v>
      </c>
      <c r="K35" s="23" t="e">
        <f t="shared" si="17"/>
        <v>#DIV/0!</v>
      </c>
      <c r="L35" s="23" t="str">
        <f t="shared" si="18"/>
        <v xml:space="preserve"> ± 0</v>
      </c>
    </row>
    <row r="36" spans="1:12" x14ac:dyDescent="0.25">
      <c r="A36" s="3">
        <f t="shared" si="9"/>
        <v>34</v>
      </c>
      <c r="D36" s="22">
        <f t="shared" si="10"/>
        <v>0</v>
      </c>
      <c r="E36" s="22">
        <f t="shared" si="11"/>
        <v>0</v>
      </c>
      <c r="F36" s="22">
        <f t="shared" si="12"/>
        <v>0</v>
      </c>
      <c r="G36" s="22" t="e">
        <f t="shared" si="13"/>
        <v>#DIV/0!</v>
      </c>
      <c r="H36" s="22">
        <f t="shared" si="14"/>
        <v>0</v>
      </c>
      <c r="I36" s="22">
        <f t="shared" si="15"/>
        <v>0</v>
      </c>
      <c r="J36" s="22" t="e">
        <f t="shared" si="16"/>
        <v>#DIV/0!</v>
      </c>
      <c r="K36" s="23" t="e">
        <f t="shared" si="17"/>
        <v>#DIV/0!</v>
      </c>
      <c r="L36" s="23" t="str">
        <f t="shared" si="18"/>
        <v xml:space="preserve"> ± 0</v>
      </c>
    </row>
    <row r="37" spans="1:12" x14ac:dyDescent="0.25">
      <c r="A37" s="3">
        <f t="shared" si="9"/>
        <v>35</v>
      </c>
      <c r="D37" s="22">
        <f t="shared" si="10"/>
        <v>0</v>
      </c>
      <c r="E37" s="22">
        <f t="shared" si="11"/>
        <v>0</v>
      </c>
      <c r="F37" s="22">
        <f t="shared" si="12"/>
        <v>0</v>
      </c>
      <c r="G37" s="22" t="e">
        <f t="shared" si="13"/>
        <v>#DIV/0!</v>
      </c>
      <c r="H37" s="22">
        <f t="shared" si="14"/>
        <v>0</v>
      </c>
      <c r="I37" s="22">
        <f t="shared" si="15"/>
        <v>0</v>
      </c>
      <c r="J37" s="22" t="e">
        <f t="shared" si="16"/>
        <v>#DIV/0!</v>
      </c>
      <c r="K37" s="23" t="e">
        <f t="shared" si="17"/>
        <v>#DIV/0!</v>
      </c>
      <c r="L37" s="23" t="str">
        <f t="shared" si="18"/>
        <v xml:space="preserve"> ± 0</v>
      </c>
    </row>
    <row r="38" spans="1:12" x14ac:dyDescent="0.25">
      <c r="A38" s="17">
        <f t="shared" si="9"/>
        <v>36</v>
      </c>
      <c r="B38" s="22">
        <v>7872</v>
      </c>
      <c r="C38" s="22">
        <v>0</v>
      </c>
      <c r="D38" s="22">
        <f t="shared" si="10"/>
        <v>0</v>
      </c>
      <c r="E38" s="22">
        <f t="shared" si="11"/>
        <v>7872</v>
      </c>
      <c r="F38" s="22">
        <f t="shared" si="12"/>
        <v>7872</v>
      </c>
      <c r="G38" s="22">
        <f t="shared" si="13"/>
        <v>0</v>
      </c>
      <c r="H38" s="22">
        <f t="shared" si="14"/>
        <v>0</v>
      </c>
      <c r="I38" s="22">
        <f t="shared" si="15"/>
        <v>0</v>
      </c>
      <c r="J38" s="22">
        <f t="shared" si="16"/>
        <v>0</v>
      </c>
      <c r="K38" s="23">
        <f t="shared" si="17"/>
        <v>0</v>
      </c>
      <c r="L38" s="23" t="str">
        <f t="shared" si="18"/>
        <v>7872 ± 0</v>
      </c>
    </row>
    <row r="39" spans="1:12" x14ac:dyDescent="0.25">
      <c r="A39" s="3">
        <f t="shared" si="9"/>
        <v>37</v>
      </c>
      <c r="D39" s="22">
        <f t="shared" si="10"/>
        <v>0</v>
      </c>
      <c r="E39" s="22">
        <f t="shared" si="11"/>
        <v>0</v>
      </c>
      <c r="F39" s="22">
        <f t="shared" si="12"/>
        <v>0</v>
      </c>
      <c r="G39" s="22" t="e">
        <f t="shared" si="13"/>
        <v>#DIV/0!</v>
      </c>
      <c r="H39" s="22">
        <f t="shared" si="14"/>
        <v>0</v>
      </c>
      <c r="I39" s="22">
        <f t="shared" si="15"/>
        <v>0</v>
      </c>
      <c r="J39" s="22" t="e">
        <f t="shared" si="16"/>
        <v>#DIV/0!</v>
      </c>
      <c r="K39" s="23" t="e">
        <f t="shared" si="17"/>
        <v>#DIV/0!</v>
      </c>
      <c r="L39" s="23" t="str">
        <f t="shared" si="18"/>
        <v xml:space="preserve"> ± 0</v>
      </c>
    </row>
    <row r="40" spans="1:12" x14ac:dyDescent="0.25">
      <c r="A40" s="3">
        <f t="shared" si="9"/>
        <v>38</v>
      </c>
      <c r="D40" s="22">
        <f t="shared" si="10"/>
        <v>0</v>
      </c>
      <c r="E40" s="22">
        <f t="shared" si="11"/>
        <v>0</v>
      </c>
      <c r="F40" s="22">
        <f t="shared" si="12"/>
        <v>0</v>
      </c>
      <c r="G40" s="22" t="e">
        <f t="shared" si="13"/>
        <v>#DIV/0!</v>
      </c>
      <c r="H40" s="22">
        <f t="shared" si="14"/>
        <v>0</v>
      </c>
      <c r="I40" s="22">
        <f t="shared" si="15"/>
        <v>0</v>
      </c>
      <c r="J40" s="22" t="e">
        <f t="shared" si="16"/>
        <v>#DIV/0!</v>
      </c>
      <c r="K40" s="23" t="e">
        <f t="shared" si="17"/>
        <v>#DIV/0!</v>
      </c>
      <c r="L40" s="23" t="str">
        <f t="shared" si="18"/>
        <v xml:space="preserve"> ± 0</v>
      </c>
    </row>
    <row r="41" spans="1:12" x14ac:dyDescent="0.25">
      <c r="A41" s="3">
        <f t="shared" si="9"/>
        <v>39</v>
      </c>
      <c r="D41" s="22">
        <f t="shared" si="10"/>
        <v>0</v>
      </c>
      <c r="E41" s="22">
        <f t="shared" si="11"/>
        <v>0</v>
      </c>
      <c r="F41" s="22">
        <f t="shared" si="12"/>
        <v>0</v>
      </c>
      <c r="G41" s="22" t="e">
        <f t="shared" si="13"/>
        <v>#DIV/0!</v>
      </c>
      <c r="H41" s="22">
        <f t="shared" si="14"/>
        <v>0</v>
      </c>
      <c r="I41" s="22">
        <f t="shared" si="15"/>
        <v>0</v>
      </c>
      <c r="J41" s="22" t="e">
        <f t="shared" si="16"/>
        <v>#DIV/0!</v>
      </c>
      <c r="K41" s="23" t="e">
        <f t="shared" si="17"/>
        <v>#DIV/0!</v>
      </c>
      <c r="L41" s="23" t="str">
        <f t="shared" si="18"/>
        <v xml:space="preserve"> ± 0</v>
      </c>
    </row>
    <row r="42" spans="1:12" x14ac:dyDescent="0.25">
      <c r="A42" s="3">
        <f t="shared" si="9"/>
        <v>40</v>
      </c>
      <c r="D42" s="22">
        <f t="shared" si="10"/>
        <v>0</v>
      </c>
      <c r="E42" s="22">
        <f t="shared" si="11"/>
        <v>0</v>
      </c>
      <c r="F42" s="22">
        <f t="shared" si="12"/>
        <v>0</v>
      </c>
      <c r="G42" s="22" t="e">
        <f t="shared" si="13"/>
        <v>#DIV/0!</v>
      </c>
      <c r="H42" s="22">
        <f t="shared" si="14"/>
        <v>0</v>
      </c>
      <c r="I42" s="22">
        <f t="shared" si="15"/>
        <v>0</v>
      </c>
      <c r="J42" s="22" t="e">
        <f t="shared" si="16"/>
        <v>#DIV/0!</v>
      </c>
      <c r="K42" s="23" t="e">
        <f t="shared" si="17"/>
        <v>#DIV/0!</v>
      </c>
      <c r="L42" s="23" t="str">
        <f t="shared" si="18"/>
        <v xml:space="preserve"> ± 0</v>
      </c>
    </row>
    <row r="43" spans="1:12" x14ac:dyDescent="0.25">
      <c r="A43" s="17">
        <f t="shared" si="9"/>
        <v>41</v>
      </c>
      <c r="B43" s="22">
        <v>7744</v>
      </c>
      <c r="C43" s="22">
        <v>0</v>
      </c>
      <c r="D43" s="22">
        <f t="shared" si="10"/>
        <v>0</v>
      </c>
      <c r="E43" s="22">
        <f>B43+3*D43</f>
        <v>7744</v>
      </c>
      <c r="F43" s="22">
        <f>B43-3*D43</f>
        <v>7744</v>
      </c>
      <c r="G43" s="22">
        <f>D43/B43*100</f>
        <v>0</v>
      </c>
      <c r="H43" s="22">
        <f t="shared" si="14"/>
        <v>0</v>
      </c>
      <c r="I43" s="22">
        <f t="shared" si="15"/>
        <v>0</v>
      </c>
      <c r="J43" s="22">
        <f>I43/B43*100</f>
        <v>0</v>
      </c>
      <c r="K43" s="23">
        <f t="shared" si="17"/>
        <v>0</v>
      </c>
      <c r="L43" s="23" t="str">
        <f xml:space="preserve"> B43 &amp; " ± " &amp; (ROUNDUP(I43, 3))</f>
        <v>7744 ± 0</v>
      </c>
    </row>
    <row r="44" spans="1:12" x14ac:dyDescent="0.25">
      <c r="A44" s="16">
        <f t="shared" si="9"/>
        <v>42</v>
      </c>
      <c r="D44" s="22">
        <f t="shared" si="10"/>
        <v>0</v>
      </c>
      <c r="E44" s="22">
        <f t="shared" si="11"/>
        <v>0</v>
      </c>
      <c r="F44" s="22">
        <f t="shared" si="12"/>
        <v>0</v>
      </c>
      <c r="G44" s="22" t="e">
        <f t="shared" si="13"/>
        <v>#DIV/0!</v>
      </c>
      <c r="H44" s="22">
        <f t="shared" si="14"/>
        <v>0</v>
      </c>
      <c r="I44" s="22">
        <f t="shared" si="15"/>
        <v>0</v>
      </c>
      <c r="J44" s="22" t="e">
        <f t="shared" si="16"/>
        <v>#DIV/0!</v>
      </c>
      <c r="K44" s="23" t="e">
        <f t="shared" si="17"/>
        <v>#DIV/0!</v>
      </c>
      <c r="L44" s="23" t="str">
        <f t="shared" si="18"/>
        <v xml:space="preserve"> ± 0</v>
      </c>
    </row>
    <row r="45" spans="1:12" x14ac:dyDescent="0.25">
      <c r="A45" s="16">
        <f t="shared" si="9"/>
        <v>43</v>
      </c>
      <c r="D45" s="22">
        <f t="shared" si="10"/>
        <v>0</v>
      </c>
      <c r="E45" s="22">
        <f t="shared" si="11"/>
        <v>0</v>
      </c>
      <c r="F45" s="22">
        <f t="shared" si="12"/>
        <v>0</v>
      </c>
      <c r="G45" s="22" t="e">
        <f t="shared" si="13"/>
        <v>#DIV/0!</v>
      </c>
      <c r="H45" s="22">
        <f t="shared" si="14"/>
        <v>0</v>
      </c>
      <c r="I45" s="22">
        <f t="shared" si="15"/>
        <v>0</v>
      </c>
      <c r="J45" s="22" t="e">
        <f t="shared" si="16"/>
        <v>#DIV/0!</v>
      </c>
      <c r="K45" s="23" t="e">
        <f t="shared" si="17"/>
        <v>#DIV/0!</v>
      </c>
      <c r="L45" s="23" t="str">
        <f t="shared" si="18"/>
        <v xml:space="preserve"> ± 0</v>
      </c>
    </row>
    <row r="46" spans="1:12" x14ac:dyDescent="0.25">
      <c r="A46" s="16">
        <f t="shared" si="9"/>
        <v>44</v>
      </c>
      <c r="D46" s="22">
        <f t="shared" si="10"/>
        <v>0</v>
      </c>
      <c r="E46" s="22">
        <f t="shared" si="11"/>
        <v>0</v>
      </c>
      <c r="F46" s="22">
        <f t="shared" si="12"/>
        <v>0</v>
      </c>
      <c r="G46" s="22" t="e">
        <f t="shared" si="13"/>
        <v>#DIV/0!</v>
      </c>
      <c r="H46" s="22">
        <f t="shared" si="14"/>
        <v>0</v>
      </c>
      <c r="I46" s="22">
        <f t="shared" si="15"/>
        <v>0</v>
      </c>
      <c r="J46" s="22" t="e">
        <f t="shared" si="16"/>
        <v>#DIV/0!</v>
      </c>
      <c r="K46" s="23" t="e">
        <f t="shared" si="17"/>
        <v>#DIV/0!</v>
      </c>
      <c r="L46" s="23" t="str">
        <f t="shared" si="18"/>
        <v xml:space="preserve"> ± 0</v>
      </c>
    </row>
    <row r="47" spans="1:12" x14ac:dyDescent="0.25">
      <c r="A47" s="16">
        <f t="shared" si="9"/>
        <v>45</v>
      </c>
      <c r="D47" s="22">
        <f t="shared" si="10"/>
        <v>0</v>
      </c>
      <c r="E47" s="22">
        <f t="shared" si="11"/>
        <v>0</v>
      </c>
      <c r="F47" s="22">
        <f t="shared" si="12"/>
        <v>0</v>
      </c>
      <c r="G47" s="22" t="e">
        <f t="shared" si="13"/>
        <v>#DIV/0!</v>
      </c>
      <c r="H47" s="22">
        <f t="shared" si="14"/>
        <v>0</v>
      </c>
      <c r="I47" s="22">
        <f t="shared" si="15"/>
        <v>0</v>
      </c>
      <c r="J47" s="22" t="e">
        <f t="shared" si="16"/>
        <v>#DIV/0!</v>
      </c>
      <c r="K47" s="23" t="e">
        <f t="shared" si="17"/>
        <v>#DIV/0!</v>
      </c>
      <c r="L47" s="23" t="str">
        <f t="shared" si="18"/>
        <v xml:space="preserve"> ± 0</v>
      </c>
    </row>
    <row r="48" spans="1:12" x14ac:dyDescent="0.25">
      <c r="A48" s="17">
        <f t="shared" si="9"/>
        <v>46</v>
      </c>
      <c r="B48" s="22">
        <v>7680</v>
      </c>
      <c r="C48" s="22">
        <v>0</v>
      </c>
      <c r="D48" s="22">
        <f t="shared" si="10"/>
        <v>0</v>
      </c>
      <c r="E48" s="22">
        <f>B49+3*D48</f>
        <v>0</v>
      </c>
      <c r="F48" s="22">
        <f>B49-3*D48</f>
        <v>0</v>
      </c>
      <c r="G48" s="22" t="e">
        <f>D48/B49*100</f>
        <v>#DIV/0!</v>
      </c>
      <c r="H48" s="22">
        <f t="shared" si="14"/>
        <v>0</v>
      </c>
      <c r="I48" s="22">
        <f t="shared" si="15"/>
        <v>0</v>
      </c>
      <c r="J48" s="22" t="e">
        <f>I48/B49*100</f>
        <v>#DIV/0!</v>
      </c>
      <c r="K48" s="23" t="e">
        <f t="shared" si="17"/>
        <v>#DIV/0!</v>
      </c>
      <c r="L48" s="23" t="str">
        <f xml:space="preserve"> B49 &amp; " ± " &amp; (ROUNDUP(I48, 3))</f>
        <v xml:space="preserve"> ± 0</v>
      </c>
    </row>
    <row r="49" spans="1:12" x14ac:dyDescent="0.25">
      <c r="A49" s="16">
        <f t="shared" si="9"/>
        <v>47</v>
      </c>
      <c r="D49" s="22">
        <f t="shared" si="10"/>
        <v>0</v>
      </c>
      <c r="E49" s="22">
        <f>B49+3*D49</f>
        <v>0</v>
      </c>
      <c r="F49" s="22">
        <f>B49-3*D49</f>
        <v>0</v>
      </c>
      <c r="G49" s="22" t="e">
        <f>D49/B49*100</f>
        <v>#DIV/0!</v>
      </c>
      <c r="H49" s="22">
        <f t="shared" si="14"/>
        <v>0</v>
      </c>
      <c r="I49" s="22">
        <f t="shared" si="15"/>
        <v>0</v>
      </c>
      <c r="J49" s="22" t="e">
        <f>I49/B49*100</f>
        <v>#DIV/0!</v>
      </c>
      <c r="K49" s="23" t="e">
        <f t="shared" si="17"/>
        <v>#DIV/0!</v>
      </c>
      <c r="L49" s="23" t="str">
        <f>B49 &amp; " ± " &amp; (ROUNDUP(I49, 3))</f>
        <v xml:space="preserve"> ± 0</v>
      </c>
    </row>
    <row r="50" spans="1:12" x14ac:dyDescent="0.25">
      <c r="A50" s="3">
        <f t="shared" si="9"/>
        <v>48</v>
      </c>
      <c r="D50" s="22">
        <f t="shared" si="10"/>
        <v>0</v>
      </c>
      <c r="E50" s="22">
        <f t="shared" si="11"/>
        <v>0</v>
      </c>
      <c r="F50" s="22">
        <f t="shared" si="12"/>
        <v>0</v>
      </c>
      <c r="G50" s="22" t="e">
        <f t="shared" si="13"/>
        <v>#DIV/0!</v>
      </c>
      <c r="H50" s="22">
        <f t="shared" si="14"/>
        <v>0</v>
      </c>
      <c r="I50" s="22">
        <f t="shared" si="15"/>
        <v>0</v>
      </c>
      <c r="J50" s="22" t="e">
        <f t="shared" si="16"/>
        <v>#DIV/0!</v>
      </c>
      <c r="K50" s="23" t="e">
        <f t="shared" si="17"/>
        <v>#DIV/0!</v>
      </c>
      <c r="L50" s="23" t="str">
        <f t="shared" si="18"/>
        <v xml:space="preserve"> ± 0</v>
      </c>
    </row>
    <row r="51" spans="1:12" x14ac:dyDescent="0.25">
      <c r="A51" s="3">
        <f t="shared" si="9"/>
        <v>49</v>
      </c>
      <c r="D51" s="22">
        <f t="shared" si="10"/>
        <v>0</v>
      </c>
      <c r="E51" s="22">
        <f t="shared" si="11"/>
        <v>0</v>
      </c>
      <c r="F51" s="22">
        <f t="shared" si="12"/>
        <v>0</v>
      </c>
      <c r="G51" s="22" t="e">
        <f t="shared" si="13"/>
        <v>#DIV/0!</v>
      </c>
      <c r="H51" s="22">
        <f t="shared" si="14"/>
        <v>0</v>
      </c>
      <c r="I51" s="22">
        <f t="shared" si="15"/>
        <v>0</v>
      </c>
      <c r="J51" s="22" t="e">
        <f t="shared" si="16"/>
        <v>#DIV/0!</v>
      </c>
      <c r="K51" s="23" t="e">
        <f t="shared" si="17"/>
        <v>#DIV/0!</v>
      </c>
      <c r="L51" s="23" t="str">
        <f t="shared" si="18"/>
        <v xml:space="preserve"> ± 0</v>
      </c>
    </row>
    <row r="52" spans="1:12" x14ac:dyDescent="0.25">
      <c r="A52" s="3">
        <f t="shared" si="9"/>
        <v>50</v>
      </c>
      <c r="D52" s="22">
        <f t="shared" si="10"/>
        <v>0</v>
      </c>
      <c r="E52" s="22">
        <f t="shared" si="11"/>
        <v>0</v>
      </c>
      <c r="F52" s="22">
        <f t="shared" si="12"/>
        <v>0</v>
      </c>
      <c r="G52" s="22" t="e">
        <f t="shared" si="13"/>
        <v>#DIV/0!</v>
      </c>
      <c r="H52" s="22">
        <f t="shared" si="14"/>
        <v>0</v>
      </c>
      <c r="I52" s="22">
        <f t="shared" si="15"/>
        <v>0</v>
      </c>
      <c r="J52" s="22" t="e">
        <f t="shared" si="16"/>
        <v>#DIV/0!</v>
      </c>
      <c r="K52" s="23" t="e">
        <f t="shared" si="17"/>
        <v>#DIV/0!</v>
      </c>
      <c r="L52" s="23" t="str">
        <f t="shared" si="18"/>
        <v xml:space="preserve"> ± 0</v>
      </c>
    </row>
    <row r="53" spans="1:12" x14ac:dyDescent="0.25">
      <c r="A53" s="17">
        <f t="shared" si="9"/>
        <v>51</v>
      </c>
      <c r="B53" s="22">
        <v>7680</v>
      </c>
      <c r="C53" s="22">
        <v>0</v>
      </c>
      <c r="D53" s="22">
        <f t="shared" si="10"/>
        <v>0</v>
      </c>
      <c r="E53" s="22">
        <f>B53+3*D53</f>
        <v>7680</v>
      </c>
      <c r="F53" s="22">
        <f>B53-3*D53</f>
        <v>7680</v>
      </c>
      <c r="G53" s="22">
        <f>D53/B53*100</f>
        <v>0</v>
      </c>
      <c r="H53" s="22">
        <f t="shared" si="14"/>
        <v>0</v>
      </c>
      <c r="I53" s="22">
        <f t="shared" si="15"/>
        <v>0</v>
      </c>
      <c r="J53" s="22">
        <f>I53/B53*100</f>
        <v>0</v>
      </c>
      <c r="K53" s="23">
        <f t="shared" si="17"/>
        <v>0</v>
      </c>
      <c r="L53" s="23" t="str">
        <f xml:space="preserve"> B53 &amp; " ± " &amp; (ROUNDUP(I53, 3))</f>
        <v>7680 ± 0</v>
      </c>
    </row>
    <row r="54" spans="1:12" x14ac:dyDescent="0.25">
      <c r="A54" s="17">
        <f t="shared" si="9"/>
        <v>52</v>
      </c>
      <c r="B54" s="22">
        <v>11584</v>
      </c>
      <c r="C54" s="22">
        <v>0</v>
      </c>
      <c r="D54" s="22">
        <f t="shared" si="10"/>
        <v>0</v>
      </c>
      <c r="E54" s="22">
        <f>B54+3*D54</f>
        <v>11584</v>
      </c>
      <c r="F54" s="22">
        <f>B54-3*D54</f>
        <v>11584</v>
      </c>
      <c r="G54" s="22">
        <f>D54/B54*100</f>
        <v>0</v>
      </c>
      <c r="H54" s="22">
        <f t="shared" si="14"/>
        <v>0</v>
      </c>
      <c r="I54" s="22">
        <f t="shared" si="15"/>
        <v>0</v>
      </c>
      <c r="J54" s="22">
        <f>I54/B54*100</f>
        <v>0</v>
      </c>
      <c r="K54" s="23">
        <f t="shared" si="17"/>
        <v>0</v>
      </c>
      <c r="L54" s="23" t="str">
        <f xml:space="preserve"> B54 &amp; " ± " &amp; (ROUNDUP(I54, 3))</f>
        <v>11584 ± 0</v>
      </c>
    </row>
    <row r="55" spans="1:12" x14ac:dyDescent="0.25">
      <c r="A55" s="3">
        <f t="shared" si="9"/>
        <v>53</v>
      </c>
      <c r="D55" s="22">
        <f t="shared" si="10"/>
        <v>0</v>
      </c>
      <c r="E55" s="22">
        <f t="shared" si="11"/>
        <v>0</v>
      </c>
      <c r="F55" s="22">
        <f t="shared" si="12"/>
        <v>0</v>
      </c>
      <c r="G55" s="22" t="e">
        <f t="shared" si="13"/>
        <v>#DIV/0!</v>
      </c>
      <c r="H55" s="22">
        <f t="shared" si="14"/>
        <v>0</v>
      </c>
      <c r="I55" s="22">
        <f t="shared" si="15"/>
        <v>0</v>
      </c>
      <c r="J55" s="22" t="e">
        <f t="shared" si="16"/>
        <v>#DIV/0!</v>
      </c>
      <c r="K55" s="23" t="e">
        <f t="shared" si="17"/>
        <v>#DIV/0!</v>
      </c>
      <c r="L55" s="23" t="str">
        <f t="shared" si="18"/>
        <v xml:space="preserve"> ± 0</v>
      </c>
    </row>
    <row r="56" spans="1:12" x14ac:dyDescent="0.25">
      <c r="A56" s="3">
        <f t="shared" si="9"/>
        <v>54</v>
      </c>
      <c r="D56" s="22">
        <f t="shared" si="10"/>
        <v>0</v>
      </c>
      <c r="E56" s="22">
        <f>B56+3*D56</f>
        <v>0</v>
      </c>
      <c r="F56" s="22">
        <f>B56-3*D56</f>
        <v>0</v>
      </c>
      <c r="G56" s="22" t="e">
        <f>D56/B56*100</f>
        <v>#DIV/0!</v>
      </c>
      <c r="H56" s="22">
        <f t="shared" si="14"/>
        <v>0</v>
      </c>
      <c r="I56" s="22">
        <f t="shared" si="15"/>
        <v>0</v>
      </c>
      <c r="J56" s="22" t="e">
        <f>I56/B56*100</f>
        <v>#DIV/0!</v>
      </c>
      <c r="K56" s="23" t="e">
        <f t="shared" si="17"/>
        <v>#DIV/0!</v>
      </c>
      <c r="L56" s="23" t="str">
        <f xml:space="preserve"> B56 &amp; " ± " &amp; (ROUNDUP(I56, 3))</f>
        <v xml:space="preserve"> ± 0</v>
      </c>
    </row>
    <row r="57" spans="1:12" x14ac:dyDescent="0.25">
      <c r="A57" s="3">
        <f t="shared" si="9"/>
        <v>55</v>
      </c>
      <c r="D57" s="22">
        <f t="shared" si="10"/>
        <v>0</v>
      </c>
      <c r="E57" s="22">
        <f t="shared" si="11"/>
        <v>0</v>
      </c>
      <c r="F57" s="22">
        <f t="shared" si="12"/>
        <v>0</v>
      </c>
      <c r="G57" s="22" t="e">
        <f t="shared" si="13"/>
        <v>#DIV/0!</v>
      </c>
      <c r="H57" s="22">
        <f t="shared" si="14"/>
        <v>0</v>
      </c>
      <c r="I57" s="22">
        <f t="shared" si="15"/>
        <v>0</v>
      </c>
      <c r="J57" s="22" t="e">
        <f t="shared" si="16"/>
        <v>#DIV/0!</v>
      </c>
      <c r="K57" s="23" t="e">
        <f t="shared" si="17"/>
        <v>#DIV/0!</v>
      </c>
      <c r="L57" s="23" t="str">
        <f t="shared" si="18"/>
        <v xml:space="preserve"> ± 0</v>
      </c>
    </row>
    <row r="58" spans="1:12" x14ac:dyDescent="0.25">
      <c r="A58" s="17">
        <f t="shared" si="9"/>
        <v>56</v>
      </c>
      <c r="B58" s="22">
        <v>7680</v>
      </c>
      <c r="D58" s="22">
        <f t="shared" si="10"/>
        <v>0</v>
      </c>
      <c r="E58" s="22">
        <f t="shared" si="11"/>
        <v>7680</v>
      </c>
      <c r="F58" s="22">
        <f t="shared" si="12"/>
        <v>7680</v>
      </c>
      <c r="G58" s="22">
        <f t="shared" si="13"/>
        <v>0</v>
      </c>
      <c r="H58" s="22">
        <f t="shared" si="14"/>
        <v>0</v>
      </c>
      <c r="I58" s="22">
        <f t="shared" si="15"/>
        <v>0</v>
      </c>
      <c r="J58" s="22">
        <f t="shared" si="16"/>
        <v>0</v>
      </c>
      <c r="K58" s="23">
        <f t="shared" si="17"/>
        <v>0</v>
      </c>
      <c r="L58" s="23" t="str">
        <f t="shared" si="18"/>
        <v>7680 ± 0</v>
      </c>
    </row>
    <row r="59" spans="1:12" x14ac:dyDescent="0.25">
      <c r="A59" s="17">
        <f t="shared" si="9"/>
        <v>57</v>
      </c>
      <c r="B59" s="22">
        <v>11499</v>
      </c>
      <c r="D59" s="22">
        <f t="shared" si="10"/>
        <v>0</v>
      </c>
      <c r="E59" s="22">
        <f t="shared" si="11"/>
        <v>11499</v>
      </c>
      <c r="F59" s="22">
        <f t="shared" si="12"/>
        <v>11499</v>
      </c>
      <c r="G59" s="22">
        <f t="shared" si="13"/>
        <v>0</v>
      </c>
      <c r="H59" s="22">
        <f t="shared" si="14"/>
        <v>0</v>
      </c>
      <c r="I59" s="22">
        <f t="shared" si="15"/>
        <v>0</v>
      </c>
      <c r="J59" s="22">
        <f t="shared" si="16"/>
        <v>0</v>
      </c>
      <c r="K59" s="23">
        <f t="shared" si="17"/>
        <v>0</v>
      </c>
      <c r="L59" s="23" t="str">
        <f t="shared" si="18"/>
        <v>11499 ± 0</v>
      </c>
    </row>
    <row r="60" spans="1:12" x14ac:dyDescent="0.25">
      <c r="A60" s="3">
        <f t="shared" si="9"/>
        <v>58</v>
      </c>
      <c r="D60" s="22">
        <f t="shared" si="10"/>
        <v>0</v>
      </c>
      <c r="E60" s="22">
        <f t="shared" si="11"/>
        <v>0</v>
      </c>
      <c r="F60" s="22">
        <f t="shared" si="12"/>
        <v>0</v>
      </c>
      <c r="G60" s="22" t="e">
        <f t="shared" si="13"/>
        <v>#DIV/0!</v>
      </c>
      <c r="H60" s="22">
        <f t="shared" si="14"/>
        <v>0</v>
      </c>
      <c r="I60" s="22">
        <f t="shared" si="15"/>
        <v>0</v>
      </c>
      <c r="J60" s="22" t="e">
        <f t="shared" si="16"/>
        <v>#DIV/0!</v>
      </c>
      <c r="K60" s="23" t="e">
        <f t="shared" si="17"/>
        <v>#DIV/0!</v>
      </c>
      <c r="L60" s="23" t="str">
        <f t="shared" si="18"/>
        <v xml:space="preserve"> ± 0</v>
      </c>
    </row>
    <row r="61" spans="1:12" x14ac:dyDescent="0.25">
      <c r="A61" s="3">
        <f t="shared" si="9"/>
        <v>59</v>
      </c>
      <c r="D61" s="22">
        <f t="shared" si="10"/>
        <v>0</v>
      </c>
      <c r="E61" s="22">
        <f t="shared" si="11"/>
        <v>0</v>
      </c>
      <c r="F61" s="22">
        <f t="shared" si="12"/>
        <v>0</v>
      </c>
      <c r="G61" s="22" t="e">
        <f t="shared" si="13"/>
        <v>#DIV/0!</v>
      </c>
      <c r="H61" s="22">
        <f t="shared" si="14"/>
        <v>0</v>
      </c>
      <c r="I61" s="22">
        <f t="shared" si="15"/>
        <v>0</v>
      </c>
      <c r="J61" s="22" t="e">
        <f t="shared" si="16"/>
        <v>#DIV/0!</v>
      </c>
      <c r="K61" s="23" t="e">
        <f t="shared" si="17"/>
        <v>#DIV/0!</v>
      </c>
      <c r="L61" s="23" t="str">
        <f t="shared" si="18"/>
        <v xml:space="preserve"> ± 0</v>
      </c>
    </row>
    <row r="62" spans="1:12" x14ac:dyDescent="0.25">
      <c r="A62" s="3">
        <f t="shared" si="9"/>
        <v>60</v>
      </c>
      <c r="D62" s="22">
        <f t="shared" si="10"/>
        <v>0</v>
      </c>
      <c r="E62" s="22">
        <f t="shared" si="11"/>
        <v>0</v>
      </c>
      <c r="F62" s="22">
        <f t="shared" si="12"/>
        <v>0</v>
      </c>
      <c r="G62" s="22" t="e">
        <f t="shared" si="13"/>
        <v>#DIV/0!</v>
      </c>
      <c r="H62" s="22">
        <f t="shared" si="14"/>
        <v>0</v>
      </c>
      <c r="I62" s="22">
        <f t="shared" si="15"/>
        <v>0</v>
      </c>
      <c r="J62" s="22" t="e">
        <f t="shared" si="16"/>
        <v>#DIV/0!</v>
      </c>
      <c r="K62" s="23" t="e">
        <f t="shared" si="17"/>
        <v>#DIV/0!</v>
      </c>
      <c r="L62" s="23" t="str">
        <f t="shared" si="18"/>
        <v xml:space="preserve"> ± 0</v>
      </c>
    </row>
    <row r="63" spans="1:12" x14ac:dyDescent="0.25">
      <c r="A63" s="18">
        <f t="shared" si="9"/>
        <v>61</v>
      </c>
      <c r="B63" s="22">
        <v>7680</v>
      </c>
      <c r="C63" s="22">
        <v>0</v>
      </c>
      <c r="D63" s="22">
        <f t="shared" si="10"/>
        <v>0</v>
      </c>
      <c r="E63" s="22">
        <f t="shared" si="11"/>
        <v>7680</v>
      </c>
      <c r="F63" s="22">
        <f t="shared" si="12"/>
        <v>7680</v>
      </c>
      <c r="G63" s="22">
        <f t="shared" si="13"/>
        <v>0</v>
      </c>
      <c r="H63" s="22">
        <f t="shared" si="14"/>
        <v>0</v>
      </c>
      <c r="I63" s="22">
        <f t="shared" si="15"/>
        <v>0</v>
      </c>
      <c r="J63" s="22">
        <f t="shared" si="16"/>
        <v>0</v>
      </c>
      <c r="K63" s="23">
        <f t="shared" si="17"/>
        <v>0</v>
      </c>
      <c r="L63" s="23" t="str">
        <f t="shared" si="18"/>
        <v>7680 ± 0</v>
      </c>
    </row>
    <row r="64" spans="1:12" x14ac:dyDescent="0.25">
      <c r="A64" s="16">
        <f t="shared" si="9"/>
        <v>62</v>
      </c>
      <c r="D64" s="22">
        <f t="shared" si="10"/>
        <v>0</v>
      </c>
      <c r="E64" s="22">
        <f t="shared" si="11"/>
        <v>0</v>
      </c>
      <c r="F64" s="22">
        <f t="shared" si="12"/>
        <v>0</v>
      </c>
      <c r="G64" s="22" t="e">
        <f t="shared" si="13"/>
        <v>#DIV/0!</v>
      </c>
      <c r="H64" s="22">
        <f t="shared" si="14"/>
        <v>0</v>
      </c>
      <c r="I64" s="22">
        <f t="shared" si="15"/>
        <v>0</v>
      </c>
      <c r="J64" s="22" t="e">
        <f t="shared" si="16"/>
        <v>#DIV/0!</v>
      </c>
      <c r="K64" s="23" t="e">
        <f t="shared" si="17"/>
        <v>#DIV/0!</v>
      </c>
      <c r="L64" s="23" t="str">
        <f t="shared" si="18"/>
        <v xml:space="preserve"> ± 0</v>
      </c>
    </row>
    <row r="65" spans="1:12" x14ac:dyDescent="0.25">
      <c r="A65" s="16">
        <f t="shared" si="9"/>
        <v>63</v>
      </c>
      <c r="D65" s="22">
        <f t="shared" si="10"/>
        <v>0</v>
      </c>
      <c r="E65" s="22">
        <f t="shared" si="11"/>
        <v>0</v>
      </c>
      <c r="F65" s="22">
        <f t="shared" si="12"/>
        <v>0</v>
      </c>
      <c r="G65" s="22" t="e">
        <f t="shared" si="13"/>
        <v>#DIV/0!</v>
      </c>
      <c r="H65" s="22">
        <f t="shared" si="14"/>
        <v>0</v>
      </c>
      <c r="I65" s="22">
        <f t="shared" si="15"/>
        <v>0</v>
      </c>
      <c r="J65" s="22" t="e">
        <f t="shared" si="16"/>
        <v>#DIV/0!</v>
      </c>
      <c r="K65" s="23" t="e">
        <f t="shared" si="17"/>
        <v>#DIV/0!</v>
      </c>
      <c r="L65" s="23" t="str">
        <f t="shared" si="18"/>
        <v xml:space="preserve"> ± 0</v>
      </c>
    </row>
    <row r="66" spans="1:12" x14ac:dyDescent="0.25">
      <c r="A66" s="16">
        <f t="shared" si="9"/>
        <v>64</v>
      </c>
      <c r="D66" s="22">
        <f t="shared" si="10"/>
        <v>0</v>
      </c>
      <c r="E66" s="22">
        <f t="shared" si="11"/>
        <v>0</v>
      </c>
      <c r="F66" s="22">
        <f t="shared" si="12"/>
        <v>0</v>
      </c>
      <c r="G66" s="22" t="e">
        <f t="shared" si="13"/>
        <v>#DIV/0!</v>
      </c>
      <c r="H66" s="22">
        <f t="shared" si="14"/>
        <v>0</v>
      </c>
      <c r="I66" s="22">
        <f t="shared" si="15"/>
        <v>0</v>
      </c>
      <c r="J66" s="22" t="e">
        <f t="shared" si="16"/>
        <v>#DIV/0!</v>
      </c>
      <c r="K66" s="23" t="e">
        <f t="shared" si="17"/>
        <v>#DIV/0!</v>
      </c>
      <c r="L66" s="23" t="str">
        <f t="shared" si="18"/>
        <v xml:space="preserve"> ± 0</v>
      </c>
    </row>
    <row r="67" spans="1:12" x14ac:dyDescent="0.25">
      <c r="A67" s="16">
        <f t="shared" si="9"/>
        <v>65</v>
      </c>
      <c r="D67" s="22">
        <f t="shared" si="10"/>
        <v>0</v>
      </c>
      <c r="E67" s="22">
        <f t="shared" si="11"/>
        <v>0</v>
      </c>
      <c r="F67" s="22">
        <f t="shared" si="12"/>
        <v>0</v>
      </c>
      <c r="G67" s="22" t="e">
        <f t="shared" si="13"/>
        <v>#DIV/0!</v>
      </c>
      <c r="H67" s="22">
        <f t="shared" si="14"/>
        <v>0</v>
      </c>
      <c r="I67" s="22">
        <f t="shared" si="15"/>
        <v>0</v>
      </c>
      <c r="J67" s="22" t="e">
        <f t="shared" si="16"/>
        <v>#DIV/0!</v>
      </c>
      <c r="K67" s="23" t="e">
        <f t="shared" si="17"/>
        <v>#DIV/0!</v>
      </c>
      <c r="L67" s="23" t="str">
        <f t="shared" si="18"/>
        <v xml:space="preserve"> ± 0</v>
      </c>
    </row>
    <row r="68" spans="1:12" x14ac:dyDescent="0.25">
      <c r="A68" s="17">
        <f t="shared" si="9"/>
        <v>66</v>
      </c>
      <c r="B68" s="22">
        <v>7936</v>
      </c>
      <c r="C68" s="22">
        <v>0</v>
      </c>
      <c r="D68" s="22">
        <f t="shared" si="10"/>
        <v>0</v>
      </c>
      <c r="E68" s="22">
        <f t="shared" si="11"/>
        <v>7936</v>
      </c>
      <c r="F68" s="22">
        <f t="shared" si="12"/>
        <v>7936</v>
      </c>
      <c r="G68" s="22">
        <f t="shared" si="13"/>
        <v>0</v>
      </c>
      <c r="H68" s="22">
        <f t="shared" si="14"/>
        <v>0</v>
      </c>
      <c r="I68" s="22">
        <f t="shared" si="15"/>
        <v>0</v>
      </c>
      <c r="J68" s="22">
        <f t="shared" si="16"/>
        <v>0</v>
      </c>
      <c r="K68" s="23">
        <f t="shared" si="17"/>
        <v>0</v>
      </c>
      <c r="L68" s="23" t="str">
        <f t="shared" si="18"/>
        <v>7936 ± 0</v>
      </c>
    </row>
    <row r="69" spans="1:12" x14ac:dyDescent="0.25">
      <c r="A69" s="16">
        <f t="shared" ref="A69:A78" si="19">A68+1</f>
        <v>67</v>
      </c>
      <c r="D69" s="22">
        <f t="shared" si="10"/>
        <v>0</v>
      </c>
      <c r="E69" s="22">
        <f t="shared" si="11"/>
        <v>0</v>
      </c>
      <c r="F69" s="22">
        <f t="shared" si="12"/>
        <v>0</v>
      </c>
      <c r="G69" s="22" t="e">
        <f t="shared" si="13"/>
        <v>#DIV/0!</v>
      </c>
      <c r="H69" s="22">
        <f t="shared" si="14"/>
        <v>0</v>
      </c>
      <c r="I69" s="22">
        <f t="shared" si="15"/>
        <v>0</v>
      </c>
      <c r="J69" s="22" t="e">
        <f t="shared" si="16"/>
        <v>#DIV/0!</v>
      </c>
      <c r="K69" s="23" t="e">
        <f t="shared" si="17"/>
        <v>#DIV/0!</v>
      </c>
      <c r="L69" s="23" t="str">
        <f t="shared" si="18"/>
        <v xml:space="preserve"> ± 0</v>
      </c>
    </row>
    <row r="70" spans="1:12" x14ac:dyDescent="0.25">
      <c r="A70" s="16">
        <f t="shared" si="19"/>
        <v>68</v>
      </c>
      <c r="D70" s="22">
        <f t="shared" si="10"/>
        <v>0</v>
      </c>
      <c r="E70" s="22">
        <f t="shared" si="11"/>
        <v>0</v>
      </c>
      <c r="F70" s="22">
        <f t="shared" si="12"/>
        <v>0</v>
      </c>
      <c r="G70" s="22" t="e">
        <f t="shared" si="13"/>
        <v>#DIV/0!</v>
      </c>
      <c r="H70" s="22">
        <f t="shared" si="14"/>
        <v>0</v>
      </c>
      <c r="I70" s="22">
        <f t="shared" si="15"/>
        <v>0</v>
      </c>
      <c r="J70" s="22" t="e">
        <f t="shared" si="16"/>
        <v>#DIV/0!</v>
      </c>
      <c r="K70" s="23" t="e">
        <f t="shared" si="17"/>
        <v>#DIV/0!</v>
      </c>
      <c r="L70" s="23" t="str">
        <f t="shared" si="18"/>
        <v xml:space="preserve"> ± 0</v>
      </c>
    </row>
    <row r="71" spans="1:12" x14ac:dyDescent="0.25">
      <c r="A71" s="16">
        <f t="shared" si="19"/>
        <v>69</v>
      </c>
      <c r="D71" s="22">
        <f t="shared" si="10"/>
        <v>0</v>
      </c>
      <c r="E71" s="22">
        <f t="shared" si="11"/>
        <v>0</v>
      </c>
      <c r="F71" s="22">
        <f t="shared" si="12"/>
        <v>0</v>
      </c>
      <c r="G71" s="22" t="e">
        <f t="shared" si="13"/>
        <v>#DIV/0!</v>
      </c>
      <c r="H71" s="22">
        <f t="shared" si="14"/>
        <v>0</v>
      </c>
      <c r="I71" s="22">
        <f t="shared" si="15"/>
        <v>0</v>
      </c>
      <c r="J71" s="22" t="e">
        <f t="shared" si="16"/>
        <v>#DIV/0!</v>
      </c>
      <c r="K71" s="23" t="e">
        <f t="shared" si="17"/>
        <v>#DIV/0!</v>
      </c>
      <c r="L71" s="23" t="str">
        <f t="shared" si="18"/>
        <v xml:space="preserve"> ± 0</v>
      </c>
    </row>
    <row r="72" spans="1:12" x14ac:dyDescent="0.25">
      <c r="A72" s="16">
        <f t="shared" si="19"/>
        <v>70</v>
      </c>
      <c r="D72" s="22">
        <f t="shared" si="10"/>
        <v>0</v>
      </c>
      <c r="E72" s="22">
        <f t="shared" si="11"/>
        <v>0</v>
      </c>
      <c r="F72" s="22">
        <f t="shared" si="12"/>
        <v>0</v>
      </c>
      <c r="G72" s="22" t="e">
        <f t="shared" si="13"/>
        <v>#DIV/0!</v>
      </c>
      <c r="H72" s="22">
        <f t="shared" si="14"/>
        <v>0</v>
      </c>
      <c r="I72" s="22">
        <f t="shared" si="15"/>
        <v>0</v>
      </c>
      <c r="J72" s="22" t="e">
        <f t="shared" si="16"/>
        <v>#DIV/0!</v>
      </c>
      <c r="K72" s="23" t="e">
        <f t="shared" si="17"/>
        <v>#DIV/0!</v>
      </c>
      <c r="L72" s="23" t="str">
        <f t="shared" si="18"/>
        <v xml:space="preserve"> ± 0</v>
      </c>
    </row>
    <row r="73" spans="1:12" x14ac:dyDescent="0.25">
      <c r="A73" s="17">
        <f t="shared" si="19"/>
        <v>71</v>
      </c>
      <c r="B73" s="22">
        <v>7936</v>
      </c>
      <c r="C73" s="22">
        <v>0</v>
      </c>
      <c r="D73" s="22">
        <f t="shared" ref="D73:D78" si="20">POWER(C73/($O$5-1),0.5)</f>
        <v>0</v>
      </c>
      <c r="E73" s="22">
        <f t="shared" ref="E73:E78" si="21">B73+3*D73</f>
        <v>7936</v>
      </c>
      <c r="F73" s="22">
        <f t="shared" ref="F73:F78" si="22">B73-3*D73</f>
        <v>7936</v>
      </c>
      <c r="G73" s="22">
        <f t="shared" ref="G73:G78" si="23">D73/B73*100</f>
        <v>0</v>
      </c>
      <c r="H73" s="22">
        <f t="shared" ref="H73:H78" si="24">D73/POWER($O$5, 0.5)</f>
        <v>0</v>
      </c>
      <c r="I73" s="22">
        <f t="shared" ref="I73:I78" si="25">H73*$P$5</f>
        <v>0</v>
      </c>
      <c r="J73" s="22">
        <f t="shared" ref="J73:J78" si="26">I73/B73*100</f>
        <v>0</v>
      </c>
      <c r="K73" s="23">
        <f t="shared" ref="K73:K78" si="27">ROUNDUP(POWER(G73*$P$5/$Q$5,2),0)</f>
        <v>0</v>
      </c>
      <c r="L73" s="23" t="str">
        <f t="shared" ref="L73:L78" si="28" xml:space="preserve"> B73 &amp; " ± " &amp; (ROUNDUP(I73, 3))</f>
        <v>7936 ± 0</v>
      </c>
    </row>
    <row r="74" spans="1:12" x14ac:dyDescent="0.25">
      <c r="A74" s="16">
        <f t="shared" si="19"/>
        <v>72</v>
      </c>
      <c r="D74" s="22">
        <f t="shared" si="20"/>
        <v>0</v>
      </c>
      <c r="E74" s="22">
        <f t="shared" si="21"/>
        <v>0</v>
      </c>
      <c r="F74" s="22">
        <f t="shared" si="22"/>
        <v>0</v>
      </c>
      <c r="G74" s="22" t="e">
        <f t="shared" si="23"/>
        <v>#DIV/0!</v>
      </c>
      <c r="H74" s="22">
        <f t="shared" si="24"/>
        <v>0</v>
      </c>
      <c r="I74" s="22">
        <f t="shared" si="25"/>
        <v>0</v>
      </c>
      <c r="J74" s="22" t="e">
        <f t="shared" si="26"/>
        <v>#DIV/0!</v>
      </c>
      <c r="K74" s="23" t="e">
        <f t="shared" si="27"/>
        <v>#DIV/0!</v>
      </c>
      <c r="L74" s="23" t="str">
        <f t="shared" si="28"/>
        <v xml:space="preserve"> ± 0</v>
      </c>
    </row>
    <row r="75" spans="1:12" x14ac:dyDescent="0.25">
      <c r="A75" s="16">
        <f t="shared" si="19"/>
        <v>73</v>
      </c>
      <c r="D75" s="22">
        <f t="shared" si="20"/>
        <v>0</v>
      </c>
      <c r="E75" s="22">
        <f t="shared" si="21"/>
        <v>0</v>
      </c>
      <c r="F75" s="22">
        <f t="shared" si="22"/>
        <v>0</v>
      </c>
      <c r="G75" s="22" t="e">
        <f t="shared" si="23"/>
        <v>#DIV/0!</v>
      </c>
      <c r="H75" s="22">
        <f t="shared" si="24"/>
        <v>0</v>
      </c>
      <c r="I75" s="22">
        <f t="shared" si="25"/>
        <v>0</v>
      </c>
      <c r="J75" s="22" t="e">
        <f t="shared" si="26"/>
        <v>#DIV/0!</v>
      </c>
      <c r="K75" s="23" t="e">
        <f t="shared" si="27"/>
        <v>#DIV/0!</v>
      </c>
      <c r="L75" s="23" t="str">
        <f t="shared" si="28"/>
        <v xml:space="preserve"> ± 0</v>
      </c>
    </row>
    <row r="76" spans="1:12" x14ac:dyDescent="0.25">
      <c r="A76" s="16">
        <f t="shared" si="19"/>
        <v>74</v>
      </c>
      <c r="D76" s="22">
        <f t="shared" si="20"/>
        <v>0</v>
      </c>
      <c r="E76" s="22">
        <f t="shared" si="21"/>
        <v>0</v>
      </c>
      <c r="F76" s="22">
        <f t="shared" si="22"/>
        <v>0</v>
      </c>
      <c r="G76" s="22" t="e">
        <f t="shared" si="23"/>
        <v>#DIV/0!</v>
      </c>
      <c r="H76" s="22">
        <f t="shared" si="24"/>
        <v>0</v>
      </c>
      <c r="I76" s="22">
        <f t="shared" si="25"/>
        <v>0</v>
      </c>
      <c r="J76" s="22" t="e">
        <f t="shared" si="26"/>
        <v>#DIV/0!</v>
      </c>
      <c r="K76" s="23" t="e">
        <f t="shared" si="27"/>
        <v>#DIV/0!</v>
      </c>
      <c r="L76" s="23" t="str">
        <f t="shared" si="28"/>
        <v xml:space="preserve"> ± 0</v>
      </c>
    </row>
    <row r="77" spans="1:12" x14ac:dyDescent="0.25">
      <c r="A77" s="16">
        <f t="shared" si="19"/>
        <v>75</v>
      </c>
      <c r="D77" s="22">
        <f t="shared" si="20"/>
        <v>0</v>
      </c>
      <c r="E77" s="22">
        <f t="shared" si="21"/>
        <v>0</v>
      </c>
      <c r="F77" s="22">
        <f t="shared" si="22"/>
        <v>0</v>
      </c>
      <c r="G77" s="22" t="e">
        <f t="shared" si="23"/>
        <v>#DIV/0!</v>
      </c>
      <c r="H77" s="22">
        <f t="shared" si="24"/>
        <v>0</v>
      </c>
      <c r="I77" s="22">
        <f t="shared" si="25"/>
        <v>0</v>
      </c>
      <c r="J77" s="22" t="e">
        <f t="shared" si="26"/>
        <v>#DIV/0!</v>
      </c>
      <c r="K77" s="23" t="e">
        <f t="shared" si="27"/>
        <v>#DIV/0!</v>
      </c>
      <c r="L77" s="23" t="str">
        <f t="shared" si="28"/>
        <v xml:space="preserve"> ± 0</v>
      </c>
    </row>
    <row r="78" spans="1:12" x14ac:dyDescent="0.25">
      <c r="A78" s="17">
        <f t="shared" si="19"/>
        <v>76</v>
      </c>
      <c r="B78" s="22">
        <v>7936</v>
      </c>
      <c r="C78" s="22">
        <v>0</v>
      </c>
      <c r="D78" s="22">
        <f t="shared" si="20"/>
        <v>0</v>
      </c>
      <c r="E78" s="22">
        <f t="shared" si="21"/>
        <v>7936</v>
      </c>
      <c r="F78" s="22">
        <f t="shared" si="22"/>
        <v>7936</v>
      </c>
      <c r="G78" s="22">
        <f t="shared" si="23"/>
        <v>0</v>
      </c>
      <c r="H78" s="22">
        <f t="shared" si="24"/>
        <v>0</v>
      </c>
      <c r="I78" s="22">
        <f t="shared" si="25"/>
        <v>0</v>
      </c>
      <c r="J78" s="22">
        <f t="shared" si="26"/>
        <v>0</v>
      </c>
      <c r="K78" s="23">
        <f t="shared" si="27"/>
        <v>0</v>
      </c>
      <c r="L78" s="23" t="str">
        <f t="shared" si="28"/>
        <v>7936 ± 0</v>
      </c>
    </row>
    <row r="79" spans="1:12" x14ac:dyDescent="0.25">
      <c r="A79" s="16"/>
      <c r="D79" s="22">
        <f t="shared" ref="D79" si="29">POWER(C79/($O$5-1),0.5)</f>
        <v>0</v>
      </c>
      <c r="E79" s="22">
        <f t="shared" ref="E79" si="30">B79+3*D79</f>
        <v>0</v>
      </c>
      <c r="F79" s="22">
        <f t="shared" ref="F79" si="31">B79-3*D79</f>
        <v>0</v>
      </c>
      <c r="G79" s="22" t="e">
        <f t="shared" ref="G79" si="32">D79/B79*100</f>
        <v>#DIV/0!</v>
      </c>
      <c r="H79" s="22">
        <f t="shared" ref="H79" si="33">D79/POWER($O$5, 0.5)</f>
        <v>0</v>
      </c>
      <c r="I79" s="22">
        <f t="shared" ref="I79" si="34">H79*$P$5</f>
        <v>0</v>
      </c>
      <c r="J79" s="22" t="e">
        <f t="shared" ref="J79" si="35">I79/B79*100</f>
        <v>#DIV/0!</v>
      </c>
      <c r="K79" s="23" t="e">
        <f t="shared" ref="K79" si="36">ROUNDUP(POWER(G79*$P$5/$Q$5,2),0)</f>
        <v>#DIV/0!</v>
      </c>
      <c r="L79" s="23" t="str">
        <f t="shared" ref="L79" si="37" xml:space="preserve"> B79 &amp; " ± " &amp; (ROUNDUP(I79, 3))</f>
        <v xml:space="preserve"> ± 0</v>
      </c>
    </row>
    <row r="80" spans="1:12" x14ac:dyDescent="0.25">
      <c r="A80" s="16"/>
      <c r="D80" s="22">
        <f t="shared" ref="D80:D87" si="38">POWER(C80/($O$5-1),0.5)</f>
        <v>0</v>
      </c>
      <c r="E80" s="22">
        <f t="shared" ref="E80:E87" si="39">B80+3*D80</f>
        <v>0</v>
      </c>
      <c r="F80" s="22">
        <f t="shared" ref="F80:F87" si="40">B80-3*D80</f>
        <v>0</v>
      </c>
      <c r="G80" s="22" t="e">
        <f t="shared" ref="G80:G87" si="41">D80/B80*100</f>
        <v>#DIV/0!</v>
      </c>
      <c r="H80" s="22">
        <f t="shared" ref="H80:H87" si="42">D80/POWER($O$5, 0.5)</f>
        <v>0</v>
      </c>
      <c r="I80" s="22">
        <f t="shared" ref="I80:I87" si="43">H80*$P$5</f>
        <v>0</v>
      </c>
      <c r="J80" s="22" t="e">
        <f t="shared" ref="J80:J87" si="44">I80/B80*100</f>
        <v>#DIV/0!</v>
      </c>
      <c r="K80" s="23" t="e">
        <f t="shared" ref="K80:K87" si="45">ROUNDUP(POWER(G80*$P$5/$Q$5,2),0)</f>
        <v>#DIV/0!</v>
      </c>
      <c r="L80" s="23" t="str">
        <f t="shared" ref="L80:L87" si="46" xml:space="preserve"> B80 &amp; " ± " &amp; (ROUNDUP(I80, 3))</f>
        <v xml:space="preserve"> ± 0</v>
      </c>
    </row>
    <row r="81" spans="1:12" x14ac:dyDescent="0.25">
      <c r="A81" s="17" t="s">
        <v>61</v>
      </c>
      <c r="B81" s="22">
        <v>7936</v>
      </c>
      <c r="C81" s="22">
        <v>0</v>
      </c>
      <c r="D81" s="22">
        <f t="shared" si="38"/>
        <v>0</v>
      </c>
      <c r="E81" s="22">
        <f t="shared" si="39"/>
        <v>7936</v>
      </c>
      <c r="F81" s="22">
        <f t="shared" si="40"/>
        <v>7936</v>
      </c>
      <c r="G81" s="22">
        <f t="shared" si="41"/>
        <v>0</v>
      </c>
      <c r="H81" s="22">
        <f t="shared" si="42"/>
        <v>0</v>
      </c>
      <c r="I81" s="22">
        <f t="shared" si="43"/>
        <v>0</v>
      </c>
      <c r="J81" s="22">
        <f t="shared" si="44"/>
        <v>0</v>
      </c>
      <c r="K81" s="23">
        <f t="shared" si="45"/>
        <v>0</v>
      </c>
      <c r="L81" s="23" t="str">
        <f t="shared" si="46"/>
        <v>7936 ± 0</v>
      </c>
    </row>
    <row r="82" spans="1:12" x14ac:dyDescent="0.25">
      <c r="A82" s="17" t="s">
        <v>62</v>
      </c>
      <c r="B82" s="22">
        <v>7748</v>
      </c>
      <c r="C82" s="22">
        <v>0</v>
      </c>
      <c r="D82" s="22">
        <f t="shared" si="38"/>
        <v>0</v>
      </c>
      <c r="E82" s="22">
        <f t="shared" si="39"/>
        <v>7748</v>
      </c>
      <c r="F82" s="22">
        <f t="shared" si="40"/>
        <v>7748</v>
      </c>
      <c r="G82" s="22">
        <f t="shared" si="41"/>
        <v>0</v>
      </c>
      <c r="H82" s="22">
        <f t="shared" si="42"/>
        <v>0</v>
      </c>
      <c r="I82" s="22">
        <f t="shared" si="43"/>
        <v>0</v>
      </c>
      <c r="J82" s="22">
        <f t="shared" si="44"/>
        <v>0</v>
      </c>
      <c r="K82" s="23">
        <f t="shared" si="45"/>
        <v>0</v>
      </c>
      <c r="L82" s="23" t="str">
        <f t="shared" si="46"/>
        <v>7748 ± 0</v>
      </c>
    </row>
    <row r="83" spans="1:12" x14ac:dyDescent="0.25">
      <c r="A83" s="17" t="s">
        <v>63</v>
      </c>
      <c r="B83" s="22">
        <v>7936</v>
      </c>
      <c r="C83" s="22">
        <v>0</v>
      </c>
      <c r="D83" s="22">
        <f t="shared" si="38"/>
        <v>0</v>
      </c>
      <c r="E83" s="22">
        <f t="shared" si="39"/>
        <v>7936</v>
      </c>
      <c r="F83" s="22">
        <f t="shared" si="40"/>
        <v>7936</v>
      </c>
      <c r="G83" s="22">
        <f t="shared" si="41"/>
        <v>0</v>
      </c>
      <c r="H83" s="22">
        <f t="shared" si="42"/>
        <v>0</v>
      </c>
      <c r="I83" s="22">
        <f t="shared" si="43"/>
        <v>0</v>
      </c>
      <c r="J83" s="22">
        <f t="shared" si="44"/>
        <v>0</v>
      </c>
      <c r="K83" s="23">
        <f t="shared" si="45"/>
        <v>0</v>
      </c>
      <c r="L83" s="23" t="str">
        <f t="shared" si="46"/>
        <v>7936 ± 0</v>
      </c>
    </row>
    <row r="84" spans="1:12" x14ac:dyDescent="0.25">
      <c r="A84" s="17" t="s">
        <v>64</v>
      </c>
      <c r="B84" s="22">
        <v>7748</v>
      </c>
      <c r="C84" s="22">
        <v>0</v>
      </c>
      <c r="D84" s="22">
        <f t="shared" si="38"/>
        <v>0</v>
      </c>
      <c r="E84" s="22">
        <f t="shared" si="39"/>
        <v>7748</v>
      </c>
      <c r="F84" s="22">
        <f t="shared" si="40"/>
        <v>7748</v>
      </c>
      <c r="G84" s="22">
        <f t="shared" si="41"/>
        <v>0</v>
      </c>
      <c r="H84" s="22">
        <f t="shared" si="42"/>
        <v>0</v>
      </c>
      <c r="I84" s="22">
        <f t="shared" si="43"/>
        <v>0</v>
      </c>
      <c r="J84" s="22">
        <f t="shared" si="44"/>
        <v>0</v>
      </c>
      <c r="K84" s="23">
        <f t="shared" si="45"/>
        <v>0</v>
      </c>
      <c r="L84" s="23" t="str">
        <f t="shared" si="46"/>
        <v>7748 ± 0</v>
      </c>
    </row>
    <row r="85" spans="1:12" x14ac:dyDescent="0.25">
      <c r="A85" s="17" t="s">
        <v>65</v>
      </c>
      <c r="B85" s="22">
        <v>7936</v>
      </c>
      <c r="C85" s="22">
        <v>0</v>
      </c>
      <c r="D85" s="22">
        <f t="shared" si="38"/>
        <v>0</v>
      </c>
      <c r="E85" s="22">
        <f t="shared" si="39"/>
        <v>7936</v>
      </c>
      <c r="F85" s="22">
        <f t="shared" si="40"/>
        <v>7936</v>
      </c>
      <c r="G85" s="22">
        <f t="shared" si="41"/>
        <v>0</v>
      </c>
      <c r="H85" s="22">
        <f t="shared" si="42"/>
        <v>0</v>
      </c>
      <c r="I85" s="22">
        <f t="shared" si="43"/>
        <v>0</v>
      </c>
      <c r="J85" s="22">
        <f t="shared" si="44"/>
        <v>0</v>
      </c>
      <c r="K85" s="23">
        <f t="shared" si="45"/>
        <v>0</v>
      </c>
      <c r="L85" s="23" t="str">
        <f t="shared" si="46"/>
        <v>7936 ± 0</v>
      </c>
    </row>
    <row r="86" spans="1:12" x14ac:dyDescent="0.25">
      <c r="A86" s="17" t="s">
        <v>66</v>
      </c>
      <c r="B86" s="22">
        <v>7936</v>
      </c>
      <c r="C86" s="22">
        <v>0</v>
      </c>
      <c r="D86" s="22">
        <f t="shared" si="38"/>
        <v>0</v>
      </c>
      <c r="E86" s="22">
        <f t="shared" si="39"/>
        <v>7936</v>
      </c>
      <c r="F86" s="22">
        <f t="shared" si="40"/>
        <v>7936</v>
      </c>
      <c r="G86" s="22">
        <f t="shared" si="41"/>
        <v>0</v>
      </c>
      <c r="H86" s="22">
        <f t="shared" si="42"/>
        <v>0</v>
      </c>
      <c r="I86" s="22">
        <f t="shared" si="43"/>
        <v>0</v>
      </c>
      <c r="J86" s="22">
        <f t="shared" si="44"/>
        <v>0</v>
      </c>
      <c r="K86" s="23">
        <f t="shared" si="45"/>
        <v>0</v>
      </c>
      <c r="L86" s="23" t="str">
        <f t="shared" si="46"/>
        <v>7936 ± 0</v>
      </c>
    </row>
    <row r="87" spans="1:12" x14ac:dyDescent="0.25">
      <c r="A87" s="17" t="s">
        <v>67</v>
      </c>
      <c r="B87" s="22">
        <v>7936</v>
      </c>
      <c r="C87" s="22">
        <v>0</v>
      </c>
      <c r="D87" s="22">
        <f t="shared" si="38"/>
        <v>0</v>
      </c>
      <c r="E87" s="22">
        <f t="shared" si="39"/>
        <v>7936</v>
      </c>
      <c r="F87" s="22">
        <f t="shared" si="40"/>
        <v>7936</v>
      </c>
      <c r="G87" s="22">
        <f t="shared" si="41"/>
        <v>0</v>
      </c>
      <c r="H87" s="22">
        <f t="shared" si="42"/>
        <v>0</v>
      </c>
      <c r="I87" s="22">
        <f t="shared" si="43"/>
        <v>0</v>
      </c>
      <c r="J87" s="22">
        <f t="shared" si="44"/>
        <v>0</v>
      </c>
      <c r="K87" s="23">
        <f t="shared" si="45"/>
        <v>0</v>
      </c>
      <c r="L87" s="23" t="str">
        <f t="shared" si="46"/>
        <v>7936 ± 0</v>
      </c>
    </row>
    <row r="88" spans="1:12" x14ac:dyDescent="0.25">
      <c r="A88" s="17" t="s">
        <v>68</v>
      </c>
      <c r="B88" s="22">
        <v>7936</v>
      </c>
      <c r="C88" s="22">
        <v>0</v>
      </c>
      <c r="D88" s="22">
        <f t="shared" ref="D88" si="47">POWER(C88/($O$5-1),0.5)</f>
        <v>0</v>
      </c>
      <c r="E88" s="22">
        <f t="shared" ref="E88" si="48">B88+3*D88</f>
        <v>7936</v>
      </c>
      <c r="F88" s="22">
        <f t="shared" ref="F88" si="49">B88-3*D88</f>
        <v>7936</v>
      </c>
      <c r="G88" s="22">
        <f t="shared" ref="G88" si="50">D88/B88*100</f>
        <v>0</v>
      </c>
      <c r="H88" s="22">
        <f t="shared" ref="H88" si="51">D88/POWER($O$5, 0.5)</f>
        <v>0</v>
      </c>
      <c r="I88" s="22">
        <f t="shared" ref="I88" si="52">H88*$P$5</f>
        <v>0</v>
      </c>
      <c r="J88" s="22">
        <f t="shared" ref="J88" si="53">I88/B88*100</f>
        <v>0</v>
      </c>
      <c r="K88" s="23">
        <f t="shared" ref="K88" si="54">ROUNDUP(POWER(G88*$P$5/$Q$5,2),0)</f>
        <v>0</v>
      </c>
      <c r="L88" s="23" t="str">
        <f t="shared" ref="L88" si="55" xml:space="preserve"> B88 &amp; " ± " &amp; (ROUNDUP(I88, 3))</f>
        <v>7936 ± 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9205-8D0F-4AD0-8501-C3020AB7520F}">
  <sheetPr codeName="Лист8"/>
  <dimension ref="A1:K87"/>
  <sheetViews>
    <sheetView topLeftCell="A45" workbookViewId="0">
      <pane xSplit="1" topLeftCell="B1" activePane="topRight" state="frozen"/>
      <selection activeCell="D22" sqref="D22"/>
      <selection pane="topRight" activeCell="J87" sqref="J87"/>
    </sheetView>
  </sheetViews>
  <sheetFormatPr defaultColWidth="8.85546875" defaultRowHeight="15" x14ac:dyDescent="0.25"/>
  <cols>
    <col min="1" max="1" width="31.42578125" style="13" customWidth="1"/>
    <col min="2" max="2" width="10.85546875" style="20" customWidth="1"/>
    <col min="3" max="3" width="11.85546875" style="22" customWidth="1"/>
    <col min="4" max="4" width="12" style="22" customWidth="1"/>
    <col min="5" max="5" width="10.5703125" style="22" customWidth="1"/>
    <col min="6" max="6" width="18.7109375" style="22" customWidth="1"/>
    <col min="7" max="7" width="8.85546875" style="22"/>
    <col min="8" max="8" width="14.28515625" style="22" customWidth="1"/>
    <col min="9" max="10" width="8.85546875" style="22"/>
    <col min="11" max="11" width="25" style="22" customWidth="1"/>
    <col min="12" max="16384" width="8.85546875" style="22"/>
  </cols>
  <sheetData>
    <row r="1" spans="1:11" s="28" customFormat="1" ht="15.75" thickBot="1" x14ac:dyDescent="0.3">
      <c r="A1" s="14" t="s">
        <v>15</v>
      </c>
      <c r="B1" s="34" t="s">
        <v>14</v>
      </c>
      <c r="C1" s="28" t="s">
        <v>22</v>
      </c>
      <c r="D1" s="28" t="s">
        <v>28</v>
      </c>
      <c r="E1" s="28" t="s">
        <v>7</v>
      </c>
      <c r="F1" s="28" t="s">
        <v>27</v>
      </c>
      <c r="G1" s="28" t="s">
        <v>18</v>
      </c>
      <c r="H1" s="28" t="s">
        <v>26</v>
      </c>
      <c r="I1" s="28" t="s">
        <v>25</v>
      </c>
      <c r="J1" s="28" t="s">
        <v>24</v>
      </c>
      <c r="K1" s="28" t="s">
        <v>23</v>
      </c>
    </row>
    <row r="2" spans="1:11" s="21" customFormat="1" x14ac:dyDescent="0.25">
      <c r="A2" s="15">
        <v>1</v>
      </c>
      <c r="B2" s="24">
        <f>T0_1!B3</f>
        <v>3418</v>
      </c>
      <c r="C2" s="21">
        <f>Tв_23!B3</f>
        <v>2</v>
      </c>
      <c r="D2" s="21">
        <f>B2/(B2+C2)</f>
        <v>0.99941520467836253</v>
      </c>
      <c r="E2" s="21">
        <f>T0_1!I3</f>
        <v>4</v>
      </c>
      <c r="F2" s="21">
        <f>C2/POWER(B2+C2,2)</f>
        <v>1.709927841045108E-7</v>
      </c>
      <c r="G2" s="21">
        <f>Tв_23!I3</f>
        <v>4</v>
      </c>
      <c r="H2" s="21">
        <f t="shared" ref="H2:H7" si="0">-B2/POWER(B2+C2,2)</f>
        <v>-2.9222666803460894E-4</v>
      </c>
      <c r="I2" s="21">
        <f t="shared" ref="I2:I7" si="1">POWER(POWER(F2*E2,2)+POWER(H2*G2,2),0.5)</f>
        <v>1.1689068722470016E-3</v>
      </c>
      <c r="J2" s="21">
        <f t="shared" ref="J2:J7" si="2">I2/D2*100</f>
        <v>0.11695908435005106</v>
      </c>
      <c r="K2" s="21" t="str">
        <f xml:space="preserve"> D2 &amp; " ± " &amp; (ROUNDUP(I2, 3))</f>
        <v>0,999415204678363 ± 0,002</v>
      </c>
    </row>
    <row r="3" spans="1:11" x14ac:dyDescent="0.25">
      <c r="A3" s="16">
        <f>A2+1</f>
        <v>2</v>
      </c>
      <c r="B3" s="20">
        <f>T0_1!B4</f>
        <v>0</v>
      </c>
      <c r="C3" s="21">
        <f>Tв_23!B4</f>
        <v>0</v>
      </c>
      <c r="D3" s="22" t="e">
        <f t="shared" ref="D3:D7" si="3">B3/(B3+C3)</f>
        <v>#DIV/0!</v>
      </c>
      <c r="E3" s="22">
        <f>T0_1!I4</f>
        <v>0</v>
      </c>
      <c r="F3" s="22" t="e">
        <f t="shared" ref="F3:F7" si="4">C3/POWER(B3+C3,2)</f>
        <v>#DIV/0!</v>
      </c>
      <c r="G3" s="21">
        <f>Tв_23!I4</f>
        <v>0</v>
      </c>
      <c r="H3" s="22" t="e">
        <f t="shared" si="0"/>
        <v>#DIV/0!</v>
      </c>
      <c r="I3" s="22" t="e">
        <f t="shared" si="1"/>
        <v>#DIV/0!</v>
      </c>
      <c r="J3" s="22" t="e">
        <f>I3/D3*100</f>
        <v>#DIV/0!</v>
      </c>
      <c r="K3" s="22" t="e">
        <f t="shared" ref="K3:K7" si="5" xml:space="preserve"> D3 &amp; " ± " &amp; (ROUNDUP(I3, 3))</f>
        <v>#DIV/0!</v>
      </c>
    </row>
    <row r="4" spans="1:11" x14ac:dyDescent="0.25">
      <c r="A4" s="16">
        <f t="shared" ref="A4:A67" si="6">A3+1</f>
        <v>3</v>
      </c>
      <c r="B4" s="20">
        <f>T0_1!B5</f>
        <v>0</v>
      </c>
      <c r="C4" s="21">
        <f>Tв_23!B5</f>
        <v>0</v>
      </c>
      <c r="D4" s="22" t="e">
        <f t="shared" si="3"/>
        <v>#DIV/0!</v>
      </c>
      <c r="E4" s="22">
        <f>T0_1!I5</f>
        <v>0</v>
      </c>
      <c r="F4" s="22" t="e">
        <f t="shared" si="4"/>
        <v>#DIV/0!</v>
      </c>
      <c r="G4" s="21">
        <f>Tв_23!I5</f>
        <v>0</v>
      </c>
      <c r="H4" s="22" t="e">
        <f t="shared" si="0"/>
        <v>#DIV/0!</v>
      </c>
      <c r="I4" s="22" t="e">
        <f t="shared" si="1"/>
        <v>#DIV/0!</v>
      </c>
      <c r="J4" s="22" t="e">
        <f t="shared" si="2"/>
        <v>#DIV/0!</v>
      </c>
      <c r="K4" s="22" t="e">
        <f t="shared" si="5"/>
        <v>#DIV/0!</v>
      </c>
    </row>
    <row r="5" spans="1:11" x14ac:dyDescent="0.25">
      <c r="A5" s="16">
        <f t="shared" si="6"/>
        <v>4</v>
      </c>
      <c r="B5" s="20">
        <f>T0_1!B6</f>
        <v>0</v>
      </c>
      <c r="C5" s="21">
        <f>Tв_23!B6</f>
        <v>0</v>
      </c>
      <c r="D5" s="22" t="e">
        <f t="shared" si="3"/>
        <v>#DIV/0!</v>
      </c>
      <c r="E5" s="22">
        <f>T0_1!I6</f>
        <v>0</v>
      </c>
      <c r="F5" s="22" t="e">
        <f t="shared" si="4"/>
        <v>#DIV/0!</v>
      </c>
      <c r="G5" s="21">
        <f>Tв_23!I6</f>
        <v>0</v>
      </c>
      <c r="H5" s="22" t="e">
        <f t="shared" si="0"/>
        <v>#DIV/0!</v>
      </c>
      <c r="I5" s="22" t="e">
        <f t="shared" si="1"/>
        <v>#DIV/0!</v>
      </c>
      <c r="J5" s="22" t="e">
        <f t="shared" si="2"/>
        <v>#DIV/0!</v>
      </c>
      <c r="K5" s="22" t="e">
        <f t="shared" si="5"/>
        <v>#DIV/0!</v>
      </c>
    </row>
    <row r="6" spans="1:11" x14ac:dyDescent="0.25">
      <c r="A6" s="16">
        <f t="shared" si="6"/>
        <v>5</v>
      </c>
      <c r="B6" s="20">
        <f>T0_1!B7</f>
        <v>0</v>
      </c>
      <c r="C6" s="21">
        <f>Tв_23!B7</f>
        <v>0</v>
      </c>
      <c r="D6" s="22" t="e">
        <f t="shared" si="3"/>
        <v>#DIV/0!</v>
      </c>
      <c r="E6" s="22">
        <f>T0_1!I7</f>
        <v>0</v>
      </c>
      <c r="F6" s="22" t="e">
        <f t="shared" si="4"/>
        <v>#DIV/0!</v>
      </c>
      <c r="G6" s="21">
        <f>Tв_23!I7</f>
        <v>0</v>
      </c>
      <c r="H6" s="22" t="e">
        <f t="shared" si="0"/>
        <v>#DIV/0!</v>
      </c>
      <c r="I6" s="22" t="e">
        <f t="shared" si="1"/>
        <v>#DIV/0!</v>
      </c>
      <c r="J6" s="22" t="e">
        <f t="shared" si="2"/>
        <v>#DIV/0!</v>
      </c>
      <c r="K6" s="22" t="e">
        <f t="shared" si="5"/>
        <v>#DIV/0!</v>
      </c>
    </row>
    <row r="7" spans="1:11" x14ac:dyDescent="0.25">
      <c r="A7" s="17">
        <f t="shared" si="6"/>
        <v>6</v>
      </c>
      <c r="B7" s="20">
        <f>T0_1!B8</f>
        <v>3410</v>
      </c>
      <c r="C7" s="21">
        <f>Tв_23!B8</f>
        <v>10</v>
      </c>
      <c r="D7" s="22">
        <f t="shared" si="3"/>
        <v>0.99707602339181289</v>
      </c>
      <c r="E7" s="22">
        <f>T0_1!I8</f>
        <v>11.626367179523596</v>
      </c>
      <c r="F7" s="22">
        <f t="shared" si="4"/>
        <v>8.5496392052255395E-7</v>
      </c>
      <c r="G7" s="21">
        <f>Tв_23!I8</f>
        <v>11.626367179523596</v>
      </c>
      <c r="H7" s="22">
        <f t="shared" si="0"/>
        <v>-2.915426968981909E-4</v>
      </c>
      <c r="I7" s="22">
        <f t="shared" si="1"/>
        <v>3.3895970175781458E-3</v>
      </c>
      <c r="J7" s="22">
        <f t="shared" si="2"/>
        <v>0.33995371847851197</v>
      </c>
      <c r="K7" s="22" t="str">
        <f t="shared" si="5"/>
        <v>0,997076023391813 ± 0,004</v>
      </c>
    </row>
    <row r="8" spans="1:11" x14ac:dyDescent="0.25">
      <c r="A8" s="16">
        <f t="shared" si="6"/>
        <v>7</v>
      </c>
      <c r="B8" s="20">
        <f>T0_1!B9</f>
        <v>0</v>
      </c>
      <c r="C8" s="21">
        <f>Tв_23!B9</f>
        <v>0</v>
      </c>
      <c r="D8" s="22" t="e">
        <f t="shared" ref="D8:D71" si="7">B8/(B8+C8)</f>
        <v>#DIV/0!</v>
      </c>
      <c r="E8" s="22">
        <f>T0_1!I9</f>
        <v>0</v>
      </c>
      <c r="F8" s="22" t="e">
        <f t="shared" ref="F8:F71" si="8">C8/POWER(B8+C8,2)</f>
        <v>#DIV/0!</v>
      </c>
      <c r="G8" s="21">
        <f>Tв_23!I9</f>
        <v>0</v>
      </c>
      <c r="H8" s="22" t="e">
        <f t="shared" ref="H8:H71" si="9">-B8/POWER(B8+C8,2)</f>
        <v>#DIV/0!</v>
      </c>
      <c r="I8" s="22" t="e">
        <f t="shared" ref="I8:I71" si="10">POWER(POWER(F8*E8,2)+POWER(H8*G8,2),0.5)</f>
        <v>#DIV/0!</v>
      </c>
      <c r="J8" s="22" t="e">
        <f t="shared" ref="J8:J71" si="11">I8/D8*100</f>
        <v>#DIV/0!</v>
      </c>
      <c r="K8" s="22" t="e">
        <f t="shared" ref="K8:K71" si="12" xml:space="preserve"> D8 &amp; " ± " &amp; (ROUNDUP(I8, 3))</f>
        <v>#DIV/0!</v>
      </c>
    </row>
    <row r="9" spans="1:11" x14ac:dyDescent="0.25">
      <c r="A9" s="16">
        <f t="shared" si="6"/>
        <v>8</v>
      </c>
      <c r="B9" s="20">
        <f>T0_1!B10</f>
        <v>0</v>
      </c>
      <c r="C9" s="21">
        <f>Tв_23!B10</f>
        <v>0</v>
      </c>
      <c r="D9" s="22" t="e">
        <f t="shared" si="7"/>
        <v>#DIV/0!</v>
      </c>
      <c r="E9" s="22">
        <f>T0_1!I10</f>
        <v>0</v>
      </c>
      <c r="F9" s="22" t="e">
        <f t="shared" si="8"/>
        <v>#DIV/0!</v>
      </c>
      <c r="G9" s="21">
        <f>Tв_23!I10</f>
        <v>0</v>
      </c>
      <c r="H9" s="22" t="e">
        <f t="shared" si="9"/>
        <v>#DIV/0!</v>
      </c>
      <c r="I9" s="22" t="e">
        <f t="shared" si="10"/>
        <v>#DIV/0!</v>
      </c>
      <c r="J9" s="22" t="e">
        <f t="shared" si="11"/>
        <v>#DIV/0!</v>
      </c>
      <c r="K9" s="22" t="e">
        <f t="shared" si="12"/>
        <v>#DIV/0!</v>
      </c>
    </row>
    <row r="10" spans="1:11" x14ac:dyDescent="0.25">
      <c r="A10" s="16">
        <f t="shared" si="6"/>
        <v>9</v>
      </c>
      <c r="B10" s="20">
        <f>T0_1!B11</f>
        <v>0</v>
      </c>
      <c r="C10" s="21">
        <f>Tв_23!B11</f>
        <v>0</v>
      </c>
      <c r="D10" s="22" t="e">
        <f t="shared" si="7"/>
        <v>#DIV/0!</v>
      </c>
      <c r="E10" s="22">
        <f>T0_1!I11</f>
        <v>0</v>
      </c>
      <c r="F10" s="22" t="e">
        <f t="shared" si="8"/>
        <v>#DIV/0!</v>
      </c>
      <c r="G10" s="21">
        <f>Tв_23!I11</f>
        <v>0</v>
      </c>
      <c r="H10" s="22" t="e">
        <f t="shared" si="9"/>
        <v>#DIV/0!</v>
      </c>
      <c r="I10" s="22" t="e">
        <f t="shared" si="10"/>
        <v>#DIV/0!</v>
      </c>
      <c r="J10" s="22" t="e">
        <f t="shared" si="11"/>
        <v>#DIV/0!</v>
      </c>
      <c r="K10" s="22" t="e">
        <f t="shared" si="12"/>
        <v>#DIV/0!</v>
      </c>
    </row>
    <row r="11" spans="1:11" x14ac:dyDescent="0.25">
      <c r="A11" s="16">
        <f t="shared" si="6"/>
        <v>10</v>
      </c>
      <c r="B11" s="20">
        <f>T0_1!B12</f>
        <v>0</v>
      </c>
      <c r="C11" s="21">
        <f>Tв_23!B12</f>
        <v>0</v>
      </c>
      <c r="D11" s="22" t="e">
        <f t="shared" si="7"/>
        <v>#DIV/0!</v>
      </c>
      <c r="E11" s="22">
        <f>T0_1!I12</f>
        <v>0</v>
      </c>
      <c r="F11" s="22" t="e">
        <f t="shared" si="8"/>
        <v>#DIV/0!</v>
      </c>
      <c r="G11" s="21">
        <f>Tв_23!I12</f>
        <v>0</v>
      </c>
      <c r="H11" s="22" t="e">
        <f t="shared" si="9"/>
        <v>#DIV/0!</v>
      </c>
      <c r="I11" s="22" t="e">
        <f t="shared" si="10"/>
        <v>#DIV/0!</v>
      </c>
      <c r="J11" s="22" t="e">
        <f t="shared" si="11"/>
        <v>#DIV/0!</v>
      </c>
      <c r="K11" s="22" t="e">
        <f t="shared" si="12"/>
        <v>#DIV/0!</v>
      </c>
    </row>
    <row r="12" spans="1:11" x14ac:dyDescent="0.25">
      <c r="A12" s="17">
        <f t="shared" si="6"/>
        <v>11</v>
      </c>
      <c r="B12" s="20">
        <f>T0_1!B13</f>
        <v>3416</v>
      </c>
      <c r="C12" s="21">
        <f>Tв_23!B13</f>
        <v>4</v>
      </c>
      <c r="D12" s="22">
        <f t="shared" si="7"/>
        <v>0.99883040935672518</v>
      </c>
      <c r="E12" s="22">
        <f>T0_1!I13</f>
        <v>8</v>
      </c>
      <c r="F12" s="22">
        <f t="shared" si="8"/>
        <v>3.419855682090216E-7</v>
      </c>
      <c r="G12" s="21">
        <f>Tв_23!I13</f>
        <v>8</v>
      </c>
      <c r="H12" s="22">
        <f t="shared" si="9"/>
        <v>-2.9205567525050443E-4</v>
      </c>
      <c r="I12" s="22">
        <f t="shared" si="10"/>
        <v>2.3364470038094265E-3</v>
      </c>
      <c r="J12" s="22">
        <f t="shared" si="11"/>
        <v>0.23391828902307488</v>
      </c>
      <c r="K12" s="22" t="str">
        <f t="shared" si="12"/>
        <v>0,998830409356725 ± 0,003</v>
      </c>
    </row>
    <row r="13" spans="1:11" x14ac:dyDescent="0.25">
      <c r="A13" s="16">
        <f t="shared" si="6"/>
        <v>12</v>
      </c>
      <c r="B13" s="20">
        <f>T0_1!B14</f>
        <v>0</v>
      </c>
      <c r="C13" s="21">
        <f>Tв_23!B14</f>
        <v>0</v>
      </c>
      <c r="D13" s="22" t="e">
        <f t="shared" si="7"/>
        <v>#DIV/0!</v>
      </c>
      <c r="E13" s="22">
        <f>T0_1!I14</f>
        <v>0</v>
      </c>
      <c r="F13" s="22" t="e">
        <f t="shared" si="8"/>
        <v>#DIV/0!</v>
      </c>
      <c r="G13" s="21">
        <f>Tв_23!I14</f>
        <v>0</v>
      </c>
      <c r="H13" s="22" t="e">
        <f t="shared" si="9"/>
        <v>#DIV/0!</v>
      </c>
      <c r="I13" s="22" t="e">
        <f t="shared" si="10"/>
        <v>#DIV/0!</v>
      </c>
      <c r="J13" s="22" t="e">
        <f t="shared" si="11"/>
        <v>#DIV/0!</v>
      </c>
      <c r="K13" s="22" t="e">
        <f t="shared" si="12"/>
        <v>#DIV/0!</v>
      </c>
    </row>
    <row r="14" spans="1:11" x14ac:dyDescent="0.25">
      <c r="A14" s="16">
        <f t="shared" si="6"/>
        <v>13</v>
      </c>
      <c r="B14" s="20">
        <f>T0_1!B15</f>
        <v>0</v>
      </c>
      <c r="C14" s="21">
        <f>Tв_23!B15</f>
        <v>0</v>
      </c>
      <c r="D14" s="22" t="e">
        <f t="shared" si="7"/>
        <v>#DIV/0!</v>
      </c>
      <c r="E14" s="22">
        <f>T0_1!I15</f>
        <v>0</v>
      </c>
      <c r="F14" s="22" t="e">
        <f t="shared" si="8"/>
        <v>#DIV/0!</v>
      </c>
      <c r="G14" s="21">
        <f>Tв_23!I15</f>
        <v>0</v>
      </c>
      <c r="H14" s="22" t="e">
        <f t="shared" si="9"/>
        <v>#DIV/0!</v>
      </c>
      <c r="I14" s="22" t="e">
        <f t="shared" si="10"/>
        <v>#DIV/0!</v>
      </c>
      <c r="J14" s="22" t="e">
        <f t="shared" si="11"/>
        <v>#DIV/0!</v>
      </c>
      <c r="K14" s="22" t="e">
        <f t="shared" si="12"/>
        <v>#DIV/0!</v>
      </c>
    </row>
    <row r="15" spans="1:11" x14ac:dyDescent="0.25">
      <c r="A15" s="16">
        <f t="shared" si="6"/>
        <v>14</v>
      </c>
      <c r="B15" s="20">
        <f>T0_1!B16</f>
        <v>0</v>
      </c>
      <c r="C15" s="21">
        <f>Tв_23!B16</f>
        <v>0</v>
      </c>
      <c r="D15" s="22" t="e">
        <f t="shared" si="7"/>
        <v>#DIV/0!</v>
      </c>
      <c r="E15" s="22">
        <f>T0_1!I16</f>
        <v>0</v>
      </c>
      <c r="F15" s="22" t="e">
        <f t="shared" si="8"/>
        <v>#DIV/0!</v>
      </c>
      <c r="G15" s="21">
        <f>Tв_23!I16</f>
        <v>0</v>
      </c>
      <c r="H15" s="22" t="e">
        <f t="shared" si="9"/>
        <v>#DIV/0!</v>
      </c>
      <c r="I15" s="22" t="e">
        <f t="shared" si="10"/>
        <v>#DIV/0!</v>
      </c>
      <c r="J15" s="22" t="e">
        <f t="shared" si="11"/>
        <v>#DIV/0!</v>
      </c>
      <c r="K15" s="22" t="e">
        <f t="shared" si="12"/>
        <v>#DIV/0!</v>
      </c>
    </row>
    <row r="16" spans="1:11" x14ac:dyDescent="0.25">
      <c r="A16" s="16">
        <f t="shared" si="6"/>
        <v>15</v>
      </c>
      <c r="B16" s="20">
        <f>T0_1!B17</f>
        <v>0</v>
      </c>
      <c r="C16" s="21">
        <f>Tв_23!B17</f>
        <v>0</v>
      </c>
      <c r="D16" s="22" t="e">
        <f t="shared" si="7"/>
        <v>#DIV/0!</v>
      </c>
      <c r="E16" s="22">
        <f>T0_1!I17</f>
        <v>0</v>
      </c>
      <c r="F16" s="22" t="e">
        <f t="shared" si="8"/>
        <v>#DIV/0!</v>
      </c>
      <c r="G16" s="21">
        <f>Tв_23!I17</f>
        <v>0</v>
      </c>
      <c r="H16" s="22" t="e">
        <f t="shared" si="9"/>
        <v>#DIV/0!</v>
      </c>
      <c r="I16" s="22" t="e">
        <f t="shared" si="10"/>
        <v>#DIV/0!</v>
      </c>
      <c r="J16" s="22" t="e">
        <f t="shared" si="11"/>
        <v>#DIV/0!</v>
      </c>
      <c r="K16" s="22" t="e">
        <f t="shared" si="12"/>
        <v>#DIV/0!</v>
      </c>
    </row>
    <row r="17" spans="1:11" x14ac:dyDescent="0.25">
      <c r="A17" s="17">
        <f t="shared" si="6"/>
        <v>16</v>
      </c>
      <c r="B17" s="20">
        <f>T0_1!B18</f>
        <v>3312</v>
      </c>
      <c r="C17" s="21">
        <f>Tв_23!B18</f>
        <v>108</v>
      </c>
      <c r="D17" s="22">
        <f t="shared" si="7"/>
        <v>0.96842105263157896</v>
      </c>
      <c r="E17" s="22">
        <f>T0_1!I18</f>
        <v>25.986734016178069</v>
      </c>
      <c r="F17" s="22">
        <f t="shared" si="8"/>
        <v>9.2336103416435834E-6</v>
      </c>
      <c r="G17" s="21">
        <f>Tв_23!I18</f>
        <v>25.986734016178069</v>
      </c>
      <c r="H17" s="22">
        <f t="shared" si="9"/>
        <v>-2.8316405047706987E-4</v>
      </c>
      <c r="I17" s="22">
        <f t="shared" si="10"/>
        <v>7.3624200739382745E-3</v>
      </c>
      <c r="J17" s="22">
        <f t="shared" si="11"/>
        <v>0.7602498989392783</v>
      </c>
      <c r="K17" s="22" t="str">
        <f t="shared" si="12"/>
        <v>0,968421052631579 ± 0,008</v>
      </c>
    </row>
    <row r="18" spans="1:11" x14ac:dyDescent="0.25">
      <c r="A18" s="16">
        <f t="shared" si="6"/>
        <v>17</v>
      </c>
      <c r="B18" s="20">
        <f>T0_1!B19</f>
        <v>0</v>
      </c>
      <c r="C18" s="21">
        <f>Tв_23!B19</f>
        <v>0</v>
      </c>
      <c r="D18" s="22" t="e">
        <f t="shared" si="7"/>
        <v>#DIV/0!</v>
      </c>
      <c r="E18" s="22">
        <f>T0_1!I19</f>
        <v>0</v>
      </c>
      <c r="F18" s="22" t="e">
        <f t="shared" si="8"/>
        <v>#DIV/0!</v>
      </c>
      <c r="G18" s="21">
        <f>Tв_23!I19</f>
        <v>0</v>
      </c>
      <c r="H18" s="22" t="e">
        <f t="shared" si="9"/>
        <v>#DIV/0!</v>
      </c>
      <c r="I18" s="22" t="e">
        <f t="shared" si="10"/>
        <v>#DIV/0!</v>
      </c>
      <c r="J18" s="22" t="e">
        <f t="shared" si="11"/>
        <v>#DIV/0!</v>
      </c>
      <c r="K18" s="22" t="e">
        <f t="shared" si="12"/>
        <v>#DIV/0!</v>
      </c>
    </row>
    <row r="19" spans="1:11" x14ac:dyDescent="0.25">
      <c r="A19" s="16">
        <f t="shared" si="6"/>
        <v>18</v>
      </c>
      <c r="B19" s="20">
        <f>T0_1!B20</f>
        <v>0</v>
      </c>
      <c r="C19" s="21">
        <f>Tв_23!B20</f>
        <v>0</v>
      </c>
      <c r="D19" s="22" t="e">
        <f t="shared" si="7"/>
        <v>#DIV/0!</v>
      </c>
      <c r="E19" s="22">
        <f>T0_1!I20</f>
        <v>0</v>
      </c>
      <c r="F19" s="22" t="e">
        <f t="shared" si="8"/>
        <v>#DIV/0!</v>
      </c>
      <c r="G19" s="21">
        <f>Tв_23!I20</f>
        <v>0</v>
      </c>
      <c r="H19" s="22" t="e">
        <f t="shared" si="9"/>
        <v>#DIV/0!</v>
      </c>
      <c r="I19" s="22" t="e">
        <f t="shared" si="10"/>
        <v>#DIV/0!</v>
      </c>
      <c r="J19" s="22" t="e">
        <f t="shared" si="11"/>
        <v>#DIV/0!</v>
      </c>
      <c r="K19" s="22" t="e">
        <f t="shared" si="12"/>
        <v>#DIV/0!</v>
      </c>
    </row>
    <row r="20" spans="1:11" x14ac:dyDescent="0.25">
      <c r="A20" s="16">
        <f t="shared" si="6"/>
        <v>19</v>
      </c>
      <c r="B20" s="20">
        <f>T0_1!B21</f>
        <v>0</v>
      </c>
      <c r="C20" s="21">
        <f>Tв_23!B21</f>
        <v>0</v>
      </c>
      <c r="D20" s="22" t="e">
        <f t="shared" si="7"/>
        <v>#DIV/0!</v>
      </c>
      <c r="E20" s="22">
        <f>T0_1!I21</f>
        <v>0</v>
      </c>
      <c r="F20" s="22" t="e">
        <f t="shared" si="8"/>
        <v>#DIV/0!</v>
      </c>
      <c r="G20" s="21">
        <f>Tв_23!I21</f>
        <v>0</v>
      </c>
      <c r="H20" s="22" t="e">
        <f t="shared" si="9"/>
        <v>#DIV/0!</v>
      </c>
      <c r="I20" s="22" t="e">
        <f t="shared" si="10"/>
        <v>#DIV/0!</v>
      </c>
      <c r="J20" s="22" t="e">
        <f t="shared" si="11"/>
        <v>#DIV/0!</v>
      </c>
      <c r="K20" s="22" t="e">
        <f t="shared" si="12"/>
        <v>#DIV/0!</v>
      </c>
    </row>
    <row r="21" spans="1:11" x14ac:dyDescent="0.25">
      <c r="A21" s="16">
        <f t="shared" si="6"/>
        <v>20</v>
      </c>
      <c r="B21" s="20">
        <f>T0_1!B22</f>
        <v>0</v>
      </c>
      <c r="C21" s="21">
        <f>Tв_23!B22</f>
        <v>0</v>
      </c>
      <c r="D21" s="22" t="e">
        <f t="shared" si="7"/>
        <v>#DIV/0!</v>
      </c>
      <c r="E21" s="22">
        <f>T0_1!I22</f>
        <v>0</v>
      </c>
      <c r="F21" s="22" t="e">
        <f t="shared" si="8"/>
        <v>#DIV/0!</v>
      </c>
      <c r="G21" s="21">
        <f>Tв_23!I22</f>
        <v>0</v>
      </c>
      <c r="H21" s="22" t="e">
        <f t="shared" si="9"/>
        <v>#DIV/0!</v>
      </c>
      <c r="I21" s="22" t="e">
        <f t="shared" si="10"/>
        <v>#DIV/0!</v>
      </c>
      <c r="J21" s="22" t="e">
        <f t="shared" si="11"/>
        <v>#DIV/0!</v>
      </c>
      <c r="K21" s="22" t="e">
        <f t="shared" si="12"/>
        <v>#DIV/0!</v>
      </c>
    </row>
    <row r="22" spans="1:11" x14ac:dyDescent="0.25">
      <c r="A22" s="17">
        <f t="shared" si="6"/>
        <v>21</v>
      </c>
      <c r="B22" s="20">
        <f>T0_1!B23</f>
        <v>3386</v>
      </c>
      <c r="C22" s="21">
        <f>Tв_23!B23</f>
        <v>34</v>
      </c>
      <c r="D22" s="22">
        <f t="shared" si="7"/>
        <v>0.99005847953216375</v>
      </c>
      <c r="E22" s="22">
        <f>T0_1!I23</f>
        <v>16.954299627589133</v>
      </c>
      <c r="F22" s="22">
        <f t="shared" si="8"/>
        <v>2.9068773297766834E-6</v>
      </c>
      <c r="G22" s="21">
        <f>Tв_23!I23</f>
        <v>16.954299627589133</v>
      </c>
      <c r="H22" s="22">
        <f t="shared" si="9"/>
        <v>-2.8949078348893676E-4</v>
      </c>
      <c r="I22" s="22">
        <f t="shared" si="10"/>
        <v>4.9083609156735392E-3</v>
      </c>
      <c r="J22" s="22">
        <f t="shared" si="11"/>
        <v>0.49576474694635281</v>
      </c>
      <c r="K22" s="22" t="str">
        <f t="shared" si="12"/>
        <v>0,990058479532164 ± 0,005</v>
      </c>
    </row>
    <row r="23" spans="1:11" x14ac:dyDescent="0.25">
      <c r="A23" s="3">
        <f t="shared" si="6"/>
        <v>22</v>
      </c>
      <c r="B23" s="20">
        <f>T0_1!B24</f>
        <v>0</v>
      </c>
      <c r="C23" s="21">
        <f>Tв_23!B24</f>
        <v>0</v>
      </c>
      <c r="D23" s="22" t="e">
        <f t="shared" si="7"/>
        <v>#DIV/0!</v>
      </c>
      <c r="E23" s="22">
        <f>T0_1!I24</f>
        <v>0</v>
      </c>
      <c r="F23" s="22" t="e">
        <f t="shared" si="8"/>
        <v>#DIV/0!</v>
      </c>
      <c r="G23" s="21">
        <f>Tв_23!I24</f>
        <v>0</v>
      </c>
      <c r="H23" s="22" t="e">
        <f t="shared" si="9"/>
        <v>#DIV/0!</v>
      </c>
      <c r="I23" s="22" t="e">
        <f t="shared" si="10"/>
        <v>#DIV/0!</v>
      </c>
      <c r="J23" s="22" t="e">
        <f t="shared" si="11"/>
        <v>#DIV/0!</v>
      </c>
      <c r="K23" s="22" t="e">
        <f t="shared" si="12"/>
        <v>#DIV/0!</v>
      </c>
    </row>
    <row r="24" spans="1:11" x14ac:dyDescent="0.25">
      <c r="A24" s="3">
        <f t="shared" si="6"/>
        <v>23</v>
      </c>
      <c r="B24" s="20">
        <f>T0_1!B25</f>
        <v>0</v>
      </c>
      <c r="C24" s="21">
        <f>Tв_23!B25</f>
        <v>0</v>
      </c>
      <c r="D24" s="22" t="e">
        <f t="shared" si="7"/>
        <v>#DIV/0!</v>
      </c>
      <c r="E24" s="22">
        <f>T0_1!I25</f>
        <v>0</v>
      </c>
      <c r="F24" s="22" t="e">
        <f t="shared" si="8"/>
        <v>#DIV/0!</v>
      </c>
      <c r="G24" s="21">
        <f>Tв_23!I25</f>
        <v>0</v>
      </c>
      <c r="H24" s="22" t="e">
        <f t="shared" si="9"/>
        <v>#DIV/0!</v>
      </c>
      <c r="I24" s="22" t="e">
        <f t="shared" si="10"/>
        <v>#DIV/0!</v>
      </c>
      <c r="J24" s="22" t="e">
        <f t="shared" si="11"/>
        <v>#DIV/0!</v>
      </c>
      <c r="K24" s="22" t="e">
        <f t="shared" si="12"/>
        <v>#DIV/0!</v>
      </c>
    </row>
    <row r="25" spans="1:11" x14ac:dyDescent="0.25">
      <c r="A25" s="3">
        <f t="shared" si="6"/>
        <v>24</v>
      </c>
      <c r="B25" s="20">
        <f>T0_1!B26</f>
        <v>0</v>
      </c>
      <c r="C25" s="21">
        <f>Tв_23!B26</f>
        <v>0</v>
      </c>
      <c r="D25" s="22" t="e">
        <f t="shared" si="7"/>
        <v>#DIV/0!</v>
      </c>
      <c r="E25" s="22">
        <f>T0_1!I26</f>
        <v>0</v>
      </c>
      <c r="F25" s="22" t="e">
        <f t="shared" si="8"/>
        <v>#DIV/0!</v>
      </c>
      <c r="G25" s="21">
        <f>Tв_23!I26</f>
        <v>0</v>
      </c>
      <c r="H25" s="22" t="e">
        <f t="shared" si="9"/>
        <v>#DIV/0!</v>
      </c>
      <c r="I25" s="22" t="e">
        <f t="shared" si="10"/>
        <v>#DIV/0!</v>
      </c>
      <c r="J25" s="22" t="e">
        <f t="shared" si="11"/>
        <v>#DIV/0!</v>
      </c>
      <c r="K25" s="22" t="e">
        <f t="shared" si="12"/>
        <v>#DIV/0!</v>
      </c>
    </row>
    <row r="26" spans="1:11" x14ac:dyDescent="0.25">
      <c r="A26" s="3">
        <f t="shared" si="6"/>
        <v>25</v>
      </c>
      <c r="B26" s="20">
        <f>T0_1!B27</f>
        <v>0</v>
      </c>
      <c r="C26" s="21">
        <f>Tв_23!B27</f>
        <v>0</v>
      </c>
      <c r="D26" s="22" t="e">
        <f t="shared" si="7"/>
        <v>#DIV/0!</v>
      </c>
      <c r="E26" s="22">
        <f>T0_1!I27</f>
        <v>0</v>
      </c>
      <c r="F26" s="22" t="e">
        <f t="shared" si="8"/>
        <v>#DIV/0!</v>
      </c>
      <c r="G26" s="21">
        <f>Tв_23!I27</f>
        <v>0</v>
      </c>
      <c r="H26" s="22" t="e">
        <f t="shared" si="9"/>
        <v>#DIV/0!</v>
      </c>
      <c r="I26" s="22" t="e">
        <f t="shared" si="10"/>
        <v>#DIV/0!</v>
      </c>
      <c r="J26" s="22" t="e">
        <f t="shared" si="11"/>
        <v>#DIV/0!</v>
      </c>
      <c r="K26" s="22" t="e">
        <f t="shared" si="12"/>
        <v>#DIV/0!</v>
      </c>
    </row>
    <row r="27" spans="1:11" x14ac:dyDescent="0.25">
      <c r="A27" s="17">
        <f t="shared" si="6"/>
        <v>26</v>
      </c>
      <c r="B27" s="20">
        <f>T0_1!B28</f>
        <v>2982</v>
      </c>
      <c r="C27" s="21">
        <f>Tв_23!B28</f>
        <v>438</v>
      </c>
      <c r="D27" s="22">
        <f t="shared" si="7"/>
        <v>0.87192982456140355</v>
      </c>
      <c r="E27" s="22">
        <f>T0_1!I28</f>
        <v>81.194530136813597</v>
      </c>
      <c r="F27" s="22">
        <f t="shared" si="8"/>
        <v>3.7447419718887862E-5</v>
      </c>
      <c r="G27" s="21">
        <f>Tв_23!I28</f>
        <v>81.194530136813597</v>
      </c>
      <c r="H27" s="22">
        <f t="shared" si="9"/>
        <v>-2.5495024109982559E-4</v>
      </c>
      <c r="I27" s="22">
        <f t="shared" si="10"/>
        <v>2.0922671649762425E-2</v>
      </c>
      <c r="J27" s="22">
        <f t="shared" si="11"/>
        <v>2.3995820604355296</v>
      </c>
      <c r="K27" s="22" t="str">
        <f t="shared" si="12"/>
        <v>0,871929824561404 ± 0,021</v>
      </c>
    </row>
    <row r="28" spans="1:11" x14ac:dyDescent="0.25">
      <c r="A28" s="3">
        <f t="shared" si="6"/>
        <v>27</v>
      </c>
      <c r="B28" s="20">
        <f>T0_1!B29</f>
        <v>0</v>
      </c>
      <c r="C28" s="21">
        <f>Tв_23!B29</f>
        <v>0</v>
      </c>
      <c r="D28" s="22" t="e">
        <f t="shared" si="7"/>
        <v>#DIV/0!</v>
      </c>
      <c r="E28" s="22">
        <f>T0_1!I29</f>
        <v>0</v>
      </c>
      <c r="F28" s="22" t="e">
        <f t="shared" si="8"/>
        <v>#DIV/0!</v>
      </c>
      <c r="G28" s="21">
        <f>Tв_23!I29</f>
        <v>0</v>
      </c>
      <c r="H28" s="22" t="e">
        <f t="shared" si="9"/>
        <v>#DIV/0!</v>
      </c>
      <c r="I28" s="22" t="e">
        <f t="shared" si="10"/>
        <v>#DIV/0!</v>
      </c>
      <c r="J28" s="22" t="e">
        <f t="shared" si="11"/>
        <v>#DIV/0!</v>
      </c>
      <c r="K28" s="22" t="e">
        <f t="shared" si="12"/>
        <v>#DIV/0!</v>
      </c>
    </row>
    <row r="29" spans="1:11" x14ac:dyDescent="0.25">
      <c r="A29" s="3">
        <f t="shared" si="6"/>
        <v>28</v>
      </c>
      <c r="B29" s="20">
        <f>T0_1!B30</f>
        <v>0</v>
      </c>
      <c r="C29" s="21">
        <f>Tв_23!B30</f>
        <v>0</v>
      </c>
      <c r="D29" s="22" t="e">
        <f t="shared" si="7"/>
        <v>#DIV/0!</v>
      </c>
      <c r="E29" s="22">
        <f>T0_1!I30</f>
        <v>0</v>
      </c>
      <c r="F29" s="22" t="e">
        <f t="shared" si="8"/>
        <v>#DIV/0!</v>
      </c>
      <c r="G29" s="21">
        <f>Tв_23!I30</f>
        <v>0</v>
      </c>
      <c r="H29" s="22" t="e">
        <f t="shared" si="9"/>
        <v>#DIV/0!</v>
      </c>
      <c r="I29" s="22" t="e">
        <f t="shared" si="10"/>
        <v>#DIV/0!</v>
      </c>
      <c r="J29" s="22" t="e">
        <f t="shared" si="11"/>
        <v>#DIV/0!</v>
      </c>
      <c r="K29" s="22" t="e">
        <f t="shared" si="12"/>
        <v>#DIV/0!</v>
      </c>
    </row>
    <row r="30" spans="1:11" x14ac:dyDescent="0.25">
      <c r="A30" s="3">
        <f t="shared" si="6"/>
        <v>29</v>
      </c>
      <c r="B30" s="20">
        <f>T0_1!B31</f>
        <v>0</v>
      </c>
      <c r="C30" s="21">
        <f>Tв_23!B31</f>
        <v>0</v>
      </c>
      <c r="D30" s="22" t="e">
        <f t="shared" si="7"/>
        <v>#DIV/0!</v>
      </c>
      <c r="E30" s="22">
        <f>T0_1!I31</f>
        <v>0</v>
      </c>
      <c r="F30" s="22" t="e">
        <f t="shared" si="8"/>
        <v>#DIV/0!</v>
      </c>
      <c r="G30" s="21">
        <f>Tв_23!I31</f>
        <v>0</v>
      </c>
      <c r="H30" s="22" t="e">
        <f t="shared" si="9"/>
        <v>#DIV/0!</v>
      </c>
      <c r="I30" s="22" t="e">
        <f t="shared" si="10"/>
        <v>#DIV/0!</v>
      </c>
      <c r="J30" s="22" t="e">
        <f t="shared" si="11"/>
        <v>#DIV/0!</v>
      </c>
      <c r="K30" s="22" t="e">
        <f t="shared" si="12"/>
        <v>#DIV/0!</v>
      </c>
    </row>
    <row r="31" spans="1:11" x14ac:dyDescent="0.25">
      <c r="A31" s="3">
        <f t="shared" si="6"/>
        <v>30</v>
      </c>
      <c r="B31" s="20">
        <f>T0_1!B32</f>
        <v>0</v>
      </c>
      <c r="C31" s="21">
        <f>Tв_23!B32</f>
        <v>0</v>
      </c>
      <c r="D31" s="22" t="e">
        <f t="shared" si="7"/>
        <v>#DIV/0!</v>
      </c>
      <c r="E31" s="22">
        <f>T0_1!I32</f>
        <v>0</v>
      </c>
      <c r="F31" s="22" t="e">
        <f t="shared" si="8"/>
        <v>#DIV/0!</v>
      </c>
      <c r="G31" s="21">
        <f>Tв_23!I32</f>
        <v>0</v>
      </c>
      <c r="H31" s="22" t="e">
        <f t="shared" si="9"/>
        <v>#DIV/0!</v>
      </c>
      <c r="I31" s="22" t="e">
        <f t="shared" si="10"/>
        <v>#DIV/0!</v>
      </c>
      <c r="J31" s="22" t="e">
        <f t="shared" si="11"/>
        <v>#DIV/0!</v>
      </c>
      <c r="K31" s="22" t="e">
        <f t="shared" si="12"/>
        <v>#DIV/0!</v>
      </c>
    </row>
    <row r="32" spans="1:11" x14ac:dyDescent="0.25">
      <c r="A32" s="17">
        <f t="shared" si="6"/>
        <v>31</v>
      </c>
      <c r="B32" s="20">
        <f>T0_1!B33</f>
        <v>3356</v>
      </c>
      <c r="C32" s="21">
        <f>Tв_23!B33</f>
        <v>64</v>
      </c>
      <c r="D32" s="22">
        <f t="shared" si="7"/>
        <v>0.98128654970760232</v>
      </c>
      <c r="E32" s="22">
        <f>T0_1!I33</f>
        <v>19.024485130556325</v>
      </c>
      <c r="F32" s="22">
        <f t="shared" si="8"/>
        <v>5.4717690913443456E-6</v>
      </c>
      <c r="G32" s="21">
        <f>Tв_23!I33</f>
        <v>19.024485130556325</v>
      </c>
      <c r="H32" s="22">
        <f t="shared" si="9"/>
        <v>-2.8692589172736908E-4</v>
      </c>
      <c r="I32" s="22">
        <f t="shared" si="10"/>
        <v>5.4596098577778737E-3</v>
      </c>
      <c r="J32" s="22">
        <f t="shared" si="11"/>
        <v>0.5563726374731921</v>
      </c>
      <c r="K32" s="22" t="str">
        <f t="shared" si="12"/>
        <v>0,981286549707602 ± 0,006</v>
      </c>
    </row>
    <row r="33" spans="1:11" x14ac:dyDescent="0.25">
      <c r="A33" s="3">
        <f t="shared" si="6"/>
        <v>32</v>
      </c>
      <c r="B33" s="20">
        <f>T0_1!B34</f>
        <v>0</v>
      </c>
      <c r="C33" s="21">
        <f>Tв_23!B34</f>
        <v>0</v>
      </c>
      <c r="D33" s="22" t="e">
        <f t="shared" si="7"/>
        <v>#DIV/0!</v>
      </c>
      <c r="E33" s="22">
        <f>T0_1!I34</f>
        <v>0</v>
      </c>
      <c r="F33" s="22" t="e">
        <f t="shared" si="8"/>
        <v>#DIV/0!</v>
      </c>
      <c r="G33" s="21">
        <f>Tв_23!I34</f>
        <v>0</v>
      </c>
      <c r="H33" s="22" t="e">
        <f t="shared" si="9"/>
        <v>#DIV/0!</v>
      </c>
      <c r="I33" s="22" t="e">
        <f t="shared" si="10"/>
        <v>#DIV/0!</v>
      </c>
      <c r="J33" s="22" t="e">
        <f t="shared" si="11"/>
        <v>#DIV/0!</v>
      </c>
      <c r="K33" s="22" t="e">
        <f t="shared" si="12"/>
        <v>#DIV/0!</v>
      </c>
    </row>
    <row r="34" spans="1:11" x14ac:dyDescent="0.25">
      <c r="A34" s="3">
        <f t="shared" si="6"/>
        <v>33</v>
      </c>
      <c r="B34" s="20">
        <f>T0_1!B35</f>
        <v>0</v>
      </c>
      <c r="C34" s="21">
        <f>Tв_23!B35</f>
        <v>0</v>
      </c>
      <c r="D34" s="22" t="e">
        <f t="shared" si="7"/>
        <v>#DIV/0!</v>
      </c>
      <c r="E34" s="22">
        <f>T0_1!I35</f>
        <v>0</v>
      </c>
      <c r="F34" s="22" t="e">
        <f t="shared" si="8"/>
        <v>#DIV/0!</v>
      </c>
      <c r="G34" s="21">
        <f>Tв_23!I35</f>
        <v>0</v>
      </c>
      <c r="H34" s="22" t="e">
        <f t="shared" si="9"/>
        <v>#DIV/0!</v>
      </c>
      <c r="I34" s="22" t="e">
        <f t="shared" si="10"/>
        <v>#DIV/0!</v>
      </c>
      <c r="J34" s="22" t="e">
        <f t="shared" si="11"/>
        <v>#DIV/0!</v>
      </c>
      <c r="K34" s="22" t="e">
        <f t="shared" si="12"/>
        <v>#DIV/0!</v>
      </c>
    </row>
    <row r="35" spans="1:11" x14ac:dyDescent="0.25">
      <c r="A35" s="3">
        <f t="shared" si="6"/>
        <v>34</v>
      </c>
      <c r="B35" s="20">
        <f>T0_1!B36</f>
        <v>0</v>
      </c>
      <c r="C35" s="21">
        <f>Tв_23!B36</f>
        <v>0</v>
      </c>
      <c r="D35" s="22" t="e">
        <f t="shared" si="7"/>
        <v>#DIV/0!</v>
      </c>
      <c r="E35" s="22">
        <f>T0_1!I36</f>
        <v>0</v>
      </c>
      <c r="F35" s="22" t="e">
        <f t="shared" si="8"/>
        <v>#DIV/0!</v>
      </c>
      <c r="G35" s="21">
        <f>Tв_23!I36</f>
        <v>0</v>
      </c>
      <c r="H35" s="22" t="e">
        <f t="shared" si="9"/>
        <v>#DIV/0!</v>
      </c>
      <c r="I35" s="22" t="e">
        <f t="shared" si="10"/>
        <v>#DIV/0!</v>
      </c>
      <c r="J35" s="22" t="e">
        <f t="shared" si="11"/>
        <v>#DIV/0!</v>
      </c>
      <c r="K35" s="22" t="e">
        <f t="shared" si="12"/>
        <v>#DIV/0!</v>
      </c>
    </row>
    <row r="36" spans="1:11" x14ac:dyDescent="0.25">
      <c r="A36" s="3">
        <f t="shared" si="6"/>
        <v>35</v>
      </c>
      <c r="B36" s="20">
        <f>T0_1!B37</f>
        <v>0</v>
      </c>
      <c r="C36" s="21">
        <f>Tв_23!B37</f>
        <v>0</v>
      </c>
      <c r="D36" s="22" t="e">
        <f t="shared" si="7"/>
        <v>#DIV/0!</v>
      </c>
      <c r="E36" s="22">
        <f>T0_1!I37</f>
        <v>0</v>
      </c>
      <c r="F36" s="22" t="e">
        <f t="shared" si="8"/>
        <v>#DIV/0!</v>
      </c>
      <c r="G36" s="21">
        <f>Tв_23!I37</f>
        <v>0</v>
      </c>
      <c r="H36" s="22" t="e">
        <f t="shared" si="9"/>
        <v>#DIV/0!</v>
      </c>
      <c r="I36" s="22" t="e">
        <f t="shared" si="10"/>
        <v>#DIV/0!</v>
      </c>
      <c r="J36" s="22" t="e">
        <f t="shared" si="11"/>
        <v>#DIV/0!</v>
      </c>
      <c r="K36" s="22" t="e">
        <f t="shared" si="12"/>
        <v>#DIV/0!</v>
      </c>
    </row>
    <row r="37" spans="1:11" x14ac:dyDescent="0.25">
      <c r="A37" s="17">
        <f t="shared" si="6"/>
        <v>36</v>
      </c>
      <c r="B37" s="20">
        <f>T0_1!B38</f>
        <v>3346</v>
      </c>
      <c r="C37" s="21">
        <f>Tв_23!B38</f>
        <v>74</v>
      </c>
      <c r="D37" s="22">
        <f t="shared" si="7"/>
        <v>0.97836257309941521</v>
      </c>
      <c r="E37" s="22">
        <f>T0_1!I38</f>
        <v>17.903958337136821</v>
      </c>
      <c r="F37" s="22">
        <f t="shared" si="8"/>
        <v>6.3267330118668996E-6</v>
      </c>
      <c r="G37" s="21">
        <f>Tв_23!I38</f>
        <v>17.903958337136821</v>
      </c>
      <c r="H37" s="22">
        <f t="shared" si="9"/>
        <v>-2.8607092780684657E-4</v>
      </c>
      <c r="I37" s="22">
        <f t="shared" si="10"/>
        <v>5.1230543965650691E-3</v>
      </c>
      <c r="J37" s="22">
        <f t="shared" si="11"/>
        <v>0.52363556593701543</v>
      </c>
      <c r="K37" s="22" t="str">
        <f t="shared" si="12"/>
        <v>0,978362573099415 ± 0,006</v>
      </c>
    </row>
    <row r="38" spans="1:11" x14ac:dyDescent="0.25">
      <c r="A38" s="3">
        <f t="shared" si="6"/>
        <v>37</v>
      </c>
      <c r="B38" s="20">
        <f>T0_1!B39</f>
        <v>0</v>
      </c>
      <c r="C38" s="21">
        <f>Tв_23!B39</f>
        <v>0</v>
      </c>
      <c r="D38" s="22" t="e">
        <f t="shared" si="7"/>
        <v>#DIV/0!</v>
      </c>
      <c r="E38" s="22">
        <f>T0_1!I39</f>
        <v>0</v>
      </c>
      <c r="F38" s="22" t="e">
        <f t="shared" si="8"/>
        <v>#DIV/0!</v>
      </c>
      <c r="G38" s="21">
        <f>Tв_23!I39</f>
        <v>0</v>
      </c>
      <c r="H38" s="22" t="e">
        <f t="shared" si="9"/>
        <v>#DIV/0!</v>
      </c>
      <c r="I38" s="22" t="e">
        <f t="shared" si="10"/>
        <v>#DIV/0!</v>
      </c>
      <c r="J38" s="22" t="e">
        <f t="shared" si="11"/>
        <v>#DIV/0!</v>
      </c>
      <c r="K38" s="22" t="e">
        <f t="shared" si="12"/>
        <v>#DIV/0!</v>
      </c>
    </row>
    <row r="39" spans="1:11" x14ac:dyDescent="0.25">
      <c r="A39" s="3">
        <f t="shared" si="6"/>
        <v>38</v>
      </c>
      <c r="B39" s="20">
        <f>T0_1!B40</f>
        <v>0</v>
      </c>
      <c r="C39" s="21">
        <f>Tв_23!B40</f>
        <v>0</v>
      </c>
      <c r="D39" s="22" t="e">
        <f t="shared" si="7"/>
        <v>#DIV/0!</v>
      </c>
      <c r="E39" s="22">
        <f>T0_1!I40</f>
        <v>0</v>
      </c>
      <c r="F39" s="22" t="e">
        <f t="shared" si="8"/>
        <v>#DIV/0!</v>
      </c>
      <c r="G39" s="21">
        <f>Tв_23!I40</f>
        <v>0</v>
      </c>
      <c r="H39" s="22" t="e">
        <f t="shared" si="9"/>
        <v>#DIV/0!</v>
      </c>
      <c r="I39" s="22" t="e">
        <f t="shared" si="10"/>
        <v>#DIV/0!</v>
      </c>
      <c r="J39" s="22" t="e">
        <f t="shared" si="11"/>
        <v>#DIV/0!</v>
      </c>
      <c r="K39" s="22" t="e">
        <f t="shared" si="12"/>
        <v>#DIV/0!</v>
      </c>
    </row>
    <row r="40" spans="1:11" x14ac:dyDescent="0.25">
      <c r="A40" s="3">
        <f t="shared" si="6"/>
        <v>39</v>
      </c>
      <c r="B40" s="20">
        <f>T0_1!B41</f>
        <v>0</v>
      </c>
      <c r="C40" s="21">
        <f>Tв_23!B41</f>
        <v>0</v>
      </c>
      <c r="D40" s="22" t="e">
        <f t="shared" si="7"/>
        <v>#DIV/0!</v>
      </c>
      <c r="E40" s="22">
        <f>T0_1!I41</f>
        <v>0</v>
      </c>
      <c r="F40" s="22" t="e">
        <f t="shared" si="8"/>
        <v>#DIV/0!</v>
      </c>
      <c r="G40" s="21">
        <f>Tв_23!I41</f>
        <v>0</v>
      </c>
      <c r="H40" s="22" t="e">
        <f t="shared" si="9"/>
        <v>#DIV/0!</v>
      </c>
      <c r="I40" s="22" t="e">
        <f t="shared" si="10"/>
        <v>#DIV/0!</v>
      </c>
      <c r="J40" s="22" t="e">
        <f t="shared" si="11"/>
        <v>#DIV/0!</v>
      </c>
      <c r="K40" s="22" t="e">
        <f t="shared" si="12"/>
        <v>#DIV/0!</v>
      </c>
    </row>
    <row r="41" spans="1:11" x14ac:dyDescent="0.25">
      <c r="A41" s="3">
        <f t="shared" si="6"/>
        <v>40</v>
      </c>
      <c r="B41" s="20">
        <f>T0_1!B42</f>
        <v>0</v>
      </c>
      <c r="C41" s="21">
        <f>Tв_23!B42</f>
        <v>0</v>
      </c>
      <c r="D41" s="22" t="e">
        <f t="shared" si="7"/>
        <v>#DIV/0!</v>
      </c>
      <c r="E41" s="22">
        <f>T0_1!I42</f>
        <v>0</v>
      </c>
      <c r="F41" s="22" t="e">
        <f t="shared" si="8"/>
        <v>#DIV/0!</v>
      </c>
      <c r="G41" s="21">
        <f>Tв_23!I42</f>
        <v>0</v>
      </c>
      <c r="H41" s="22" t="e">
        <f t="shared" si="9"/>
        <v>#DIV/0!</v>
      </c>
      <c r="I41" s="22" t="e">
        <f t="shared" si="10"/>
        <v>#DIV/0!</v>
      </c>
      <c r="J41" s="22" t="e">
        <f t="shared" si="11"/>
        <v>#DIV/0!</v>
      </c>
      <c r="K41" s="22" t="e">
        <f t="shared" si="12"/>
        <v>#DIV/0!</v>
      </c>
    </row>
    <row r="42" spans="1:11" x14ac:dyDescent="0.25">
      <c r="A42" s="17">
        <f t="shared" si="6"/>
        <v>41</v>
      </c>
      <c r="B42" s="20">
        <f>T0_1!B43</f>
        <v>3390</v>
      </c>
      <c r="C42" s="21">
        <f>Tв_23!B43</f>
        <v>30</v>
      </c>
      <c r="D42" s="22">
        <f t="shared" si="7"/>
        <v>0.99122807017543857</v>
      </c>
      <c r="E42" s="22">
        <f>T0_1!I43</f>
        <v>11.141720290623113</v>
      </c>
      <c r="F42" s="22">
        <f t="shared" si="8"/>
        <v>2.5648917615676619E-6</v>
      </c>
      <c r="G42" s="21">
        <f>Tв_23!I43</f>
        <v>11.141720290623113</v>
      </c>
      <c r="H42" s="22">
        <f t="shared" si="9"/>
        <v>-2.8983276905714578E-4</v>
      </c>
      <c r="I42" s="22">
        <f t="shared" si="10"/>
        <v>3.2293620896751093E-3</v>
      </c>
      <c r="J42" s="22">
        <f t="shared" si="11"/>
        <v>0.32579405152474555</v>
      </c>
      <c r="K42" s="22" t="str">
        <f t="shared" si="12"/>
        <v>0,991228070175439 ± 0,004</v>
      </c>
    </row>
    <row r="43" spans="1:11" x14ac:dyDescent="0.25">
      <c r="A43" s="16">
        <f t="shared" si="6"/>
        <v>42</v>
      </c>
      <c r="B43" s="20">
        <f>T0_1!B44</f>
        <v>0</v>
      </c>
      <c r="C43" s="21">
        <f>Tв_23!B44</f>
        <v>0</v>
      </c>
      <c r="D43" s="22" t="e">
        <f t="shared" si="7"/>
        <v>#DIV/0!</v>
      </c>
      <c r="E43" s="22">
        <f>T0_1!I44</f>
        <v>0</v>
      </c>
      <c r="F43" s="22" t="e">
        <f t="shared" si="8"/>
        <v>#DIV/0!</v>
      </c>
      <c r="G43" s="21">
        <f>Tв_23!I44</f>
        <v>0</v>
      </c>
      <c r="H43" s="22" t="e">
        <f t="shared" si="9"/>
        <v>#DIV/0!</v>
      </c>
      <c r="I43" s="22" t="e">
        <f t="shared" si="10"/>
        <v>#DIV/0!</v>
      </c>
      <c r="J43" s="22" t="e">
        <f t="shared" si="11"/>
        <v>#DIV/0!</v>
      </c>
      <c r="K43" s="22" t="e">
        <f t="shared" si="12"/>
        <v>#DIV/0!</v>
      </c>
    </row>
    <row r="44" spans="1:11" x14ac:dyDescent="0.25">
      <c r="A44" s="16">
        <f t="shared" si="6"/>
        <v>43</v>
      </c>
      <c r="B44" s="20">
        <f>T0_1!B45</f>
        <v>0</v>
      </c>
      <c r="C44" s="21">
        <f>Tв_23!B45</f>
        <v>0</v>
      </c>
      <c r="D44" s="22" t="e">
        <f t="shared" si="7"/>
        <v>#DIV/0!</v>
      </c>
      <c r="E44" s="22">
        <f>T0_1!I45</f>
        <v>0</v>
      </c>
      <c r="F44" s="22" t="e">
        <f t="shared" si="8"/>
        <v>#DIV/0!</v>
      </c>
      <c r="G44" s="21">
        <f>Tв_23!I45</f>
        <v>0</v>
      </c>
      <c r="H44" s="22" t="e">
        <f t="shared" si="9"/>
        <v>#DIV/0!</v>
      </c>
      <c r="I44" s="22" t="e">
        <f t="shared" si="10"/>
        <v>#DIV/0!</v>
      </c>
      <c r="J44" s="22" t="e">
        <f t="shared" si="11"/>
        <v>#DIV/0!</v>
      </c>
      <c r="K44" s="22" t="e">
        <f t="shared" si="12"/>
        <v>#DIV/0!</v>
      </c>
    </row>
    <row r="45" spans="1:11" x14ac:dyDescent="0.25">
      <c r="A45" s="16">
        <f t="shared" si="6"/>
        <v>44</v>
      </c>
      <c r="B45" s="20">
        <f>T0_1!B46</f>
        <v>0</v>
      </c>
      <c r="C45" s="21">
        <f>Tв_23!B46</f>
        <v>0</v>
      </c>
      <c r="D45" s="22" t="e">
        <f t="shared" si="7"/>
        <v>#DIV/0!</v>
      </c>
      <c r="E45" s="22">
        <f>T0_1!I46</f>
        <v>0</v>
      </c>
      <c r="F45" s="22" t="e">
        <f t="shared" si="8"/>
        <v>#DIV/0!</v>
      </c>
      <c r="G45" s="21">
        <f>Tв_23!I46</f>
        <v>0</v>
      </c>
      <c r="H45" s="22" t="e">
        <f t="shared" si="9"/>
        <v>#DIV/0!</v>
      </c>
      <c r="I45" s="22" t="e">
        <f t="shared" si="10"/>
        <v>#DIV/0!</v>
      </c>
      <c r="J45" s="22" t="e">
        <f t="shared" si="11"/>
        <v>#DIV/0!</v>
      </c>
      <c r="K45" s="22" t="e">
        <f t="shared" si="12"/>
        <v>#DIV/0!</v>
      </c>
    </row>
    <row r="46" spans="1:11" x14ac:dyDescent="0.25">
      <c r="A46" s="16">
        <f t="shared" si="6"/>
        <v>45</v>
      </c>
      <c r="B46" s="20">
        <f>T0_1!B47</f>
        <v>0</v>
      </c>
      <c r="C46" s="21">
        <f>Tв_23!B47</f>
        <v>0</v>
      </c>
      <c r="D46" s="22" t="e">
        <f t="shared" si="7"/>
        <v>#DIV/0!</v>
      </c>
      <c r="E46" s="22">
        <f>T0_1!I47</f>
        <v>0</v>
      </c>
      <c r="F46" s="22" t="e">
        <f t="shared" si="8"/>
        <v>#DIV/0!</v>
      </c>
      <c r="G46" s="21">
        <f>Tв_23!I47</f>
        <v>0</v>
      </c>
      <c r="H46" s="22" t="e">
        <f t="shared" si="9"/>
        <v>#DIV/0!</v>
      </c>
      <c r="I46" s="22" t="e">
        <f t="shared" si="10"/>
        <v>#DIV/0!</v>
      </c>
      <c r="J46" s="22" t="e">
        <f t="shared" si="11"/>
        <v>#DIV/0!</v>
      </c>
      <c r="K46" s="22" t="e">
        <f t="shared" si="12"/>
        <v>#DIV/0!</v>
      </c>
    </row>
    <row r="47" spans="1:11" x14ac:dyDescent="0.25">
      <c r="A47" s="17">
        <f t="shared" si="6"/>
        <v>46</v>
      </c>
      <c r="B47" s="20">
        <f>T0_1!B48</f>
        <v>3348</v>
      </c>
      <c r="C47" s="21">
        <f>Tв_23!B48</f>
        <v>72</v>
      </c>
      <c r="D47" s="22">
        <f t="shared" si="7"/>
        <v>0.97894736842105268</v>
      </c>
      <c r="E47" s="22">
        <f>T0_1!I48</f>
        <v>18.55467224364164</v>
      </c>
      <c r="F47" s="22">
        <f t="shared" si="8"/>
        <v>6.1557402277623886E-6</v>
      </c>
      <c r="G47" s="21">
        <f>Tв_23!I48</f>
        <v>18.55467224364164</v>
      </c>
      <c r="H47" s="22">
        <f t="shared" si="9"/>
        <v>-2.8624192059095108E-4</v>
      </c>
      <c r="I47" s="22">
        <f t="shared" si="10"/>
        <v>5.3123530247567345E-3</v>
      </c>
      <c r="J47" s="22">
        <f t="shared" si="11"/>
        <v>0.54265971758267717</v>
      </c>
      <c r="K47" s="22" t="str">
        <f t="shared" si="12"/>
        <v>0,978947368421053 ± 0,006</v>
      </c>
    </row>
    <row r="48" spans="1:11" x14ac:dyDescent="0.25">
      <c r="A48" s="16">
        <f t="shared" si="6"/>
        <v>47</v>
      </c>
      <c r="B48" s="20">
        <f>T0_1!B49</f>
        <v>0</v>
      </c>
      <c r="C48" s="21">
        <f>Tв_23!B49</f>
        <v>0</v>
      </c>
      <c r="D48" s="22" t="e">
        <f t="shared" si="7"/>
        <v>#DIV/0!</v>
      </c>
      <c r="E48" s="22">
        <f>T0_1!I49</f>
        <v>0</v>
      </c>
      <c r="F48" s="22" t="e">
        <f t="shared" si="8"/>
        <v>#DIV/0!</v>
      </c>
      <c r="G48" s="21">
        <f>Tв_23!I49</f>
        <v>0</v>
      </c>
      <c r="H48" s="22" t="e">
        <f t="shared" si="9"/>
        <v>#DIV/0!</v>
      </c>
      <c r="I48" s="22" t="e">
        <f t="shared" si="10"/>
        <v>#DIV/0!</v>
      </c>
      <c r="J48" s="22" t="e">
        <f t="shared" si="11"/>
        <v>#DIV/0!</v>
      </c>
      <c r="K48" s="22" t="e">
        <f t="shared" si="12"/>
        <v>#DIV/0!</v>
      </c>
    </row>
    <row r="49" spans="1:11" x14ac:dyDescent="0.25">
      <c r="A49" s="3">
        <f t="shared" si="6"/>
        <v>48</v>
      </c>
      <c r="B49" s="20">
        <f>T0_1!B50</f>
        <v>0</v>
      </c>
      <c r="C49" s="21">
        <f>Tв_23!B50</f>
        <v>0</v>
      </c>
      <c r="D49" s="22" t="e">
        <f t="shared" si="7"/>
        <v>#DIV/0!</v>
      </c>
      <c r="E49" s="22">
        <f>T0_1!I50</f>
        <v>0</v>
      </c>
      <c r="F49" s="22" t="e">
        <f t="shared" si="8"/>
        <v>#DIV/0!</v>
      </c>
      <c r="G49" s="21">
        <f>Tв_23!I50</f>
        <v>0</v>
      </c>
      <c r="H49" s="22" t="e">
        <f t="shared" si="9"/>
        <v>#DIV/0!</v>
      </c>
      <c r="I49" s="22" t="e">
        <f t="shared" si="10"/>
        <v>#DIV/0!</v>
      </c>
      <c r="J49" s="22" t="e">
        <f t="shared" si="11"/>
        <v>#DIV/0!</v>
      </c>
      <c r="K49" s="22" t="e">
        <f t="shared" si="12"/>
        <v>#DIV/0!</v>
      </c>
    </row>
    <row r="50" spans="1:11" x14ac:dyDescent="0.25">
      <c r="A50" s="3">
        <f t="shared" si="6"/>
        <v>49</v>
      </c>
      <c r="B50" s="20">
        <f>T0_1!B51</f>
        <v>0</v>
      </c>
      <c r="C50" s="21">
        <f>Tв_23!B51</f>
        <v>0</v>
      </c>
      <c r="D50" s="22" t="e">
        <f t="shared" si="7"/>
        <v>#DIV/0!</v>
      </c>
      <c r="E50" s="22">
        <f>T0_1!I51</f>
        <v>0</v>
      </c>
      <c r="F50" s="22" t="e">
        <f t="shared" si="8"/>
        <v>#DIV/0!</v>
      </c>
      <c r="G50" s="21">
        <f>Tв_23!I51</f>
        <v>0</v>
      </c>
      <c r="H50" s="22" t="e">
        <f t="shared" si="9"/>
        <v>#DIV/0!</v>
      </c>
      <c r="I50" s="22" t="e">
        <f t="shared" si="10"/>
        <v>#DIV/0!</v>
      </c>
      <c r="J50" s="22" t="e">
        <f t="shared" si="11"/>
        <v>#DIV/0!</v>
      </c>
      <c r="K50" s="22" t="e">
        <f t="shared" si="12"/>
        <v>#DIV/0!</v>
      </c>
    </row>
    <row r="51" spans="1:11" x14ac:dyDescent="0.25">
      <c r="A51" s="3">
        <f t="shared" si="6"/>
        <v>50</v>
      </c>
      <c r="B51" s="20">
        <f>T0_1!B52</f>
        <v>0</v>
      </c>
      <c r="C51" s="21">
        <f>Tв_23!B52</f>
        <v>0</v>
      </c>
      <c r="D51" s="22" t="e">
        <f t="shared" si="7"/>
        <v>#DIV/0!</v>
      </c>
      <c r="E51" s="22">
        <f>T0_1!I52</f>
        <v>0</v>
      </c>
      <c r="F51" s="22" t="e">
        <f t="shared" si="8"/>
        <v>#DIV/0!</v>
      </c>
      <c r="G51" s="21">
        <f>Tв_23!I52</f>
        <v>0</v>
      </c>
      <c r="H51" s="22" t="e">
        <f t="shared" si="9"/>
        <v>#DIV/0!</v>
      </c>
      <c r="I51" s="22" t="e">
        <f t="shared" si="10"/>
        <v>#DIV/0!</v>
      </c>
      <c r="J51" s="22" t="e">
        <f t="shared" si="11"/>
        <v>#DIV/0!</v>
      </c>
      <c r="K51" s="22" t="e">
        <f t="shared" si="12"/>
        <v>#DIV/0!</v>
      </c>
    </row>
    <row r="52" spans="1:11" x14ac:dyDescent="0.25">
      <c r="A52" s="17">
        <f t="shared" si="6"/>
        <v>51</v>
      </c>
      <c r="B52" s="20">
        <f>T0_1!B53</f>
        <v>3312</v>
      </c>
      <c r="C52" s="21">
        <f>Tв_23!B53</f>
        <v>108</v>
      </c>
      <c r="D52" s="22">
        <f t="shared" si="7"/>
        <v>0.96842105263157896</v>
      </c>
      <c r="E52" s="22">
        <f>T0_1!I53</f>
        <v>23.300140594514403</v>
      </c>
      <c r="F52" s="22">
        <f t="shared" si="8"/>
        <v>9.2336103416435834E-6</v>
      </c>
      <c r="G52" s="21">
        <f>Tв_23!I53</f>
        <v>23.300140594514403</v>
      </c>
      <c r="H52" s="22">
        <f t="shared" si="9"/>
        <v>-2.8316405047706987E-4</v>
      </c>
      <c r="I52" s="22">
        <f t="shared" si="10"/>
        <v>6.6012690448842525E-3</v>
      </c>
      <c r="J52" s="22">
        <f t="shared" si="11"/>
        <v>0.68165278180869993</v>
      </c>
      <c r="K52" s="22" t="str">
        <f t="shared" si="12"/>
        <v>0,968421052631579 ± 0,007</v>
      </c>
    </row>
    <row r="53" spans="1:11" x14ac:dyDescent="0.25">
      <c r="A53" s="17">
        <f t="shared" si="6"/>
        <v>52</v>
      </c>
      <c r="B53" s="20">
        <f>T0_1!B54</f>
        <v>3310</v>
      </c>
      <c r="C53" s="21">
        <f>Tв_23!B54</f>
        <v>110</v>
      </c>
      <c r="D53" s="22">
        <f t="shared" si="7"/>
        <v>0.96783625730994149</v>
      </c>
      <c r="E53" s="22">
        <f>T0_1!I54</f>
        <v>25.134122979149968</v>
      </c>
      <c r="F53" s="22">
        <f t="shared" si="8"/>
        <v>9.4046031257480935E-6</v>
      </c>
      <c r="G53" s="21">
        <f>Tв_23!I54</f>
        <v>25.134122979149968</v>
      </c>
      <c r="H53" s="22">
        <f t="shared" si="9"/>
        <v>-2.8299305769296536E-4</v>
      </c>
      <c r="I53" s="22">
        <f t="shared" si="10"/>
        <v>7.1167089358401894E-3</v>
      </c>
      <c r="J53" s="22">
        <f t="shared" si="11"/>
        <v>0.73532158793273261</v>
      </c>
      <c r="K53" s="22" t="str">
        <f t="shared" si="12"/>
        <v>0,967836257309941 ± 0,008</v>
      </c>
    </row>
    <row r="54" spans="1:11" x14ac:dyDescent="0.25">
      <c r="A54" s="3">
        <f t="shared" si="6"/>
        <v>53</v>
      </c>
      <c r="B54" s="20">
        <f>T0_1!B55</f>
        <v>0</v>
      </c>
      <c r="C54" s="21">
        <f>Tв_23!B55</f>
        <v>0</v>
      </c>
      <c r="D54" s="22" t="e">
        <f t="shared" si="7"/>
        <v>#DIV/0!</v>
      </c>
      <c r="E54" s="22">
        <f>T0_1!I55</f>
        <v>0</v>
      </c>
      <c r="F54" s="22" t="e">
        <f t="shared" si="8"/>
        <v>#DIV/0!</v>
      </c>
      <c r="G54" s="21">
        <f>Tв_23!I55</f>
        <v>0</v>
      </c>
      <c r="H54" s="22" t="e">
        <f t="shared" si="9"/>
        <v>#DIV/0!</v>
      </c>
      <c r="I54" s="22" t="e">
        <f t="shared" si="10"/>
        <v>#DIV/0!</v>
      </c>
      <c r="J54" s="22" t="e">
        <f t="shared" si="11"/>
        <v>#DIV/0!</v>
      </c>
      <c r="K54" s="22" t="e">
        <f t="shared" si="12"/>
        <v>#DIV/0!</v>
      </c>
    </row>
    <row r="55" spans="1:11" x14ac:dyDescent="0.25">
      <c r="A55" s="3">
        <f t="shared" si="6"/>
        <v>54</v>
      </c>
      <c r="B55" s="20">
        <f>T0_1!B56</f>
        <v>0</v>
      </c>
      <c r="C55" s="21">
        <f>Tв_23!B56</f>
        <v>0</v>
      </c>
      <c r="D55" s="22" t="e">
        <f t="shared" si="7"/>
        <v>#DIV/0!</v>
      </c>
      <c r="E55" s="22">
        <f>T0_1!I56</f>
        <v>0</v>
      </c>
      <c r="F55" s="22" t="e">
        <f t="shared" si="8"/>
        <v>#DIV/0!</v>
      </c>
      <c r="G55" s="21">
        <f>Tв_23!I56</f>
        <v>0</v>
      </c>
      <c r="H55" s="22" t="e">
        <f t="shared" si="9"/>
        <v>#DIV/0!</v>
      </c>
      <c r="I55" s="22" t="e">
        <f t="shared" si="10"/>
        <v>#DIV/0!</v>
      </c>
      <c r="J55" s="22" t="e">
        <f t="shared" si="11"/>
        <v>#DIV/0!</v>
      </c>
      <c r="K55" s="22" t="e">
        <f t="shared" si="12"/>
        <v>#DIV/0!</v>
      </c>
    </row>
    <row r="56" spans="1:11" x14ac:dyDescent="0.25">
      <c r="A56" s="3">
        <f t="shared" si="6"/>
        <v>55</v>
      </c>
      <c r="B56" s="20">
        <f>T0_1!B57</f>
        <v>0</v>
      </c>
      <c r="C56" s="21">
        <f>Tв_23!B57</f>
        <v>0</v>
      </c>
      <c r="D56" s="22" t="e">
        <f t="shared" si="7"/>
        <v>#DIV/0!</v>
      </c>
      <c r="E56" s="22">
        <f>T0_1!I57</f>
        <v>0</v>
      </c>
      <c r="F56" s="22" t="e">
        <f t="shared" si="8"/>
        <v>#DIV/0!</v>
      </c>
      <c r="G56" s="21">
        <f>Tв_23!I57</f>
        <v>0</v>
      </c>
      <c r="H56" s="22" t="e">
        <f t="shared" si="9"/>
        <v>#DIV/0!</v>
      </c>
      <c r="I56" s="22" t="e">
        <f t="shared" si="10"/>
        <v>#DIV/0!</v>
      </c>
      <c r="J56" s="22" t="e">
        <f t="shared" si="11"/>
        <v>#DIV/0!</v>
      </c>
      <c r="K56" s="22" t="e">
        <f t="shared" si="12"/>
        <v>#DIV/0!</v>
      </c>
    </row>
    <row r="57" spans="1:11" x14ac:dyDescent="0.25">
      <c r="A57" s="17">
        <f t="shared" si="6"/>
        <v>56</v>
      </c>
      <c r="B57" s="20">
        <f>T0_1!B58</f>
        <v>3286</v>
      </c>
      <c r="C57" s="21">
        <f>Tв_23!B58</f>
        <v>134</v>
      </c>
      <c r="D57" s="22">
        <f t="shared" si="7"/>
        <v>0.96081871345029235</v>
      </c>
      <c r="E57" s="22">
        <f>T0_1!I58</f>
        <v>24.869313593677845</v>
      </c>
      <c r="F57" s="22">
        <f t="shared" si="8"/>
        <v>1.1456516535002223E-5</v>
      </c>
      <c r="G57" s="21">
        <f>Tв_23!I58</f>
        <v>24.869313593677845</v>
      </c>
      <c r="H57" s="22">
        <f t="shared" si="9"/>
        <v>-2.8094114428371122E-4</v>
      </c>
      <c r="I57" s="22">
        <f t="shared" si="10"/>
        <v>6.9926203030924389E-3</v>
      </c>
      <c r="J57" s="22">
        <f t="shared" si="11"/>
        <v>0.72777728048010171</v>
      </c>
      <c r="K57" s="22" t="str">
        <f t="shared" si="12"/>
        <v>0,960818713450292 ± 0,007</v>
      </c>
    </row>
    <row r="58" spans="1:11" x14ac:dyDescent="0.25">
      <c r="A58" s="17">
        <f t="shared" si="6"/>
        <v>57</v>
      </c>
      <c r="B58" s="20">
        <f>T0_1!B59</f>
        <v>3272</v>
      </c>
      <c r="C58" s="21">
        <f>Tв_23!B59</f>
        <v>148</v>
      </c>
      <c r="D58" s="22">
        <f t="shared" si="7"/>
        <v>0.95672514619883042</v>
      </c>
      <c r="E58" s="22">
        <f>T0_1!I59</f>
        <v>33.416906726572009</v>
      </c>
      <c r="F58" s="22">
        <f t="shared" si="8"/>
        <v>1.2653466023733799E-5</v>
      </c>
      <c r="G58" s="21">
        <f>Tв_23!I59</f>
        <v>33.416906726572009</v>
      </c>
      <c r="H58" s="22">
        <f t="shared" si="9"/>
        <v>-2.7974419479497964E-4</v>
      </c>
      <c r="I58" s="22">
        <f t="shared" si="10"/>
        <v>9.3577437787972662E-3</v>
      </c>
      <c r="J58" s="22">
        <f t="shared" si="11"/>
        <v>0.97810158079115683</v>
      </c>
      <c r="K58" s="22" t="str">
        <f t="shared" si="12"/>
        <v>0,95672514619883 ± 0,01</v>
      </c>
    </row>
    <row r="59" spans="1:11" x14ac:dyDescent="0.25">
      <c r="A59" s="3">
        <f t="shared" si="6"/>
        <v>58</v>
      </c>
      <c r="B59" s="20">
        <f>T0_1!B60</f>
        <v>0</v>
      </c>
      <c r="C59" s="21">
        <f>Tв_23!B60</f>
        <v>0</v>
      </c>
      <c r="D59" s="22" t="e">
        <f t="shared" si="7"/>
        <v>#DIV/0!</v>
      </c>
      <c r="E59" s="22">
        <f>T0_1!I60</f>
        <v>0</v>
      </c>
      <c r="F59" s="22" t="e">
        <f t="shared" si="8"/>
        <v>#DIV/0!</v>
      </c>
      <c r="G59" s="21">
        <f>Tв_23!I60</f>
        <v>0</v>
      </c>
      <c r="H59" s="22" t="e">
        <f t="shared" si="9"/>
        <v>#DIV/0!</v>
      </c>
      <c r="I59" s="22" t="e">
        <f t="shared" si="10"/>
        <v>#DIV/0!</v>
      </c>
      <c r="J59" s="22" t="e">
        <f t="shared" si="11"/>
        <v>#DIV/0!</v>
      </c>
      <c r="K59" s="22" t="e">
        <f t="shared" si="12"/>
        <v>#DIV/0!</v>
      </c>
    </row>
    <row r="60" spans="1:11" x14ac:dyDescent="0.25">
      <c r="A60" s="3">
        <f t="shared" si="6"/>
        <v>59</v>
      </c>
      <c r="B60" s="20">
        <f>T0_1!B61</f>
        <v>0</v>
      </c>
      <c r="C60" s="21">
        <f>Tв_23!B61</f>
        <v>0</v>
      </c>
      <c r="D60" s="22" t="e">
        <f t="shared" si="7"/>
        <v>#DIV/0!</v>
      </c>
      <c r="E60" s="22">
        <f>T0_1!I61</f>
        <v>0</v>
      </c>
      <c r="F60" s="22" t="e">
        <f t="shared" si="8"/>
        <v>#DIV/0!</v>
      </c>
      <c r="G60" s="21">
        <f>Tв_23!I61</f>
        <v>0</v>
      </c>
      <c r="H60" s="22" t="e">
        <f t="shared" si="9"/>
        <v>#DIV/0!</v>
      </c>
      <c r="I60" s="22" t="e">
        <f t="shared" si="10"/>
        <v>#DIV/0!</v>
      </c>
      <c r="J60" s="22" t="e">
        <f t="shared" si="11"/>
        <v>#DIV/0!</v>
      </c>
      <c r="K60" s="22" t="e">
        <f t="shared" si="12"/>
        <v>#DIV/0!</v>
      </c>
    </row>
    <row r="61" spans="1:11" x14ac:dyDescent="0.25">
      <c r="A61" s="3">
        <f t="shared" si="6"/>
        <v>60</v>
      </c>
      <c r="B61" s="20">
        <f>T0_1!B62</f>
        <v>0</v>
      </c>
      <c r="C61" s="21">
        <f>Tв_23!B62</f>
        <v>0</v>
      </c>
      <c r="D61" s="22" t="e">
        <f t="shared" si="7"/>
        <v>#DIV/0!</v>
      </c>
      <c r="E61" s="22">
        <f>T0_1!I62</f>
        <v>0</v>
      </c>
      <c r="F61" s="22" t="e">
        <f t="shared" si="8"/>
        <v>#DIV/0!</v>
      </c>
      <c r="G61" s="21">
        <f>Tв_23!I62</f>
        <v>0</v>
      </c>
      <c r="H61" s="22" t="e">
        <f t="shared" si="9"/>
        <v>#DIV/0!</v>
      </c>
      <c r="I61" s="22" t="e">
        <f t="shared" si="10"/>
        <v>#DIV/0!</v>
      </c>
      <c r="J61" s="22" t="e">
        <f t="shared" si="11"/>
        <v>#DIV/0!</v>
      </c>
      <c r="K61" s="22" t="e">
        <f t="shared" si="12"/>
        <v>#DIV/0!</v>
      </c>
    </row>
    <row r="62" spans="1:11" x14ac:dyDescent="0.25">
      <c r="A62" s="18">
        <f t="shared" si="6"/>
        <v>61</v>
      </c>
      <c r="B62" s="20">
        <f>T0_1!B63</f>
        <v>3370</v>
      </c>
      <c r="C62" s="21">
        <f>Tв_23!B63</f>
        <v>50</v>
      </c>
      <c r="D62" s="22">
        <f t="shared" si="7"/>
        <v>0.98538011695906436</v>
      </c>
      <c r="E62" s="22">
        <f>T0_1!I63</f>
        <v>19.154543892354575</v>
      </c>
      <c r="F62" s="22">
        <f t="shared" si="8"/>
        <v>4.2748196026127698E-6</v>
      </c>
      <c r="G62" s="21">
        <f>Tв_23!I63</f>
        <v>19.154543892354575</v>
      </c>
      <c r="H62" s="22">
        <f t="shared" si="9"/>
        <v>-2.8812284121610066E-4</v>
      </c>
      <c r="I62" s="22">
        <f t="shared" si="10"/>
        <v>5.5194690099029716E-3</v>
      </c>
      <c r="J62" s="22">
        <f t="shared" si="11"/>
        <v>0.56013602415039054</v>
      </c>
      <c r="K62" s="22" t="str">
        <f t="shared" si="12"/>
        <v>0,985380116959064 ± 0,006</v>
      </c>
    </row>
    <row r="63" spans="1:11" x14ac:dyDescent="0.25">
      <c r="A63" s="16">
        <f t="shared" si="6"/>
        <v>62</v>
      </c>
      <c r="B63" s="20">
        <f>T0_1!B64</f>
        <v>0</v>
      </c>
      <c r="C63" s="21">
        <f>Tв_23!B64</f>
        <v>0</v>
      </c>
      <c r="D63" s="22" t="e">
        <f t="shared" si="7"/>
        <v>#DIV/0!</v>
      </c>
      <c r="E63" s="22">
        <f>T0_1!I64</f>
        <v>0</v>
      </c>
      <c r="F63" s="22" t="e">
        <f t="shared" si="8"/>
        <v>#DIV/0!</v>
      </c>
      <c r="G63" s="21">
        <f>Tв_23!I64</f>
        <v>0</v>
      </c>
      <c r="H63" s="22" t="e">
        <f t="shared" si="9"/>
        <v>#DIV/0!</v>
      </c>
      <c r="I63" s="22" t="e">
        <f t="shared" si="10"/>
        <v>#DIV/0!</v>
      </c>
      <c r="J63" s="22" t="e">
        <f t="shared" si="11"/>
        <v>#DIV/0!</v>
      </c>
      <c r="K63" s="22" t="e">
        <f t="shared" si="12"/>
        <v>#DIV/0!</v>
      </c>
    </row>
    <row r="64" spans="1:11" x14ac:dyDescent="0.25">
      <c r="A64" s="16">
        <f t="shared" si="6"/>
        <v>63</v>
      </c>
      <c r="B64" s="20">
        <f>T0_1!B65</f>
        <v>0</v>
      </c>
      <c r="C64" s="21">
        <f>Tв_23!B65</f>
        <v>0</v>
      </c>
      <c r="D64" s="22" t="e">
        <f t="shared" si="7"/>
        <v>#DIV/0!</v>
      </c>
      <c r="E64" s="22">
        <f>T0_1!I65</f>
        <v>0</v>
      </c>
      <c r="F64" s="22" t="e">
        <f t="shared" si="8"/>
        <v>#DIV/0!</v>
      </c>
      <c r="G64" s="21">
        <f>Tв_23!I65</f>
        <v>0</v>
      </c>
      <c r="H64" s="22" t="e">
        <f t="shared" si="9"/>
        <v>#DIV/0!</v>
      </c>
      <c r="I64" s="22" t="e">
        <f t="shared" si="10"/>
        <v>#DIV/0!</v>
      </c>
      <c r="J64" s="22" t="e">
        <f t="shared" si="11"/>
        <v>#DIV/0!</v>
      </c>
      <c r="K64" s="22" t="e">
        <f t="shared" si="12"/>
        <v>#DIV/0!</v>
      </c>
    </row>
    <row r="65" spans="1:11" x14ac:dyDescent="0.25">
      <c r="A65" s="16">
        <f t="shared" si="6"/>
        <v>64</v>
      </c>
      <c r="B65" s="20">
        <f>T0_1!B66</f>
        <v>0</v>
      </c>
      <c r="C65" s="21">
        <f>Tв_23!B66</f>
        <v>0</v>
      </c>
      <c r="D65" s="22" t="e">
        <f t="shared" si="7"/>
        <v>#DIV/0!</v>
      </c>
      <c r="E65" s="22">
        <f>T0_1!I66</f>
        <v>0</v>
      </c>
      <c r="F65" s="22" t="e">
        <f t="shared" si="8"/>
        <v>#DIV/0!</v>
      </c>
      <c r="G65" s="21">
        <f>Tв_23!I66</f>
        <v>0</v>
      </c>
      <c r="H65" s="22" t="e">
        <f t="shared" si="9"/>
        <v>#DIV/0!</v>
      </c>
      <c r="I65" s="22" t="e">
        <f t="shared" si="10"/>
        <v>#DIV/0!</v>
      </c>
      <c r="J65" s="22" t="e">
        <f t="shared" si="11"/>
        <v>#DIV/0!</v>
      </c>
      <c r="K65" s="22" t="e">
        <f t="shared" si="12"/>
        <v>#DIV/0!</v>
      </c>
    </row>
    <row r="66" spans="1:11" x14ac:dyDescent="0.25">
      <c r="A66" s="16">
        <f t="shared" si="6"/>
        <v>65</v>
      </c>
      <c r="B66" s="20">
        <f>T0_1!B67</f>
        <v>0</v>
      </c>
      <c r="C66" s="21">
        <f>Tв_23!B67</f>
        <v>0</v>
      </c>
      <c r="D66" s="22" t="e">
        <f t="shared" si="7"/>
        <v>#DIV/0!</v>
      </c>
      <c r="E66" s="22">
        <f>T0_1!I67</f>
        <v>0</v>
      </c>
      <c r="F66" s="22" t="e">
        <f t="shared" si="8"/>
        <v>#DIV/0!</v>
      </c>
      <c r="G66" s="21">
        <f>Tв_23!I67</f>
        <v>0</v>
      </c>
      <c r="H66" s="22" t="e">
        <f t="shared" si="9"/>
        <v>#DIV/0!</v>
      </c>
      <c r="I66" s="22" t="e">
        <f t="shared" si="10"/>
        <v>#DIV/0!</v>
      </c>
      <c r="J66" s="22" t="e">
        <f t="shared" si="11"/>
        <v>#DIV/0!</v>
      </c>
      <c r="K66" s="22" t="e">
        <f t="shared" si="12"/>
        <v>#DIV/0!</v>
      </c>
    </row>
    <row r="67" spans="1:11" x14ac:dyDescent="0.25">
      <c r="A67" s="17">
        <f t="shared" si="6"/>
        <v>66</v>
      </c>
      <c r="B67" s="20">
        <f>T0_1!B68</f>
        <v>3268</v>
      </c>
      <c r="C67" s="21">
        <f>Tв_23!B68</f>
        <v>152</v>
      </c>
      <c r="D67" s="22">
        <f t="shared" si="7"/>
        <v>0.9555555555555556</v>
      </c>
      <c r="E67" s="22">
        <f>T0_1!I68</f>
        <v>29.748369993016077</v>
      </c>
      <c r="F67" s="22">
        <f t="shared" si="8"/>
        <v>1.2995451591942819E-5</v>
      </c>
      <c r="G67" s="21">
        <f>Tв_23!I68</f>
        <v>29.748369993016077</v>
      </c>
      <c r="H67" s="22">
        <f t="shared" si="9"/>
        <v>-2.7940220922677061E-4</v>
      </c>
      <c r="I67" s="22">
        <f t="shared" si="10"/>
        <v>8.3207459863756279E-3</v>
      </c>
      <c r="J67" s="22">
        <f t="shared" si="11"/>
        <v>0.87077574276024017</v>
      </c>
      <c r="K67" s="22" t="str">
        <f t="shared" si="12"/>
        <v>0,955555555555556 ± 0,009</v>
      </c>
    </row>
    <row r="68" spans="1:11" x14ac:dyDescent="0.25">
      <c r="A68" s="16">
        <f t="shared" ref="A68:A77" si="13">A67+1</f>
        <v>67</v>
      </c>
      <c r="B68" s="20">
        <f>T0_1!B69</f>
        <v>0</v>
      </c>
      <c r="C68" s="21">
        <f>Tв_23!B69</f>
        <v>0</v>
      </c>
      <c r="D68" s="22" t="e">
        <f t="shared" si="7"/>
        <v>#DIV/0!</v>
      </c>
      <c r="E68" s="22">
        <f>T0_1!I69</f>
        <v>0</v>
      </c>
      <c r="F68" s="22" t="e">
        <f t="shared" si="8"/>
        <v>#DIV/0!</v>
      </c>
      <c r="G68" s="21">
        <f>Tв_23!I69</f>
        <v>0</v>
      </c>
      <c r="H68" s="22" t="e">
        <f t="shared" si="9"/>
        <v>#DIV/0!</v>
      </c>
      <c r="I68" s="22" t="e">
        <f t="shared" si="10"/>
        <v>#DIV/0!</v>
      </c>
      <c r="J68" s="22" t="e">
        <f t="shared" si="11"/>
        <v>#DIV/0!</v>
      </c>
      <c r="K68" s="22" t="e">
        <f t="shared" si="12"/>
        <v>#DIV/0!</v>
      </c>
    </row>
    <row r="69" spans="1:11" x14ac:dyDescent="0.25">
      <c r="A69" s="16">
        <f t="shared" si="13"/>
        <v>68</v>
      </c>
      <c r="B69" s="20">
        <f>T0_1!B70</f>
        <v>0</v>
      </c>
      <c r="C69" s="21">
        <f>Tв_23!B70</f>
        <v>0</v>
      </c>
      <c r="D69" s="22" t="e">
        <f t="shared" si="7"/>
        <v>#DIV/0!</v>
      </c>
      <c r="E69" s="22">
        <f>T0_1!I70</f>
        <v>0</v>
      </c>
      <c r="F69" s="22" t="e">
        <f t="shared" si="8"/>
        <v>#DIV/0!</v>
      </c>
      <c r="G69" s="21">
        <f>Tв_23!I70</f>
        <v>0</v>
      </c>
      <c r="H69" s="22" t="e">
        <f t="shared" si="9"/>
        <v>#DIV/0!</v>
      </c>
      <c r="I69" s="22" t="e">
        <f t="shared" si="10"/>
        <v>#DIV/0!</v>
      </c>
      <c r="J69" s="22" t="e">
        <f t="shared" si="11"/>
        <v>#DIV/0!</v>
      </c>
      <c r="K69" s="22" t="e">
        <f t="shared" si="12"/>
        <v>#DIV/0!</v>
      </c>
    </row>
    <row r="70" spans="1:11" x14ac:dyDescent="0.25">
      <c r="A70" s="16">
        <f t="shared" si="13"/>
        <v>69</v>
      </c>
      <c r="B70" s="20">
        <f>T0_1!B71</f>
        <v>0</v>
      </c>
      <c r="C70" s="21">
        <f>Tв_23!B71</f>
        <v>0</v>
      </c>
      <c r="D70" s="22" t="e">
        <f t="shared" si="7"/>
        <v>#DIV/0!</v>
      </c>
      <c r="E70" s="22">
        <f>T0_1!I71</f>
        <v>0</v>
      </c>
      <c r="F70" s="22" t="e">
        <f t="shared" si="8"/>
        <v>#DIV/0!</v>
      </c>
      <c r="G70" s="21">
        <f>Tв_23!I71</f>
        <v>0</v>
      </c>
      <c r="H70" s="22" t="e">
        <f t="shared" si="9"/>
        <v>#DIV/0!</v>
      </c>
      <c r="I70" s="22" t="e">
        <f t="shared" si="10"/>
        <v>#DIV/0!</v>
      </c>
      <c r="J70" s="22" t="e">
        <f t="shared" si="11"/>
        <v>#DIV/0!</v>
      </c>
      <c r="K70" s="22" t="e">
        <f t="shared" si="12"/>
        <v>#DIV/0!</v>
      </c>
    </row>
    <row r="71" spans="1:11" x14ac:dyDescent="0.25">
      <c r="A71" s="16">
        <f t="shared" si="13"/>
        <v>70</v>
      </c>
      <c r="B71" s="20">
        <f>T0_1!B72</f>
        <v>0</v>
      </c>
      <c r="C71" s="21">
        <f>Tв_23!B72</f>
        <v>0</v>
      </c>
      <c r="D71" s="22" t="e">
        <f t="shared" si="7"/>
        <v>#DIV/0!</v>
      </c>
      <c r="E71" s="22">
        <f>T0_1!I72</f>
        <v>0</v>
      </c>
      <c r="F71" s="22" t="e">
        <f t="shared" si="8"/>
        <v>#DIV/0!</v>
      </c>
      <c r="G71" s="21">
        <f>Tв_23!I72</f>
        <v>0</v>
      </c>
      <c r="H71" s="22" t="e">
        <f t="shared" si="9"/>
        <v>#DIV/0!</v>
      </c>
      <c r="I71" s="22" t="e">
        <f t="shared" si="10"/>
        <v>#DIV/0!</v>
      </c>
      <c r="J71" s="22" t="e">
        <f t="shared" si="11"/>
        <v>#DIV/0!</v>
      </c>
      <c r="K71" s="22" t="e">
        <f t="shared" si="12"/>
        <v>#DIV/0!</v>
      </c>
    </row>
    <row r="72" spans="1:11" x14ac:dyDescent="0.25">
      <c r="A72" s="17">
        <f t="shared" si="13"/>
        <v>71</v>
      </c>
      <c r="B72" s="20">
        <f>T0_1!B73</f>
        <v>3304</v>
      </c>
      <c r="C72" s="21">
        <f>Tв_23!B73</f>
        <v>116</v>
      </c>
      <c r="D72" s="22">
        <f t="shared" ref="D72:D77" si="14">B72/(B72+C72)</f>
        <v>0.96608187134502921</v>
      </c>
      <c r="E72" s="22">
        <f>T0_1!I73</f>
        <v>31.47850936312166</v>
      </c>
      <c r="F72" s="22">
        <f t="shared" ref="F72:F77" si="15">C72/POWER(B72+C72,2)</f>
        <v>9.9175814780616255E-6</v>
      </c>
      <c r="G72" s="21">
        <f>Tв_23!I73</f>
        <v>31.47850936312166</v>
      </c>
      <c r="H72" s="22">
        <f t="shared" ref="H72:H77" si="16">-B72/POWER(B72+C72,2)</f>
        <v>-2.8248007934065183E-4</v>
      </c>
      <c r="I72" s="22">
        <f t="shared" ref="I72:I77" si="17">POWER(POWER(F72*E72,2)+POWER(H72*G72,2),0.5)</f>
        <v>8.8975304795301073E-3</v>
      </c>
      <c r="J72" s="22">
        <f t="shared" ref="J72:J77" si="18">I72/D72*100</f>
        <v>0.92099135108937558</v>
      </c>
      <c r="K72" s="22" t="str">
        <f t="shared" ref="K72:K77" si="19" xml:space="preserve"> D72 &amp; " ± " &amp; (ROUNDUP(I72, 3))</f>
        <v>0,966081871345029 ± 0,009</v>
      </c>
    </row>
    <row r="73" spans="1:11" x14ac:dyDescent="0.25">
      <c r="A73" s="16">
        <f t="shared" si="13"/>
        <v>72</v>
      </c>
      <c r="B73" s="20">
        <f>T0_1!B74</f>
        <v>0</v>
      </c>
      <c r="C73" s="21">
        <f>Tв_23!B74</f>
        <v>0</v>
      </c>
      <c r="D73" s="22" t="e">
        <f t="shared" si="14"/>
        <v>#DIV/0!</v>
      </c>
      <c r="E73" s="22">
        <f>T0_1!I74</f>
        <v>0</v>
      </c>
      <c r="F73" s="22" t="e">
        <f t="shared" si="15"/>
        <v>#DIV/0!</v>
      </c>
      <c r="G73" s="21">
        <f>Tв_23!I74</f>
        <v>0</v>
      </c>
      <c r="H73" s="22" t="e">
        <f t="shared" si="16"/>
        <v>#DIV/0!</v>
      </c>
      <c r="I73" s="22" t="e">
        <f t="shared" si="17"/>
        <v>#DIV/0!</v>
      </c>
      <c r="J73" s="22" t="e">
        <f t="shared" si="18"/>
        <v>#DIV/0!</v>
      </c>
      <c r="K73" s="22" t="e">
        <f t="shared" si="19"/>
        <v>#DIV/0!</v>
      </c>
    </row>
    <row r="74" spans="1:11" x14ac:dyDescent="0.25">
      <c r="A74" s="16">
        <f t="shared" si="13"/>
        <v>73</v>
      </c>
      <c r="B74" s="20">
        <f>T0_1!B75</f>
        <v>0</v>
      </c>
      <c r="C74" s="21">
        <f>Tв_23!B75</f>
        <v>0</v>
      </c>
      <c r="D74" s="22" t="e">
        <f t="shared" si="14"/>
        <v>#DIV/0!</v>
      </c>
      <c r="E74" s="22">
        <f>T0_1!I75</f>
        <v>0</v>
      </c>
      <c r="F74" s="22" t="e">
        <f t="shared" si="15"/>
        <v>#DIV/0!</v>
      </c>
      <c r="G74" s="21">
        <f>Tв_23!I75</f>
        <v>0</v>
      </c>
      <c r="H74" s="22" t="e">
        <f t="shared" si="16"/>
        <v>#DIV/0!</v>
      </c>
      <c r="I74" s="22" t="e">
        <f t="shared" si="17"/>
        <v>#DIV/0!</v>
      </c>
      <c r="J74" s="22" t="e">
        <f t="shared" si="18"/>
        <v>#DIV/0!</v>
      </c>
      <c r="K74" s="22" t="e">
        <f t="shared" si="19"/>
        <v>#DIV/0!</v>
      </c>
    </row>
    <row r="75" spans="1:11" x14ac:dyDescent="0.25">
      <c r="A75" s="16">
        <f t="shared" si="13"/>
        <v>74</v>
      </c>
      <c r="B75" s="20">
        <f>T0_1!B76</f>
        <v>0</v>
      </c>
      <c r="C75" s="21">
        <f>Tв_23!B76</f>
        <v>0</v>
      </c>
      <c r="D75" s="22" t="e">
        <f t="shared" si="14"/>
        <v>#DIV/0!</v>
      </c>
      <c r="E75" s="22">
        <f>T0_1!I76</f>
        <v>0</v>
      </c>
      <c r="F75" s="22" t="e">
        <f t="shared" si="15"/>
        <v>#DIV/0!</v>
      </c>
      <c r="G75" s="21">
        <f>Tв_23!I76</f>
        <v>0</v>
      </c>
      <c r="H75" s="22" t="e">
        <f t="shared" si="16"/>
        <v>#DIV/0!</v>
      </c>
      <c r="I75" s="22" t="e">
        <f t="shared" si="17"/>
        <v>#DIV/0!</v>
      </c>
      <c r="J75" s="22" t="e">
        <f t="shared" si="18"/>
        <v>#DIV/0!</v>
      </c>
      <c r="K75" s="22" t="e">
        <f t="shared" si="19"/>
        <v>#DIV/0!</v>
      </c>
    </row>
    <row r="76" spans="1:11" x14ac:dyDescent="0.25">
      <c r="A76" s="16">
        <f t="shared" si="13"/>
        <v>75</v>
      </c>
      <c r="B76" s="20">
        <f>T0_1!B77</f>
        <v>0</v>
      </c>
      <c r="C76" s="21">
        <f>Tв_23!B77</f>
        <v>0</v>
      </c>
      <c r="D76" s="22" t="e">
        <f t="shared" si="14"/>
        <v>#DIV/0!</v>
      </c>
      <c r="E76" s="22">
        <f>T0_1!I77</f>
        <v>0</v>
      </c>
      <c r="F76" s="22" t="e">
        <f t="shared" si="15"/>
        <v>#DIV/0!</v>
      </c>
      <c r="G76" s="21">
        <f>Tв_23!I77</f>
        <v>0</v>
      </c>
      <c r="H76" s="22" t="e">
        <f t="shared" si="16"/>
        <v>#DIV/0!</v>
      </c>
      <c r="I76" s="22" t="e">
        <f t="shared" si="17"/>
        <v>#DIV/0!</v>
      </c>
      <c r="J76" s="22" t="e">
        <f t="shared" si="18"/>
        <v>#DIV/0!</v>
      </c>
      <c r="K76" s="22" t="e">
        <f t="shared" si="19"/>
        <v>#DIV/0!</v>
      </c>
    </row>
    <row r="77" spans="1:11" x14ac:dyDescent="0.25">
      <c r="A77" s="17">
        <f t="shared" si="13"/>
        <v>76</v>
      </c>
      <c r="B77" s="20">
        <f>T0_1!B78</f>
        <v>3280</v>
      </c>
      <c r="C77" s="21">
        <f>Tв_23!B78</f>
        <v>140</v>
      </c>
      <c r="D77" s="22">
        <f t="shared" si="14"/>
        <v>0.95906432748538006</v>
      </c>
      <c r="E77" s="22">
        <f>T0_1!I78</f>
        <v>35.15482995216329</v>
      </c>
      <c r="F77" s="22">
        <f t="shared" si="15"/>
        <v>1.1969494887315755E-5</v>
      </c>
      <c r="G77" s="21">
        <f>Tв_23!I78</f>
        <v>35.15482995216329</v>
      </c>
      <c r="H77" s="22">
        <f t="shared" si="16"/>
        <v>-2.8042816593139768E-4</v>
      </c>
      <c r="I77" s="22">
        <f t="shared" si="17"/>
        <v>9.8673805803198029E-3</v>
      </c>
      <c r="J77" s="22">
        <f t="shared" si="18"/>
        <v>1.0288549263626137</v>
      </c>
      <c r="K77" s="22" t="str">
        <f t="shared" si="19"/>
        <v>0,95906432748538 ± 0,01</v>
      </c>
    </row>
    <row r="78" spans="1:11" x14ac:dyDescent="0.25">
      <c r="A78" s="16"/>
      <c r="B78" s="20">
        <v>0</v>
      </c>
      <c r="C78" s="21">
        <f>Tв_23!B79</f>
        <v>0</v>
      </c>
      <c r="D78" s="22" t="e">
        <f t="shared" ref="D78" si="20">B78/(B78+C78)</f>
        <v>#DIV/0!</v>
      </c>
      <c r="E78" s="22" t="e">
        <f>T0_1!#REF!</f>
        <v>#REF!</v>
      </c>
      <c r="F78" s="22" t="e">
        <f t="shared" ref="F78" si="21">C78/POWER(B78+C78,2)</f>
        <v>#DIV/0!</v>
      </c>
      <c r="G78" s="21">
        <f>Tв_23!I79</f>
        <v>0</v>
      </c>
      <c r="H78" s="22" t="e">
        <f t="shared" ref="H78" si="22">-B78/POWER(B78+C78,2)</f>
        <v>#DIV/0!</v>
      </c>
      <c r="I78" s="22" t="e">
        <f t="shared" ref="I78" si="23">POWER(POWER(F78*E78,2)+POWER(H78*G78,2),0.5)</f>
        <v>#DIV/0!</v>
      </c>
      <c r="J78" s="22" t="e">
        <f t="shared" ref="J78" si="24">I78/D78*100</f>
        <v>#DIV/0!</v>
      </c>
      <c r="K78" s="22" t="e">
        <f t="shared" ref="K78" si="25" xml:space="preserve"> D78 &amp; " ± " &amp; (ROUNDUP(I78, 3))</f>
        <v>#DIV/0!</v>
      </c>
    </row>
    <row r="79" spans="1:11" x14ac:dyDescent="0.25">
      <c r="A79" s="16"/>
      <c r="B79" s="20">
        <f>0</f>
        <v>0</v>
      </c>
      <c r="C79" s="21">
        <f>Tв_23!B80</f>
        <v>0</v>
      </c>
      <c r="D79" s="22" t="e">
        <f t="shared" ref="D79:D86" si="26">B79/(B79+C79)</f>
        <v>#DIV/0!</v>
      </c>
      <c r="E79" s="22">
        <f>T0_1!I81</f>
        <v>5.5584666702372099</v>
      </c>
      <c r="F79" s="22" t="e">
        <f t="shared" ref="F79:F86" si="27">C79/POWER(B79+C79,2)</f>
        <v>#DIV/0!</v>
      </c>
      <c r="G79" s="21">
        <f>Tв_23!I80</f>
        <v>0</v>
      </c>
      <c r="H79" s="22" t="e">
        <f t="shared" ref="H79:H86" si="28">-B79/POWER(B79+C79,2)</f>
        <v>#DIV/0!</v>
      </c>
      <c r="I79" s="22" t="e">
        <f t="shared" ref="I79:I86" si="29">POWER(POWER(F79*E79,2)+POWER(H79*G79,2),0.5)</f>
        <v>#DIV/0!</v>
      </c>
      <c r="J79" s="22" t="e">
        <f t="shared" ref="J79:J86" si="30">I79/D79*100</f>
        <v>#DIV/0!</v>
      </c>
      <c r="K79" s="22" t="e">
        <f t="shared" ref="K79:K86" si="31" xml:space="preserve"> D79 &amp; " ± " &amp; (ROUNDUP(I79, 3))</f>
        <v>#DIV/0!</v>
      </c>
    </row>
    <row r="80" spans="1:11" x14ac:dyDescent="0.25">
      <c r="A80" s="17" t="s">
        <v>61</v>
      </c>
      <c r="B80" s="20">
        <f>T0_1!B81</f>
        <v>3416</v>
      </c>
      <c r="C80" s="21">
        <f>Tв_23!B81</f>
        <v>4</v>
      </c>
      <c r="D80" s="22">
        <f t="shared" si="26"/>
        <v>0.99883040935672518</v>
      </c>
      <c r="E80" s="22">
        <f>T0_1!I81</f>
        <v>5.5584666702372099</v>
      </c>
      <c r="F80" s="22">
        <f t="shared" si="27"/>
        <v>3.419855682090216E-7</v>
      </c>
      <c r="G80" s="21">
        <f>Tв_23!I81</f>
        <v>5.5584666702372099</v>
      </c>
      <c r="H80" s="22">
        <f t="shared" si="28"/>
        <v>-2.9205567525050443E-4</v>
      </c>
      <c r="I80" s="22">
        <f t="shared" si="29"/>
        <v>1.6233828496812859E-3</v>
      </c>
      <c r="J80" s="22">
        <f t="shared" si="30"/>
        <v>0.16252837663670955</v>
      </c>
      <c r="K80" s="22" t="str">
        <f t="shared" si="31"/>
        <v>0,998830409356725 ± 0,002</v>
      </c>
    </row>
    <row r="81" spans="1:11" x14ac:dyDescent="0.25">
      <c r="A81" s="17" t="s">
        <v>62</v>
      </c>
      <c r="B81" s="20">
        <f>T0_1!B82</f>
        <v>3420</v>
      </c>
      <c r="C81" s="21">
        <f>Tв_23!B82</f>
        <v>0</v>
      </c>
      <c r="D81" s="22">
        <f t="shared" si="26"/>
        <v>1</v>
      </c>
      <c r="E81" s="22">
        <f>T0_1!I82</f>
        <v>0</v>
      </c>
      <c r="F81" s="22">
        <f t="shared" si="27"/>
        <v>0</v>
      </c>
      <c r="G81" s="21">
        <f>Tв_23!I82</f>
        <v>0</v>
      </c>
      <c r="H81" s="22">
        <f t="shared" si="28"/>
        <v>-2.9239766081871346E-4</v>
      </c>
      <c r="I81" s="22">
        <f t="shared" si="29"/>
        <v>0</v>
      </c>
      <c r="J81" s="22">
        <f t="shared" si="30"/>
        <v>0</v>
      </c>
      <c r="K81" s="22" t="str">
        <f t="shared" si="31"/>
        <v>1 ± 0</v>
      </c>
    </row>
    <row r="82" spans="1:11" x14ac:dyDescent="0.25">
      <c r="A82" s="17" t="s">
        <v>63</v>
      </c>
      <c r="B82" s="20">
        <f>T0_1!B83</f>
        <v>2612</v>
      </c>
      <c r="C82" s="21">
        <f>Tв_23!B83</f>
        <v>808</v>
      </c>
      <c r="D82" s="22">
        <f t="shared" si="26"/>
        <v>0.7637426900584795</v>
      </c>
      <c r="E82" s="22">
        <f>T0_1!I83</f>
        <v>171.61946678425016</v>
      </c>
      <c r="F82" s="22">
        <f t="shared" si="27"/>
        <v>6.9081084778222364E-5</v>
      </c>
      <c r="G82" s="21">
        <f>Tв_23!I83</f>
        <v>171.61946678425016</v>
      </c>
      <c r="H82" s="22">
        <f t="shared" si="28"/>
        <v>-2.2331657604049109E-4</v>
      </c>
      <c r="I82" s="22">
        <f t="shared" si="29"/>
        <v>4.0117308360824069E-2</v>
      </c>
      <c r="J82" s="22">
        <f t="shared" si="30"/>
        <v>5.2527256735841625</v>
      </c>
      <c r="K82" s="22" t="str">
        <f t="shared" si="31"/>
        <v>0,76374269005848 ± 0,041</v>
      </c>
    </row>
    <row r="83" spans="1:11" x14ac:dyDescent="0.25">
      <c r="A83" s="17" t="s">
        <v>64</v>
      </c>
      <c r="B83" s="20">
        <f>T0_1!B84</f>
        <v>2584</v>
      </c>
      <c r="C83" s="21">
        <f>Tв_23!B84</f>
        <v>836</v>
      </c>
      <c r="D83" s="22">
        <f t="shared" si="26"/>
        <v>0.75555555555555554</v>
      </c>
      <c r="E83" s="22">
        <f>T0_1!I84</f>
        <v>167.93430571054492</v>
      </c>
      <c r="F83" s="22">
        <f t="shared" si="27"/>
        <v>7.1474983755685515E-5</v>
      </c>
      <c r="G83" s="21">
        <f>Tв_23!I84</f>
        <v>167.93430571054492</v>
      </c>
      <c r="H83" s="22">
        <f t="shared" si="28"/>
        <v>-2.2092267706302793E-4</v>
      </c>
      <c r="I83" s="22">
        <f t="shared" si="29"/>
        <v>3.8993862137819246E-2</v>
      </c>
      <c r="J83" s="22">
        <f t="shared" si="30"/>
        <v>5.1609523417701944</v>
      </c>
      <c r="K83" s="22" t="str">
        <f t="shared" si="31"/>
        <v>0,755555555555556 ± 0,039</v>
      </c>
    </row>
    <row r="84" spans="1:11" x14ac:dyDescent="0.25">
      <c r="A84" s="17" t="s">
        <v>65</v>
      </c>
      <c r="B84" s="20">
        <f>T0_1!B85</f>
        <v>3214</v>
      </c>
      <c r="C84" s="21">
        <f>Tв_23!B85</f>
        <v>206</v>
      </c>
      <c r="D84" s="22">
        <f t="shared" si="26"/>
        <v>0.93976608187134503</v>
      </c>
      <c r="E84" s="22">
        <f>T0_1!I85</f>
        <v>50.710809566566297</v>
      </c>
      <c r="F84" s="22">
        <f t="shared" si="27"/>
        <v>1.7612256762764611E-5</v>
      </c>
      <c r="G84" s="21">
        <f>Tв_23!I85</f>
        <v>50.710809566566297</v>
      </c>
      <c r="H84" s="22">
        <f t="shared" si="28"/>
        <v>-2.7478540405594885E-4</v>
      </c>
      <c r="I84" s="22">
        <f t="shared" si="29"/>
        <v>1.3963183417411597E-2</v>
      </c>
      <c r="J84" s="22">
        <f t="shared" si="30"/>
        <v>1.4858147880381973</v>
      </c>
      <c r="K84" s="22" t="str">
        <f t="shared" si="31"/>
        <v>0,939766081871345 ± 0,014</v>
      </c>
    </row>
    <row r="85" spans="1:11" x14ac:dyDescent="0.25">
      <c r="A85" s="17" t="s">
        <v>66</v>
      </c>
      <c r="B85" s="20">
        <f>T0_1!B86</f>
        <v>3170</v>
      </c>
      <c r="C85" s="21">
        <f>Tв_23!B86</f>
        <v>250</v>
      </c>
      <c r="D85" s="22">
        <f t="shared" si="26"/>
        <v>0.92690058479532167</v>
      </c>
      <c r="E85" s="22">
        <f>T0_1!I86</f>
        <v>50.514593316496516</v>
      </c>
      <c r="F85" s="22">
        <f t="shared" si="27"/>
        <v>2.1374098013063847E-5</v>
      </c>
      <c r="G85" s="21">
        <f>Tв_23!I86</f>
        <v>50.514593316496516</v>
      </c>
      <c r="H85" s="22">
        <f t="shared" si="28"/>
        <v>-2.7102356280564959E-4</v>
      </c>
      <c r="I85" s="22">
        <f t="shared" si="29"/>
        <v>1.3733154133235325E-2</v>
      </c>
      <c r="J85" s="22">
        <f t="shared" si="30"/>
        <v>1.4816210452891105</v>
      </c>
      <c r="K85" s="22" t="str">
        <f t="shared" si="31"/>
        <v>0,926900584795322 ± 0,014</v>
      </c>
    </row>
    <row r="86" spans="1:11" x14ac:dyDescent="0.25">
      <c r="A86" s="17" t="s">
        <v>67</v>
      </c>
      <c r="B86" s="20">
        <f>T0_1!B87</f>
        <v>2236</v>
      </c>
      <c r="C86" s="21">
        <f>Tв_23!B87</f>
        <v>1184</v>
      </c>
      <c r="D86" s="22">
        <f t="shared" si="26"/>
        <v>0.65380116959064327</v>
      </c>
      <c r="E86" s="22">
        <f>T0_1!I87</f>
        <v>246.86279869455896</v>
      </c>
      <c r="F86" s="22">
        <f t="shared" si="27"/>
        <v>1.0122772818987039E-4</v>
      </c>
      <c r="G86" s="21">
        <f>Tв_23!I87</f>
        <v>246.86279869455896</v>
      </c>
      <c r="H86" s="22">
        <f t="shared" si="28"/>
        <v>-1.9116993262884306E-4</v>
      </c>
      <c r="I86" s="22">
        <f t="shared" si="29"/>
        <v>5.3400592411837471E-2</v>
      </c>
      <c r="J86" s="22">
        <f t="shared" si="30"/>
        <v>8.1677113617390056</v>
      </c>
      <c r="K86" s="22" t="str">
        <f t="shared" si="31"/>
        <v>0,653801169590643 ± 0,054</v>
      </c>
    </row>
    <row r="87" spans="1:11" x14ac:dyDescent="0.25">
      <c r="A87" s="17" t="s">
        <v>68</v>
      </c>
      <c r="B87" s="20">
        <f>T0_1!B88</f>
        <v>1804</v>
      </c>
      <c r="C87" s="21">
        <f>Tв_23!B88</f>
        <v>1616</v>
      </c>
      <c r="D87" s="22">
        <f t="shared" ref="D87" si="32">B87/(B87+C87)</f>
        <v>0.52748538011695911</v>
      </c>
      <c r="E87" s="22">
        <f>T0_1!I88</f>
        <v>281.74432038457405</v>
      </c>
      <c r="F87" s="22">
        <f t="shared" ref="F87" si="33">C87/POWER(B87+C87,2)</f>
        <v>1.3816216955644473E-4</v>
      </c>
      <c r="G87" s="21">
        <f>Tв_23!I88</f>
        <v>281.74432038457405</v>
      </c>
      <c r="H87" s="22">
        <f t="shared" ref="H87" si="34">-B87/POWER(B87+C87,2)</f>
        <v>-1.5423549126226873E-4</v>
      </c>
      <c r="I87" s="22">
        <f t="shared" ref="I87" si="35">POWER(POWER(F87*E87,2)+POWER(H87*G87,2),0.5)</f>
        <v>5.8340379363201023E-2</v>
      </c>
      <c r="J87" s="22">
        <f t="shared" ref="J87" si="36">I87/D87*100</f>
        <v>11.060094092136778</v>
      </c>
      <c r="K87" s="22" t="str">
        <f t="shared" ref="K87" si="37" xml:space="preserve"> D87 &amp; " ± " &amp; (ROUNDUP(I87, 3))</f>
        <v>0,527485380116959 ± 0,059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6DE2-6F01-4C5E-B1D6-A6459CD76B75}">
  <sheetPr codeName="Лист9"/>
  <dimension ref="A1:K87"/>
  <sheetViews>
    <sheetView tabSelected="1" workbookViewId="0">
      <selection activeCell="N88" sqref="N88"/>
    </sheetView>
  </sheetViews>
  <sheetFormatPr defaultColWidth="8.85546875" defaultRowHeight="15" x14ac:dyDescent="0.25"/>
  <cols>
    <col min="1" max="1" width="31.42578125" style="13" customWidth="1"/>
    <col min="2" max="2" width="10.85546875" style="20" customWidth="1"/>
    <col min="3" max="3" width="11.85546875" style="22" customWidth="1"/>
    <col min="4" max="4" width="12" style="22" customWidth="1"/>
    <col min="5" max="5" width="10" style="22" customWidth="1"/>
    <col min="6" max="6" width="18.7109375" style="22" customWidth="1"/>
    <col min="7" max="7" width="8.85546875" style="22"/>
    <col min="8" max="8" width="14.28515625" style="22" customWidth="1"/>
    <col min="9" max="10" width="8.85546875" style="22"/>
    <col min="11" max="11" width="24.42578125" style="22" bestFit="1" customWidth="1"/>
    <col min="12" max="16384" width="8.85546875" style="22"/>
  </cols>
  <sheetData>
    <row r="1" spans="1:11" s="28" customFormat="1" ht="15.75" thickBot="1" x14ac:dyDescent="0.3">
      <c r="A1" s="14" t="s">
        <v>15</v>
      </c>
      <c r="B1" s="34" t="s">
        <v>14</v>
      </c>
      <c r="C1" s="28" t="s">
        <v>22</v>
      </c>
      <c r="D1" s="28" t="s">
        <v>28</v>
      </c>
      <c r="E1" s="28" t="s">
        <v>7</v>
      </c>
      <c r="F1" s="28" t="s">
        <v>27</v>
      </c>
      <c r="G1" s="28" t="s">
        <v>18</v>
      </c>
      <c r="H1" s="28" t="s">
        <v>26</v>
      </c>
      <c r="I1" s="28" t="s">
        <v>25</v>
      </c>
      <c r="J1" s="28" t="s">
        <v>24</v>
      </c>
      <c r="K1" s="28" t="s">
        <v>23</v>
      </c>
    </row>
    <row r="2" spans="1:11" s="21" customFormat="1" x14ac:dyDescent="0.25">
      <c r="A2" s="15">
        <v>1</v>
      </c>
      <c r="B2" s="24">
        <f>T0_12!B3</f>
        <v>3418</v>
      </c>
      <c r="C2" s="21">
        <f>Tв_3!B3</f>
        <v>2</v>
      </c>
      <c r="D2" s="21">
        <f t="shared" ref="D2:D7" si="0">B2/(B2+C2)</f>
        <v>0.99941520467836253</v>
      </c>
      <c r="E2" s="21">
        <f>T0_12!I3</f>
        <v>4</v>
      </c>
      <c r="F2" s="21">
        <f t="shared" ref="F2:F7" si="1">C2/POWER(B2+C2,2)</f>
        <v>1.709927841045108E-7</v>
      </c>
      <c r="G2" s="21">
        <f>Tв_3!I3</f>
        <v>4</v>
      </c>
      <c r="H2" s="21">
        <f t="shared" ref="H2:H7" si="2">-B2/POWER(B2+C2,2)</f>
        <v>-2.9222666803460894E-4</v>
      </c>
      <c r="I2" s="21">
        <f>POWER(POWER(F2*E2,2)+POWER(H2*G2,2),0.5)</f>
        <v>1.1689068722470016E-3</v>
      </c>
      <c r="J2" s="21">
        <f t="shared" ref="J2:J7" si="3">I2/D2*100</f>
        <v>0.11695908435005106</v>
      </c>
      <c r="K2" s="21" t="str">
        <f t="shared" ref="K2:K7" si="4" xml:space="preserve"> D2 &amp; " ± " &amp; (ROUNDUP(I2, 3))</f>
        <v>0,999415204678363 ± 0,002</v>
      </c>
    </row>
    <row r="3" spans="1:11" x14ac:dyDescent="0.25">
      <c r="A3" s="16">
        <f>A2+1</f>
        <v>2</v>
      </c>
      <c r="B3" s="24">
        <f>T0_12!B4</f>
        <v>0</v>
      </c>
      <c r="C3" s="21">
        <f>Tв_3!B4</f>
        <v>0</v>
      </c>
      <c r="D3" s="22" t="e">
        <f t="shared" si="0"/>
        <v>#DIV/0!</v>
      </c>
      <c r="E3" s="21">
        <f>T0_12!I4</f>
        <v>0</v>
      </c>
      <c r="F3" s="22" t="e">
        <f t="shared" si="1"/>
        <v>#DIV/0!</v>
      </c>
      <c r="G3" s="21">
        <f>Tв_3!I4</f>
        <v>0</v>
      </c>
      <c r="H3" s="22" t="e">
        <f t="shared" si="2"/>
        <v>#DIV/0!</v>
      </c>
      <c r="I3" s="22" t="e">
        <f t="shared" ref="I3:I7" si="5">POWER(POWER(F3*E3,2)+POWER(H3*G3,2),0.5)</f>
        <v>#DIV/0!</v>
      </c>
      <c r="J3" s="22" t="e">
        <f t="shared" si="3"/>
        <v>#DIV/0!</v>
      </c>
      <c r="K3" s="22" t="e">
        <f t="shared" si="4"/>
        <v>#DIV/0!</v>
      </c>
    </row>
    <row r="4" spans="1:11" x14ac:dyDescent="0.25">
      <c r="A4" s="16">
        <f t="shared" ref="A4:A67" si="6">A3+1</f>
        <v>3</v>
      </c>
      <c r="B4" s="24">
        <f>T0_12!B5</f>
        <v>0</v>
      </c>
      <c r="C4" s="21">
        <f>Tв_3!B5</f>
        <v>0</v>
      </c>
      <c r="D4" s="22" t="e">
        <f t="shared" si="0"/>
        <v>#DIV/0!</v>
      </c>
      <c r="E4" s="21">
        <f>T0_12!I5</f>
        <v>0</v>
      </c>
      <c r="F4" s="22" t="e">
        <f t="shared" si="1"/>
        <v>#DIV/0!</v>
      </c>
      <c r="G4" s="21">
        <f>Tв_3!I5</f>
        <v>0</v>
      </c>
      <c r="H4" s="22" t="e">
        <f t="shared" si="2"/>
        <v>#DIV/0!</v>
      </c>
      <c r="I4" s="22" t="e">
        <f t="shared" si="5"/>
        <v>#DIV/0!</v>
      </c>
      <c r="J4" s="22" t="e">
        <f t="shared" si="3"/>
        <v>#DIV/0!</v>
      </c>
      <c r="K4" s="22" t="e">
        <f t="shared" si="4"/>
        <v>#DIV/0!</v>
      </c>
    </row>
    <row r="5" spans="1:11" x14ac:dyDescent="0.25">
      <c r="A5" s="16">
        <f t="shared" si="6"/>
        <v>4</v>
      </c>
      <c r="B5" s="24">
        <f>T0_12!B6</f>
        <v>0</v>
      </c>
      <c r="C5" s="21">
        <f>Tв_3!B6</f>
        <v>0</v>
      </c>
      <c r="D5" s="22" t="e">
        <f t="shared" si="0"/>
        <v>#DIV/0!</v>
      </c>
      <c r="E5" s="21">
        <f>T0_12!I6</f>
        <v>0</v>
      </c>
      <c r="F5" s="22" t="e">
        <f t="shared" si="1"/>
        <v>#DIV/0!</v>
      </c>
      <c r="G5" s="21">
        <f>Tв_3!I6</f>
        <v>0</v>
      </c>
      <c r="H5" s="22" t="e">
        <f t="shared" si="2"/>
        <v>#DIV/0!</v>
      </c>
      <c r="I5" s="22" t="e">
        <f t="shared" si="5"/>
        <v>#DIV/0!</v>
      </c>
      <c r="J5" s="22" t="e">
        <f t="shared" si="3"/>
        <v>#DIV/0!</v>
      </c>
      <c r="K5" s="22" t="e">
        <f t="shared" si="4"/>
        <v>#DIV/0!</v>
      </c>
    </row>
    <row r="6" spans="1:11" x14ac:dyDescent="0.25">
      <c r="A6" s="16">
        <f t="shared" si="6"/>
        <v>5</v>
      </c>
      <c r="B6" s="24">
        <f>T0_12!B7</f>
        <v>0</v>
      </c>
      <c r="C6" s="21">
        <f>Tв_3!B7</f>
        <v>0</v>
      </c>
      <c r="D6" s="22" t="e">
        <f t="shared" si="0"/>
        <v>#DIV/0!</v>
      </c>
      <c r="E6" s="21">
        <f>T0_12!I7</f>
        <v>0</v>
      </c>
      <c r="F6" s="22" t="e">
        <f t="shared" si="1"/>
        <v>#DIV/0!</v>
      </c>
      <c r="G6" s="21">
        <f>Tв_3!I7</f>
        <v>0</v>
      </c>
      <c r="H6" s="22" t="e">
        <f t="shared" si="2"/>
        <v>#DIV/0!</v>
      </c>
      <c r="I6" s="22" t="e">
        <f t="shared" si="5"/>
        <v>#DIV/0!</v>
      </c>
      <c r="J6" s="22" t="e">
        <f t="shared" si="3"/>
        <v>#DIV/0!</v>
      </c>
      <c r="K6" s="22" t="e">
        <f t="shared" si="4"/>
        <v>#DIV/0!</v>
      </c>
    </row>
    <row r="7" spans="1:11" x14ac:dyDescent="0.25">
      <c r="A7" s="17">
        <f t="shared" si="6"/>
        <v>6</v>
      </c>
      <c r="B7" s="24">
        <f>T0_12!B8</f>
        <v>3412</v>
      </c>
      <c r="C7" s="21">
        <f>Tв_3!B8</f>
        <v>8</v>
      </c>
      <c r="D7" s="22">
        <f t="shared" si="0"/>
        <v>0.99766081871345025</v>
      </c>
      <c r="E7" s="21">
        <f>T0_12!I8</f>
        <v>11.11693334047442</v>
      </c>
      <c r="F7" s="22">
        <f t="shared" si="1"/>
        <v>6.8397113641804321E-7</v>
      </c>
      <c r="G7" s="21">
        <f>Tв_3!I8</f>
        <v>11.11693334047442</v>
      </c>
      <c r="H7" s="22">
        <f t="shared" si="2"/>
        <v>-2.9171368968229541E-4</v>
      </c>
      <c r="I7" s="22">
        <f t="shared" si="5"/>
        <v>3.2429705567125636E-3</v>
      </c>
      <c r="J7" s="22">
        <f t="shared" si="3"/>
        <v>0.32505742391433085</v>
      </c>
      <c r="K7" s="22" t="str">
        <f t="shared" si="4"/>
        <v>0,99766081871345 ± 0,004</v>
      </c>
    </row>
    <row r="8" spans="1:11" x14ac:dyDescent="0.25">
      <c r="A8" s="16">
        <f t="shared" si="6"/>
        <v>7</v>
      </c>
      <c r="B8" s="24">
        <f>T0_12!B9</f>
        <v>0</v>
      </c>
      <c r="C8" s="21">
        <f>Tв_3!B9</f>
        <v>0</v>
      </c>
      <c r="D8" s="22" t="e">
        <f t="shared" ref="D8:D71" si="7">B8/(B8+C8)</f>
        <v>#DIV/0!</v>
      </c>
      <c r="E8" s="21">
        <f>T0_12!I9</f>
        <v>0</v>
      </c>
      <c r="F8" s="22" t="e">
        <f t="shared" ref="F8:F71" si="8">C8/POWER(B8+C8,2)</f>
        <v>#DIV/0!</v>
      </c>
      <c r="G8" s="21">
        <f>Tв_3!I9</f>
        <v>0</v>
      </c>
      <c r="H8" s="22" t="e">
        <f t="shared" ref="H8:H71" si="9">-B8/POWER(B8+C8,2)</f>
        <v>#DIV/0!</v>
      </c>
      <c r="I8" s="22" t="e">
        <f t="shared" ref="I8:I71" si="10">POWER(POWER(F8*E8,2)+POWER(H8*G8,2),0.5)</f>
        <v>#DIV/0!</v>
      </c>
      <c r="J8" s="22" t="e">
        <f t="shared" ref="J8:J71" si="11">I8/D8*100</f>
        <v>#DIV/0!</v>
      </c>
      <c r="K8" s="22" t="e">
        <f t="shared" ref="K8:K71" si="12" xml:space="preserve"> D8 &amp; " ± " &amp; (ROUNDUP(I8, 3))</f>
        <v>#DIV/0!</v>
      </c>
    </row>
    <row r="9" spans="1:11" x14ac:dyDescent="0.25">
      <c r="A9" s="16">
        <f t="shared" si="6"/>
        <v>8</v>
      </c>
      <c r="B9" s="24">
        <f>T0_12!B10</f>
        <v>0</v>
      </c>
      <c r="C9" s="21">
        <f>Tв_3!B10</f>
        <v>0</v>
      </c>
      <c r="D9" s="22" t="e">
        <f t="shared" si="7"/>
        <v>#DIV/0!</v>
      </c>
      <c r="E9" s="21">
        <f>T0_12!I10</f>
        <v>0</v>
      </c>
      <c r="F9" s="22" t="e">
        <f t="shared" si="8"/>
        <v>#DIV/0!</v>
      </c>
      <c r="G9" s="21">
        <f>Tв_3!I10</f>
        <v>0</v>
      </c>
      <c r="H9" s="22" t="e">
        <f t="shared" si="9"/>
        <v>#DIV/0!</v>
      </c>
      <c r="I9" s="22" t="e">
        <f t="shared" si="10"/>
        <v>#DIV/0!</v>
      </c>
      <c r="J9" s="22" t="e">
        <f t="shared" si="11"/>
        <v>#DIV/0!</v>
      </c>
      <c r="K9" s="22" t="e">
        <f t="shared" si="12"/>
        <v>#DIV/0!</v>
      </c>
    </row>
    <row r="10" spans="1:11" x14ac:dyDescent="0.25">
      <c r="A10" s="16">
        <f t="shared" si="6"/>
        <v>9</v>
      </c>
      <c r="B10" s="24">
        <f>T0_12!B11</f>
        <v>0</v>
      </c>
      <c r="C10" s="21">
        <f>Tв_3!B11</f>
        <v>0</v>
      </c>
      <c r="D10" s="22" t="e">
        <f t="shared" si="7"/>
        <v>#DIV/0!</v>
      </c>
      <c r="E10" s="21">
        <f>T0_12!I11</f>
        <v>0</v>
      </c>
      <c r="F10" s="22" t="e">
        <f t="shared" si="8"/>
        <v>#DIV/0!</v>
      </c>
      <c r="G10" s="21">
        <f>Tв_3!I11</f>
        <v>0</v>
      </c>
      <c r="H10" s="22" t="e">
        <f t="shared" si="9"/>
        <v>#DIV/0!</v>
      </c>
      <c r="I10" s="22" t="e">
        <f t="shared" si="10"/>
        <v>#DIV/0!</v>
      </c>
      <c r="J10" s="22" t="e">
        <f t="shared" si="11"/>
        <v>#DIV/0!</v>
      </c>
      <c r="K10" s="22" t="e">
        <f t="shared" si="12"/>
        <v>#DIV/0!</v>
      </c>
    </row>
    <row r="11" spans="1:11" x14ac:dyDescent="0.25">
      <c r="A11" s="16">
        <f t="shared" si="6"/>
        <v>10</v>
      </c>
      <c r="B11" s="24">
        <f>T0_12!B12</f>
        <v>0</v>
      </c>
      <c r="C11" s="21">
        <f>Tв_3!B12</f>
        <v>0</v>
      </c>
      <c r="D11" s="22" t="e">
        <f t="shared" si="7"/>
        <v>#DIV/0!</v>
      </c>
      <c r="E11" s="21">
        <f>T0_12!I12</f>
        <v>0</v>
      </c>
      <c r="F11" s="22" t="e">
        <f t="shared" si="8"/>
        <v>#DIV/0!</v>
      </c>
      <c r="G11" s="21">
        <f>Tв_3!I12</f>
        <v>0</v>
      </c>
      <c r="H11" s="22" t="e">
        <f t="shared" si="9"/>
        <v>#DIV/0!</v>
      </c>
      <c r="I11" s="22" t="e">
        <f t="shared" si="10"/>
        <v>#DIV/0!</v>
      </c>
      <c r="J11" s="22" t="e">
        <f t="shared" si="11"/>
        <v>#DIV/0!</v>
      </c>
      <c r="K11" s="22" t="e">
        <f t="shared" si="12"/>
        <v>#DIV/0!</v>
      </c>
    </row>
    <row r="12" spans="1:11" x14ac:dyDescent="0.25">
      <c r="A12" s="17">
        <f t="shared" si="6"/>
        <v>11</v>
      </c>
      <c r="B12" s="24">
        <f>T0_12!B13</f>
        <v>3416</v>
      </c>
      <c r="C12" s="21">
        <f>Tв_3!B13</f>
        <v>4</v>
      </c>
      <c r="D12" s="22">
        <f t="shared" si="7"/>
        <v>0.99883040935672518</v>
      </c>
      <c r="E12" s="21">
        <f>T0_12!I13</f>
        <v>8</v>
      </c>
      <c r="F12" s="22">
        <f t="shared" si="8"/>
        <v>3.419855682090216E-7</v>
      </c>
      <c r="G12" s="21">
        <f>Tв_3!I13</f>
        <v>8</v>
      </c>
      <c r="H12" s="22">
        <f t="shared" si="9"/>
        <v>-2.9205567525050443E-4</v>
      </c>
      <c r="I12" s="22">
        <f t="shared" si="10"/>
        <v>2.3364470038094265E-3</v>
      </c>
      <c r="J12" s="22">
        <f t="shared" si="11"/>
        <v>0.23391828902307488</v>
      </c>
      <c r="K12" s="22" t="str">
        <f t="shared" si="12"/>
        <v>0,998830409356725 ± 0,003</v>
      </c>
    </row>
    <row r="13" spans="1:11" x14ac:dyDescent="0.25">
      <c r="A13" s="16">
        <f t="shared" si="6"/>
        <v>12</v>
      </c>
      <c r="B13" s="24">
        <f>T0_12!B14</f>
        <v>0</v>
      </c>
      <c r="C13" s="21">
        <f>Tв_3!B14</f>
        <v>0</v>
      </c>
      <c r="D13" s="22" t="e">
        <f t="shared" si="7"/>
        <v>#DIV/0!</v>
      </c>
      <c r="E13" s="21">
        <f>T0_12!I14</f>
        <v>0</v>
      </c>
      <c r="F13" s="22" t="e">
        <f t="shared" si="8"/>
        <v>#DIV/0!</v>
      </c>
      <c r="G13" s="21">
        <f>Tв_3!I14</f>
        <v>0</v>
      </c>
      <c r="H13" s="22" t="e">
        <f t="shared" si="9"/>
        <v>#DIV/0!</v>
      </c>
      <c r="I13" s="22" t="e">
        <f t="shared" si="10"/>
        <v>#DIV/0!</v>
      </c>
      <c r="J13" s="22" t="e">
        <f t="shared" si="11"/>
        <v>#DIV/0!</v>
      </c>
      <c r="K13" s="22" t="e">
        <f t="shared" si="12"/>
        <v>#DIV/0!</v>
      </c>
    </row>
    <row r="14" spans="1:11" x14ac:dyDescent="0.25">
      <c r="A14" s="16">
        <f t="shared" si="6"/>
        <v>13</v>
      </c>
      <c r="B14" s="24">
        <f>T0_12!B15</f>
        <v>0</v>
      </c>
      <c r="C14" s="21">
        <f>Tв_3!B15</f>
        <v>0</v>
      </c>
      <c r="D14" s="22" t="e">
        <f t="shared" si="7"/>
        <v>#DIV/0!</v>
      </c>
      <c r="E14" s="21">
        <f>T0_12!I15</f>
        <v>0</v>
      </c>
      <c r="F14" s="22" t="e">
        <f t="shared" si="8"/>
        <v>#DIV/0!</v>
      </c>
      <c r="G14" s="21">
        <f>Tв_3!I15</f>
        <v>0</v>
      </c>
      <c r="H14" s="22" t="e">
        <f t="shared" si="9"/>
        <v>#DIV/0!</v>
      </c>
      <c r="I14" s="22" t="e">
        <f t="shared" si="10"/>
        <v>#DIV/0!</v>
      </c>
      <c r="J14" s="22" t="e">
        <f t="shared" si="11"/>
        <v>#DIV/0!</v>
      </c>
      <c r="K14" s="22" t="e">
        <f t="shared" si="12"/>
        <v>#DIV/0!</v>
      </c>
    </row>
    <row r="15" spans="1:11" x14ac:dyDescent="0.25">
      <c r="A15" s="16">
        <f t="shared" si="6"/>
        <v>14</v>
      </c>
      <c r="B15" s="24">
        <f>T0_12!B16</f>
        <v>0</v>
      </c>
      <c r="C15" s="21">
        <f>Tв_3!B16</f>
        <v>0</v>
      </c>
      <c r="D15" s="22" t="e">
        <f t="shared" si="7"/>
        <v>#DIV/0!</v>
      </c>
      <c r="E15" s="21">
        <f>T0_12!I16</f>
        <v>0</v>
      </c>
      <c r="F15" s="22" t="e">
        <f t="shared" si="8"/>
        <v>#DIV/0!</v>
      </c>
      <c r="G15" s="21">
        <f>Tв_3!I16</f>
        <v>0</v>
      </c>
      <c r="H15" s="22" t="e">
        <f t="shared" si="9"/>
        <v>#DIV/0!</v>
      </c>
      <c r="I15" s="22" t="e">
        <f t="shared" si="10"/>
        <v>#DIV/0!</v>
      </c>
      <c r="J15" s="22" t="e">
        <f t="shared" si="11"/>
        <v>#DIV/0!</v>
      </c>
      <c r="K15" s="22" t="e">
        <f t="shared" si="12"/>
        <v>#DIV/0!</v>
      </c>
    </row>
    <row r="16" spans="1:11" x14ac:dyDescent="0.25">
      <c r="A16" s="16">
        <f t="shared" si="6"/>
        <v>15</v>
      </c>
      <c r="B16" s="24">
        <f>T0_12!B17</f>
        <v>0</v>
      </c>
      <c r="C16" s="21">
        <f>Tв_3!B17</f>
        <v>0</v>
      </c>
      <c r="D16" s="22" t="e">
        <f t="shared" si="7"/>
        <v>#DIV/0!</v>
      </c>
      <c r="E16" s="21">
        <f>T0_12!I17</f>
        <v>0</v>
      </c>
      <c r="F16" s="22" t="e">
        <f t="shared" si="8"/>
        <v>#DIV/0!</v>
      </c>
      <c r="G16" s="21">
        <f>Tв_3!I17</f>
        <v>0</v>
      </c>
      <c r="H16" s="22" t="e">
        <f t="shared" si="9"/>
        <v>#DIV/0!</v>
      </c>
      <c r="I16" s="22" t="e">
        <f t="shared" si="10"/>
        <v>#DIV/0!</v>
      </c>
      <c r="J16" s="22" t="e">
        <f t="shared" si="11"/>
        <v>#DIV/0!</v>
      </c>
      <c r="K16" s="22" t="e">
        <f t="shared" si="12"/>
        <v>#DIV/0!</v>
      </c>
    </row>
    <row r="17" spans="1:11" x14ac:dyDescent="0.25">
      <c r="A17" s="17">
        <f t="shared" si="6"/>
        <v>16</v>
      </c>
      <c r="B17" s="24">
        <f>T0_12!B18</f>
        <v>3380</v>
      </c>
      <c r="C17" s="21">
        <f>Tв_3!B18</f>
        <v>40</v>
      </c>
      <c r="D17" s="22">
        <f t="shared" si="7"/>
        <v>0.98830409356725146</v>
      </c>
      <c r="E17" s="21">
        <f>T0_12!I18</f>
        <v>18.495106528950878</v>
      </c>
      <c r="F17" s="22">
        <f t="shared" si="8"/>
        <v>3.4198556820902158E-6</v>
      </c>
      <c r="G17" s="21">
        <f>Tв_3!I18</f>
        <v>18.495106528950878</v>
      </c>
      <c r="H17" s="22">
        <f t="shared" si="9"/>
        <v>-2.8897780513662322E-4</v>
      </c>
      <c r="I17" s="22">
        <f t="shared" si="10"/>
        <v>5.3450495412778031E-3</v>
      </c>
      <c r="J17" s="22">
        <f t="shared" si="11"/>
        <v>0.54083045654349371</v>
      </c>
      <c r="K17" s="22" t="str">
        <f t="shared" si="12"/>
        <v>0,988304093567251 ± 0,006</v>
      </c>
    </row>
    <row r="18" spans="1:11" x14ac:dyDescent="0.25">
      <c r="A18" s="16">
        <f t="shared" si="6"/>
        <v>17</v>
      </c>
      <c r="B18" s="24">
        <f>T0_12!B19</f>
        <v>0</v>
      </c>
      <c r="C18" s="21">
        <f>Tв_3!B19</f>
        <v>0</v>
      </c>
      <c r="D18" s="22" t="e">
        <f t="shared" si="7"/>
        <v>#DIV/0!</v>
      </c>
      <c r="E18" s="21">
        <f>T0_12!I19</f>
        <v>0</v>
      </c>
      <c r="F18" s="22" t="e">
        <f t="shared" si="8"/>
        <v>#DIV/0!</v>
      </c>
      <c r="G18" s="21">
        <f>Tв_3!I19</f>
        <v>0</v>
      </c>
      <c r="H18" s="22" t="e">
        <f t="shared" si="9"/>
        <v>#DIV/0!</v>
      </c>
      <c r="I18" s="22" t="e">
        <f t="shared" si="10"/>
        <v>#DIV/0!</v>
      </c>
      <c r="J18" s="22" t="e">
        <f t="shared" si="11"/>
        <v>#DIV/0!</v>
      </c>
      <c r="K18" s="22" t="e">
        <f t="shared" si="12"/>
        <v>#DIV/0!</v>
      </c>
    </row>
    <row r="19" spans="1:11" x14ac:dyDescent="0.25">
      <c r="A19" s="16">
        <f t="shared" si="6"/>
        <v>18</v>
      </c>
      <c r="B19" s="24">
        <f>T0_12!B20</f>
        <v>0</v>
      </c>
      <c r="C19" s="21">
        <f>Tв_3!B20</f>
        <v>0</v>
      </c>
      <c r="D19" s="22" t="e">
        <f t="shared" si="7"/>
        <v>#DIV/0!</v>
      </c>
      <c r="E19" s="21">
        <f>T0_12!I20</f>
        <v>0</v>
      </c>
      <c r="F19" s="22" t="e">
        <f t="shared" si="8"/>
        <v>#DIV/0!</v>
      </c>
      <c r="G19" s="21">
        <f>Tв_3!I20</f>
        <v>0</v>
      </c>
      <c r="H19" s="22" t="e">
        <f t="shared" si="9"/>
        <v>#DIV/0!</v>
      </c>
      <c r="I19" s="22" t="e">
        <f t="shared" si="10"/>
        <v>#DIV/0!</v>
      </c>
      <c r="J19" s="22" t="e">
        <f t="shared" si="11"/>
        <v>#DIV/0!</v>
      </c>
      <c r="K19" s="22" t="e">
        <f t="shared" si="12"/>
        <v>#DIV/0!</v>
      </c>
    </row>
    <row r="20" spans="1:11" x14ac:dyDescent="0.25">
      <c r="A20" s="16">
        <f t="shared" si="6"/>
        <v>19</v>
      </c>
      <c r="B20" s="24">
        <f>T0_12!B21</f>
        <v>0</v>
      </c>
      <c r="C20" s="21">
        <f>Tв_3!B21</f>
        <v>0</v>
      </c>
      <c r="D20" s="22" t="e">
        <f t="shared" si="7"/>
        <v>#DIV/0!</v>
      </c>
      <c r="E20" s="21">
        <f>T0_12!I21</f>
        <v>0</v>
      </c>
      <c r="F20" s="22" t="e">
        <f t="shared" si="8"/>
        <v>#DIV/0!</v>
      </c>
      <c r="G20" s="21">
        <f>Tв_3!I21</f>
        <v>0</v>
      </c>
      <c r="H20" s="22" t="e">
        <f t="shared" si="9"/>
        <v>#DIV/0!</v>
      </c>
      <c r="I20" s="22" t="e">
        <f t="shared" si="10"/>
        <v>#DIV/0!</v>
      </c>
      <c r="J20" s="22" t="e">
        <f t="shared" si="11"/>
        <v>#DIV/0!</v>
      </c>
      <c r="K20" s="22" t="e">
        <f t="shared" si="12"/>
        <v>#DIV/0!</v>
      </c>
    </row>
    <row r="21" spans="1:11" x14ac:dyDescent="0.25">
      <c r="A21" s="16">
        <f t="shared" si="6"/>
        <v>20</v>
      </c>
      <c r="B21" s="24">
        <f>T0_12!B22</f>
        <v>0</v>
      </c>
      <c r="C21" s="21">
        <f>Tв_3!B22</f>
        <v>0</v>
      </c>
      <c r="D21" s="22" t="e">
        <f t="shared" si="7"/>
        <v>#DIV/0!</v>
      </c>
      <c r="E21" s="21">
        <f>T0_12!I22</f>
        <v>0</v>
      </c>
      <c r="F21" s="22" t="e">
        <f t="shared" si="8"/>
        <v>#DIV/0!</v>
      </c>
      <c r="G21" s="21">
        <f>Tв_3!I22</f>
        <v>0</v>
      </c>
      <c r="H21" s="22" t="e">
        <f t="shared" si="9"/>
        <v>#DIV/0!</v>
      </c>
      <c r="I21" s="22" t="e">
        <f t="shared" si="10"/>
        <v>#DIV/0!</v>
      </c>
      <c r="J21" s="22" t="e">
        <f t="shared" si="11"/>
        <v>#DIV/0!</v>
      </c>
      <c r="K21" s="22" t="e">
        <f t="shared" si="12"/>
        <v>#DIV/0!</v>
      </c>
    </row>
    <row r="22" spans="1:11" x14ac:dyDescent="0.25">
      <c r="A22" s="17">
        <f t="shared" si="6"/>
        <v>21</v>
      </c>
      <c r="B22" s="24">
        <f>T0_12!B23</f>
        <v>3406</v>
      </c>
      <c r="C22" s="21">
        <f>Tв_3!B23</f>
        <v>14</v>
      </c>
      <c r="D22" s="22">
        <f t="shared" si="7"/>
        <v>0.99590643274853796</v>
      </c>
      <c r="E22" s="21">
        <f>T0_12!I23</f>
        <v>11.042238653586447</v>
      </c>
      <c r="F22" s="22">
        <f t="shared" si="8"/>
        <v>1.1969494887315755E-6</v>
      </c>
      <c r="G22" s="21">
        <f>Tв_3!I23</f>
        <v>11.042238653586447</v>
      </c>
      <c r="H22" s="22">
        <f t="shared" si="9"/>
        <v>-2.9120071132998187E-4</v>
      </c>
      <c r="I22" s="22">
        <f t="shared" si="10"/>
        <v>3.2155349140239264E-3</v>
      </c>
      <c r="J22" s="22">
        <f t="shared" si="11"/>
        <v>0.3228752027587149</v>
      </c>
      <c r="K22" s="22" t="str">
        <f t="shared" si="12"/>
        <v>0,995906432748538 ± 0,004</v>
      </c>
    </row>
    <row r="23" spans="1:11" x14ac:dyDescent="0.25">
      <c r="A23" s="3">
        <f t="shared" si="6"/>
        <v>22</v>
      </c>
      <c r="B23" s="24">
        <f>T0_12!B24</f>
        <v>0</v>
      </c>
      <c r="C23" s="21">
        <f>Tв_3!B24</f>
        <v>0</v>
      </c>
      <c r="D23" s="22" t="e">
        <f t="shared" si="7"/>
        <v>#DIV/0!</v>
      </c>
      <c r="E23" s="21">
        <f>T0_12!I24</f>
        <v>0</v>
      </c>
      <c r="F23" s="22" t="e">
        <f t="shared" si="8"/>
        <v>#DIV/0!</v>
      </c>
      <c r="G23" s="21">
        <f>Tв_3!I24</f>
        <v>0</v>
      </c>
      <c r="H23" s="22" t="e">
        <f t="shared" si="9"/>
        <v>#DIV/0!</v>
      </c>
      <c r="I23" s="22" t="e">
        <f t="shared" si="10"/>
        <v>#DIV/0!</v>
      </c>
      <c r="J23" s="22" t="e">
        <f t="shared" si="11"/>
        <v>#DIV/0!</v>
      </c>
      <c r="K23" s="22" t="e">
        <f t="shared" si="12"/>
        <v>#DIV/0!</v>
      </c>
    </row>
    <row r="24" spans="1:11" x14ac:dyDescent="0.25">
      <c r="A24" s="3">
        <f t="shared" si="6"/>
        <v>23</v>
      </c>
      <c r="B24" s="24">
        <f>T0_12!B25</f>
        <v>0</v>
      </c>
      <c r="C24" s="21">
        <f>Tв_3!B25</f>
        <v>0</v>
      </c>
      <c r="D24" s="22" t="e">
        <f t="shared" si="7"/>
        <v>#DIV/0!</v>
      </c>
      <c r="E24" s="21">
        <f>T0_12!I25</f>
        <v>0</v>
      </c>
      <c r="F24" s="22" t="e">
        <f t="shared" si="8"/>
        <v>#DIV/0!</v>
      </c>
      <c r="G24" s="21">
        <f>Tв_3!I25</f>
        <v>0</v>
      </c>
      <c r="H24" s="22" t="e">
        <f t="shared" si="9"/>
        <v>#DIV/0!</v>
      </c>
      <c r="I24" s="22" t="e">
        <f t="shared" si="10"/>
        <v>#DIV/0!</v>
      </c>
      <c r="J24" s="22" t="e">
        <f t="shared" si="11"/>
        <v>#DIV/0!</v>
      </c>
      <c r="K24" s="22" t="e">
        <f t="shared" si="12"/>
        <v>#DIV/0!</v>
      </c>
    </row>
    <row r="25" spans="1:11" x14ac:dyDescent="0.25">
      <c r="A25" s="3">
        <f t="shared" si="6"/>
        <v>24</v>
      </c>
      <c r="B25" s="24">
        <f>T0_12!B26</f>
        <v>0</v>
      </c>
      <c r="C25" s="21">
        <f>Tв_3!B26</f>
        <v>0</v>
      </c>
      <c r="D25" s="22" t="e">
        <f t="shared" si="7"/>
        <v>#DIV/0!</v>
      </c>
      <c r="E25" s="21">
        <f>T0_12!I26</f>
        <v>0</v>
      </c>
      <c r="F25" s="22" t="e">
        <f t="shared" si="8"/>
        <v>#DIV/0!</v>
      </c>
      <c r="G25" s="21">
        <f>Tв_3!I26</f>
        <v>0</v>
      </c>
      <c r="H25" s="22" t="e">
        <f t="shared" si="9"/>
        <v>#DIV/0!</v>
      </c>
      <c r="I25" s="22" t="e">
        <f t="shared" si="10"/>
        <v>#DIV/0!</v>
      </c>
      <c r="J25" s="22" t="e">
        <f t="shared" si="11"/>
        <v>#DIV/0!</v>
      </c>
      <c r="K25" s="22" t="e">
        <f t="shared" si="12"/>
        <v>#DIV/0!</v>
      </c>
    </row>
    <row r="26" spans="1:11" x14ac:dyDescent="0.25">
      <c r="A26" s="3">
        <f t="shared" si="6"/>
        <v>25</v>
      </c>
      <c r="B26" s="24">
        <f>T0_12!B27</f>
        <v>0</v>
      </c>
      <c r="C26" s="21">
        <f>Tв_3!B27</f>
        <v>0</v>
      </c>
      <c r="D26" s="22" t="e">
        <f t="shared" si="7"/>
        <v>#DIV/0!</v>
      </c>
      <c r="E26" s="21">
        <f>T0_12!I27</f>
        <v>0</v>
      </c>
      <c r="F26" s="22" t="e">
        <f t="shared" si="8"/>
        <v>#DIV/0!</v>
      </c>
      <c r="G26" s="21">
        <f>Tв_3!I27</f>
        <v>0</v>
      </c>
      <c r="H26" s="22" t="e">
        <f t="shared" si="9"/>
        <v>#DIV/0!</v>
      </c>
      <c r="I26" s="22" t="e">
        <f t="shared" si="10"/>
        <v>#DIV/0!</v>
      </c>
      <c r="J26" s="22" t="e">
        <f t="shared" si="11"/>
        <v>#DIV/0!</v>
      </c>
      <c r="K26" s="22" t="e">
        <f t="shared" si="12"/>
        <v>#DIV/0!</v>
      </c>
    </row>
    <row r="27" spans="1:11" x14ac:dyDescent="0.25">
      <c r="A27" s="17">
        <f t="shared" si="6"/>
        <v>26</v>
      </c>
      <c r="B27" s="24">
        <f>T0_12!B28</f>
        <v>3214</v>
      </c>
      <c r="C27" s="21">
        <f>Tв_3!B28</f>
        <v>206</v>
      </c>
      <c r="D27" s="22">
        <f t="shared" si="7"/>
        <v>0.93976608187134503</v>
      </c>
      <c r="E27" s="21">
        <f>T0_12!I28</f>
        <v>62.149985435679483</v>
      </c>
      <c r="F27" s="22">
        <f t="shared" si="8"/>
        <v>1.7612256762764611E-5</v>
      </c>
      <c r="G27" s="21">
        <f>Tв_3!I28</f>
        <v>62.149985435679483</v>
      </c>
      <c r="H27" s="22">
        <f t="shared" si="9"/>
        <v>-2.7478540405594885E-4</v>
      </c>
      <c r="I27" s="22">
        <f t="shared" si="10"/>
        <v>1.7112951921793049E-2</v>
      </c>
      <c r="J27" s="22">
        <f t="shared" si="11"/>
        <v>1.8209799493631682</v>
      </c>
      <c r="K27" s="22" t="str">
        <f t="shared" si="12"/>
        <v>0,939766081871345 ± 0,018</v>
      </c>
    </row>
    <row r="28" spans="1:11" x14ac:dyDescent="0.25">
      <c r="A28" s="3">
        <f t="shared" si="6"/>
        <v>27</v>
      </c>
      <c r="B28" s="24">
        <f>T0_12!B29</f>
        <v>0</v>
      </c>
      <c r="C28" s="21">
        <f>Tв_3!B29</f>
        <v>0</v>
      </c>
      <c r="D28" s="22" t="e">
        <f t="shared" si="7"/>
        <v>#DIV/0!</v>
      </c>
      <c r="E28" s="21">
        <f>T0_12!I29</f>
        <v>0</v>
      </c>
      <c r="F28" s="22" t="e">
        <f t="shared" si="8"/>
        <v>#DIV/0!</v>
      </c>
      <c r="G28" s="21">
        <f>Tв_3!I29</f>
        <v>0</v>
      </c>
      <c r="H28" s="22" t="e">
        <f t="shared" si="9"/>
        <v>#DIV/0!</v>
      </c>
      <c r="I28" s="22" t="e">
        <f t="shared" si="10"/>
        <v>#DIV/0!</v>
      </c>
      <c r="J28" s="22" t="e">
        <f t="shared" si="11"/>
        <v>#DIV/0!</v>
      </c>
      <c r="K28" s="22" t="e">
        <f t="shared" si="12"/>
        <v>#DIV/0!</v>
      </c>
    </row>
    <row r="29" spans="1:11" x14ac:dyDescent="0.25">
      <c r="A29" s="3">
        <f t="shared" si="6"/>
        <v>28</v>
      </c>
      <c r="B29" s="24">
        <f>T0_12!B30</f>
        <v>0</v>
      </c>
      <c r="C29" s="21">
        <f>Tв_3!B30</f>
        <v>0</v>
      </c>
      <c r="D29" s="22" t="e">
        <f t="shared" si="7"/>
        <v>#DIV/0!</v>
      </c>
      <c r="E29" s="21">
        <f>T0_12!I30</f>
        <v>0</v>
      </c>
      <c r="F29" s="22" t="e">
        <f t="shared" si="8"/>
        <v>#DIV/0!</v>
      </c>
      <c r="G29" s="21">
        <f>Tв_3!I30</f>
        <v>0</v>
      </c>
      <c r="H29" s="22" t="e">
        <f t="shared" si="9"/>
        <v>#DIV/0!</v>
      </c>
      <c r="I29" s="22" t="e">
        <f t="shared" si="10"/>
        <v>#DIV/0!</v>
      </c>
      <c r="J29" s="22" t="e">
        <f t="shared" si="11"/>
        <v>#DIV/0!</v>
      </c>
      <c r="K29" s="22" t="e">
        <f t="shared" si="12"/>
        <v>#DIV/0!</v>
      </c>
    </row>
    <row r="30" spans="1:11" x14ac:dyDescent="0.25">
      <c r="A30" s="3">
        <f t="shared" si="6"/>
        <v>29</v>
      </c>
      <c r="B30" s="24">
        <f>T0_12!B31</f>
        <v>0</v>
      </c>
      <c r="C30" s="21">
        <f>Tв_3!B31</f>
        <v>0</v>
      </c>
      <c r="D30" s="22" t="e">
        <f t="shared" si="7"/>
        <v>#DIV/0!</v>
      </c>
      <c r="E30" s="21">
        <f>T0_12!I31</f>
        <v>0</v>
      </c>
      <c r="F30" s="22" t="e">
        <f t="shared" si="8"/>
        <v>#DIV/0!</v>
      </c>
      <c r="G30" s="21">
        <f>Tв_3!I31</f>
        <v>0</v>
      </c>
      <c r="H30" s="22" t="e">
        <f t="shared" si="9"/>
        <v>#DIV/0!</v>
      </c>
      <c r="I30" s="22" t="e">
        <f t="shared" si="10"/>
        <v>#DIV/0!</v>
      </c>
      <c r="J30" s="22" t="e">
        <f t="shared" si="11"/>
        <v>#DIV/0!</v>
      </c>
      <c r="K30" s="22" t="e">
        <f t="shared" si="12"/>
        <v>#DIV/0!</v>
      </c>
    </row>
    <row r="31" spans="1:11" x14ac:dyDescent="0.25">
      <c r="A31" s="3">
        <f t="shared" si="6"/>
        <v>30</v>
      </c>
      <c r="B31" s="24">
        <f>T0_12!B32</f>
        <v>0</v>
      </c>
      <c r="C31" s="21">
        <f>Tв_3!B32</f>
        <v>0</v>
      </c>
      <c r="D31" s="22" t="e">
        <f t="shared" si="7"/>
        <v>#DIV/0!</v>
      </c>
      <c r="E31" s="21">
        <f>T0_12!I32</f>
        <v>0</v>
      </c>
      <c r="F31" s="22" t="e">
        <f t="shared" si="8"/>
        <v>#DIV/0!</v>
      </c>
      <c r="G31" s="21">
        <f>Tв_3!I32</f>
        <v>0</v>
      </c>
      <c r="H31" s="22" t="e">
        <f t="shared" si="9"/>
        <v>#DIV/0!</v>
      </c>
      <c r="I31" s="22" t="e">
        <f t="shared" si="10"/>
        <v>#DIV/0!</v>
      </c>
      <c r="J31" s="22" t="e">
        <f t="shared" si="11"/>
        <v>#DIV/0!</v>
      </c>
      <c r="K31" s="22" t="e">
        <f t="shared" si="12"/>
        <v>#DIV/0!</v>
      </c>
    </row>
    <row r="32" spans="1:11" x14ac:dyDescent="0.25">
      <c r="A32" s="17">
        <f t="shared" si="6"/>
        <v>31</v>
      </c>
      <c r="B32" s="24">
        <f>T0_12!B33</f>
        <v>3390</v>
      </c>
      <c r="C32" s="21">
        <f>Tв_3!B33</f>
        <v>30</v>
      </c>
      <c r="D32" s="22">
        <f t="shared" si="7"/>
        <v>0.99122807017543857</v>
      </c>
      <c r="E32" s="21">
        <f>T0_12!I33</f>
        <v>17.019258867935264</v>
      </c>
      <c r="F32" s="22">
        <f t="shared" si="8"/>
        <v>2.5648917615676619E-6</v>
      </c>
      <c r="G32" s="21">
        <f>Tв_3!I33</f>
        <v>17.019258867935264</v>
      </c>
      <c r="H32" s="22">
        <f t="shared" si="9"/>
        <v>-2.8983276905714578E-4</v>
      </c>
      <c r="I32" s="22">
        <f t="shared" si="10"/>
        <v>4.9329320741189854E-3</v>
      </c>
      <c r="J32" s="22">
        <f t="shared" si="11"/>
        <v>0.49765863402616312</v>
      </c>
      <c r="K32" s="22" t="str">
        <f t="shared" si="12"/>
        <v>0,991228070175439 ± 0,005</v>
      </c>
    </row>
    <row r="33" spans="1:11" x14ac:dyDescent="0.25">
      <c r="A33" s="3">
        <f t="shared" si="6"/>
        <v>32</v>
      </c>
      <c r="B33" s="24">
        <f>T0_12!B34</f>
        <v>0</v>
      </c>
      <c r="C33" s="21">
        <f>Tв_3!B34</f>
        <v>0</v>
      </c>
      <c r="D33" s="22" t="e">
        <f t="shared" si="7"/>
        <v>#DIV/0!</v>
      </c>
      <c r="E33" s="21">
        <f>T0_12!I34</f>
        <v>0</v>
      </c>
      <c r="F33" s="22" t="e">
        <f t="shared" si="8"/>
        <v>#DIV/0!</v>
      </c>
      <c r="G33" s="21">
        <f>Tв_3!I34</f>
        <v>0</v>
      </c>
      <c r="H33" s="22" t="e">
        <f t="shared" si="9"/>
        <v>#DIV/0!</v>
      </c>
      <c r="I33" s="22" t="e">
        <f t="shared" si="10"/>
        <v>#DIV/0!</v>
      </c>
      <c r="J33" s="22" t="e">
        <f t="shared" si="11"/>
        <v>#DIV/0!</v>
      </c>
      <c r="K33" s="22" t="e">
        <f t="shared" si="12"/>
        <v>#DIV/0!</v>
      </c>
    </row>
    <row r="34" spans="1:11" x14ac:dyDescent="0.25">
      <c r="A34" s="3">
        <f t="shared" si="6"/>
        <v>33</v>
      </c>
      <c r="B34" s="24">
        <f>T0_12!B35</f>
        <v>0</v>
      </c>
      <c r="C34" s="21">
        <f>Tв_3!B35</f>
        <v>0</v>
      </c>
      <c r="D34" s="22" t="e">
        <f t="shared" si="7"/>
        <v>#DIV/0!</v>
      </c>
      <c r="E34" s="21">
        <f>T0_12!I35</f>
        <v>0</v>
      </c>
      <c r="F34" s="22" t="e">
        <f t="shared" si="8"/>
        <v>#DIV/0!</v>
      </c>
      <c r="G34" s="21">
        <f>Tв_3!I35</f>
        <v>0</v>
      </c>
      <c r="H34" s="22" t="e">
        <f t="shared" si="9"/>
        <v>#DIV/0!</v>
      </c>
      <c r="I34" s="22" t="e">
        <f t="shared" si="10"/>
        <v>#DIV/0!</v>
      </c>
      <c r="J34" s="22" t="e">
        <f t="shared" si="11"/>
        <v>#DIV/0!</v>
      </c>
      <c r="K34" s="22" t="e">
        <f t="shared" si="12"/>
        <v>#DIV/0!</v>
      </c>
    </row>
    <row r="35" spans="1:11" x14ac:dyDescent="0.25">
      <c r="A35" s="3">
        <f t="shared" si="6"/>
        <v>34</v>
      </c>
      <c r="B35" s="24">
        <f>T0_12!B36</f>
        <v>0</v>
      </c>
      <c r="C35" s="21">
        <f>Tв_3!B36</f>
        <v>0</v>
      </c>
      <c r="D35" s="22" t="e">
        <f t="shared" si="7"/>
        <v>#DIV/0!</v>
      </c>
      <c r="E35" s="21">
        <f>T0_12!I36</f>
        <v>0</v>
      </c>
      <c r="F35" s="22" t="e">
        <f t="shared" si="8"/>
        <v>#DIV/0!</v>
      </c>
      <c r="G35" s="21">
        <f>Tв_3!I36</f>
        <v>0</v>
      </c>
      <c r="H35" s="22" t="e">
        <f t="shared" si="9"/>
        <v>#DIV/0!</v>
      </c>
      <c r="I35" s="22" t="e">
        <f t="shared" si="10"/>
        <v>#DIV/0!</v>
      </c>
      <c r="J35" s="22" t="e">
        <f t="shared" si="11"/>
        <v>#DIV/0!</v>
      </c>
      <c r="K35" s="22" t="e">
        <f t="shared" si="12"/>
        <v>#DIV/0!</v>
      </c>
    </row>
    <row r="36" spans="1:11" x14ac:dyDescent="0.25">
      <c r="A36" s="3">
        <f t="shared" si="6"/>
        <v>35</v>
      </c>
      <c r="B36" s="24">
        <f>T0_12!B37</f>
        <v>0</v>
      </c>
      <c r="C36" s="21">
        <f>Tв_3!B37</f>
        <v>0</v>
      </c>
      <c r="D36" s="22" t="e">
        <f t="shared" si="7"/>
        <v>#DIV/0!</v>
      </c>
      <c r="E36" s="21">
        <f>T0_12!I37</f>
        <v>0</v>
      </c>
      <c r="F36" s="22" t="e">
        <f t="shared" si="8"/>
        <v>#DIV/0!</v>
      </c>
      <c r="G36" s="21">
        <f>Tв_3!I37</f>
        <v>0</v>
      </c>
      <c r="H36" s="22" t="e">
        <f t="shared" si="9"/>
        <v>#DIV/0!</v>
      </c>
      <c r="I36" s="22" t="e">
        <f t="shared" si="10"/>
        <v>#DIV/0!</v>
      </c>
      <c r="J36" s="22" t="e">
        <f t="shared" si="11"/>
        <v>#DIV/0!</v>
      </c>
      <c r="K36" s="22" t="e">
        <f t="shared" si="12"/>
        <v>#DIV/0!</v>
      </c>
    </row>
    <row r="37" spans="1:11" x14ac:dyDescent="0.25">
      <c r="A37" s="17">
        <f t="shared" si="6"/>
        <v>36</v>
      </c>
      <c r="B37" s="24">
        <f>T0_12!B38</f>
        <v>3382</v>
      </c>
      <c r="C37" s="21">
        <f>Tв_3!B38</f>
        <v>38</v>
      </c>
      <c r="D37" s="22">
        <f t="shared" si="7"/>
        <v>0.98888888888888893</v>
      </c>
      <c r="E37" s="21">
        <f>T0_12!I38</f>
        <v>16.757911152852451</v>
      </c>
      <c r="F37" s="22">
        <f t="shared" si="8"/>
        <v>3.2488628979857049E-6</v>
      </c>
      <c r="G37" s="21">
        <f>Tв_3!I38</f>
        <v>16.757911152852451</v>
      </c>
      <c r="H37" s="22">
        <f t="shared" si="9"/>
        <v>-2.8914879792072773E-4</v>
      </c>
      <c r="I37" s="22">
        <f t="shared" si="10"/>
        <v>4.8458357219003847E-3</v>
      </c>
      <c r="J37" s="22">
        <f t="shared" si="11"/>
        <v>0.49002833142812879</v>
      </c>
      <c r="K37" s="22" t="str">
        <f t="shared" si="12"/>
        <v>0,988888888888889 ± 0,005</v>
      </c>
    </row>
    <row r="38" spans="1:11" x14ac:dyDescent="0.25">
      <c r="A38" s="3">
        <f t="shared" si="6"/>
        <v>37</v>
      </c>
      <c r="B38" s="24">
        <f>T0_12!B39</f>
        <v>0</v>
      </c>
      <c r="C38" s="21">
        <f>Tв_3!B39</f>
        <v>0</v>
      </c>
      <c r="D38" s="22" t="e">
        <f t="shared" si="7"/>
        <v>#DIV/0!</v>
      </c>
      <c r="E38" s="21">
        <f>T0_12!I39</f>
        <v>0</v>
      </c>
      <c r="F38" s="22" t="e">
        <f t="shared" si="8"/>
        <v>#DIV/0!</v>
      </c>
      <c r="G38" s="21">
        <f>Tв_3!I39</f>
        <v>0</v>
      </c>
      <c r="H38" s="22" t="e">
        <f t="shared" si="9"/>
        <v>#DIV/0!</v>
      </c>
      <c r="I38" s="22" t="e">
        <f t="shared" si="10"/>
        <v>#DIV/0!</v>
      </c>
      <c r="J38" s="22" t="e">
        <f t="shared" si="11"/>
        <v>#DIV/0!</v>
      </c>
      <c r="K38" s="22" t="e">
        <f t="shared" si="12"/>
        <v>#DIV/0!</v>
      </c>
    </row>
    <row r="39" spans="1:11" x14ac:dyDescent="0.25">
      <c r="A39" s="3">
        <f t="shared" si="6"/>
        <v>38</v>
      </c>
      <c r="B39" s="24">
        <f>T0_12!B40</f>
        <v>0</v>
      </c>
      <c r="C39" s="21">
        <f>Tв_3!B40</f>
        <v>0</v>
      </c>
      <c r="D39" s="22" t="e">
        <f t="shared" si="7"/>
        <v>#DIV/0!</v>
      </c>
      <c r="E39" s="21">
        <f>T0_12!I40</f>
        <v>0</v>
      </c>
      <c r="F39" s="22" t="e">
        <f t="shared" si="8"/>
        <v>#DIV/0!</v>
      </c>
      <c r="G39" s="21">
        <f>Tв_3!I40</f>
        <v>0</v>
      </c>
      <c r="H39" s="22" t="e">
        <f t="shared" si="9"/>
        <v>#DIV/0!</v>
      </c>
      <c r="I39" s="22" t="e">
        <f t="shared" si="10"/>
        <v>#DIV/0!</v>
      </c>
      <c r="J39" s="22" t="e">
        <f t="shared" si="11"/>
        <v>#DIV/0!</v>
      </c>
      <c r="K39" s="22" t="e">
        <f t="shared" si="12"/>
        <v>#DIV/0!</v>
      </c>
    </row>
    <row r="40" spans="1:11" x14ac:dyDescent="0.25">
      <c r="A40" s="3">
        <f t="shared" si="6"/>
        <v>39</v>
      </c>
      <c r="B40" s="24">
        <f>T0_12!B41</f>
        <v>0</v>
      </c>
      <c r="C40" s="21">
        <f>Tв_3!B41</f>
        <v>0</v>
      </c>
      <c r="D40" s="22" t="e">
        <f t="shared" si="7"/>
        <v>#DIV/0!</v>
      </c>
      <c r="E40" s="21">
        <f>T0_12!I41</f>
        <v>0</v>
      </c>
      <c r="F40" s="22" t="e">
        <f t="shared" si="8"/>
        <v>#DIV/0!</v>
      </c>
      <c r="G40" s="21">
        <f>Tв_3!I41</f>
        <v>0</v>
      </c>
      <c r="H40" s="22" t="e">
        <f t="shared" si="9"/>
        <v>#DIV/0!</v>
      </c>
      <c r="I40" s="22" t="e">
        <f t="shared" si="10"/>
        <v>#DIV/0!</v>
      </c>
      <c r="J40" s="22" t="e">
        <f t="shared" si="11"/>
        <v>#DIV/0!</v>
      </c>
      <c r="K40" s="22" t="e">
        <f t="shared" si="12"/>
        <v>#DIV/0!</v>
      </c>
    </row>
    <row r="41" spans="1:11" x14ac:dyDescent="0.25">
      <c r="A41" s="3">
        <f t="shared" si="6"/>
        <v>40</v>
      </c>
      <c r="B41" s="24">
        <f>T0_12!B42</f>
        <v>0</v>
      </c>
      <c r="C41" s="21">
        <f>Tв_3!B42</f>
        <v>0</v>
      </c>
      <c r="D41" s="22" t="e">
        <f t="shared" si="7"/>
        <v>#DIV/0!</v>
      </c>
      <c r="E41" s="21">
        <f>T0_12!I42</f>
        <v>0</v>
      </c>
      <c r="F41" s="22" t="e">
        <f t="shared" si="8"/>
        <v>#DIV/0!</v>
      </c>
      <c r="G41" s="21">
        <f>Tв_3!I42</f>
        <v>0</v>
      </c>
      <c r="H41" s="22" t="e">
        <f t="shared" si="9"/>
        <v>#DIV/0!</v>
      </c>
      <c r="I41" s="22" t="e">
        <f t="shared" si="10"/>
        <v>#DIV/0!</v>
      </c>
      <c r="J41" s="22" t="e">
        <f t="shared" si="11"/>
        <v>#DIV/0!</v>
      </c>
      <c r="K41" s="22" t="e">
        <f t="shared" si="12"/>
        <v>#DIV/0!</v>
      </c>
    </row>
    <row r="42" spans="1:11" x14ac:dyDescent="0.25">
      <c r="A42" s="17">
        <f t="shared" si="6"/>
        <v>41</v>
      </c>
      <c r="B42" s="24">
        <f>T0_12!B43</f>
        <v>3400</v>
      </c>
      <c r="C42" s="21">
        <f>Tв_3!B43</f>
        <v>20</v>
      </c>
      <c r="D42" s="22">
        <f t="shared" si="7"/>
        <v>0.99415204678362568</v>
      </c>
      <c r="E42" s="21">
        <f>T0_12!I43</f>
        <v>10.504514628777804</v>
      </c>
      <c r="F42" s="22">
        <f t="shared" si="8"/>
        <v>1.7099278410451079E-6</v>
      </c>
      <c r="G42" s="21">
        <f>Tв_3!I43</f>
        <v>10.504514628777804</v>
      </c>
      <c r="H42" s="22">
        <f t="shared" si="9"/>
        <v>-2.9068773297766834E-4</v>
      </c>
      <c r="I42" s="22">
        <f t="shared" si="10"/>
        <v>3.0535863723132402E-3</v>
      </c>
      <c r="J42" s="22">
        <f t="shared" si="11"/>
        <v>0.30715486450915536</v>
      </c>
      <c r="K42" s="22" t="str">
        <f t="shared" si="12"/>
        <v>0,994152046783626 ± 0,004</v>
      </c>
    </row>
    <row r="43" spans="1:11" x14ac:dyDescent="0.25">
      <c r="A43" s="16">
        <f t="shared" si="6"/>
        <v>42</v>
      </c>
      <c r="B43" s="24">
        <f>T0_12!B44</f>
        <v>0</v>
      </c>
      <c r="C43" s="21">
        <f>Tв_3!B44</f>
        <v>0</v>
      </c>
      <c r="D43" s="22" t="e">
        <f t="shared" si="7"/>
        <v>#DIV/0!</v>
      </c>
      <c r="E43" s="21">
        <f>T0_12!I44</f>
        <v>0</v>
      </c>
      <c r="F43" s="22" t="e">
        <f t="shared" si="8"/>
        <v>#DIV/0!</v>
      </c>
      <c r="G43" s="21">
        <f>Tв_3!I44</f>
        <v>0</v>
      </c>
      <c r="H43" s="22" t="e">
        <f t="shared" si="9"/>
        <v>#DIV/0!</v>
      </c>
      <c r="I43" s="22" t="e">
        <f t="shared" si="10"/>
        <v>#DIV/0!</v>
      </c>
      <c r="J43" s="22" t="e">
        <f t="shared" si="11"/>
        <v>#DIV/0!</v>
      </c>
      <c r="K43" s="22" t="e">
        <f t="shared" si="12"/>
        <v>#DIV/0!</v>
      </c>
    </row>
    <row r="44" spans="1:11" x14ac:dyDescent="0.25">
      <c r="A44" s="16">
        <f t="shared" si="6"/>
        <v>43</v>
      </c>
      <c r="B44" s="24">
        <f>T0_12!B45</f>
        <v>0</v>
      </c>
      <c r="C44" s="21">
        <f>Tв_3!B45</f>
        <v>0</v>
      </c>
      <c r="D44" s="22" t="e">
        <f t="shared" si="7"/>
        <v>#DIV/0!</v>
      </c>
      <c r="E44" s="21">
        <f>T0_12!I45</f>
        <v>0</v>
      </c>
      <c r="F44" s="22" t="e">
        <f t="shared" si="8"/>
        <v>#DIV/0!</v>
      </c>
      <c r="G44" s="21">
        <f>Tв_3!I45</f>
        <v>0</v>
      </c>
      <c r="H44" s="22" t="e">
        <f t="shared" si="9"/>
        <v>#DIV/0!</v>
      </c>
      <c r="I44" s="22" t="e">
        <f t="shared" si="10"/>
        <v>#DIV/0!</v>
      </c>
      <c r="J44" s="22" t="e">
        <f t="shared" si="11"/>
        <v>#DIV/0!</v>
      </c>
      <c r="K44" s="22" t="e">
        <f t="shared" si="12"/>
        <v>#DIV/0!</v>
      </c>
    </row>
    <row r="45" spans="1:11" x14ac:dyDescent="0.25">
      <c r="A45" s="16">
        <f t="shared" si="6"/>
        <v>44</v>
      </c>
      <c r="B45" s="24">
        <f>T0_12!B46</f>
        <v>0</v>
      </c>
      <c r="C45" s="21">
        <f>Tв_3!B46</f>
        <v>0</v>
      </c>
      <c r="D45" s="22" t="e">
        <f t="shared" si="7"/>
        <v>#DIV/0!</v>
      </c>
      <c r="E45" s="21">
        <f>T0_12!I46</f>
        <v>0</v>
      </c>
      <c r="F45" s="22" t="e">
        <f t="shared" si="8"/>
        <v>#DIV/0!</v>
      </c>
      <c r="G45" s="21">
        <f>Tв_3!I46</f>
        <v>0</v>
      </c>
      <c r="H45" s="22" t="e">
        <f t="shared" si="9"/>
        <v>#DIV/0!</v>
      </c>
      <c r="I45" s="22" t="e">
        <f t="shared" si="10"/>
        <v>#DIV/0!</v>
      </c>
      <c r="J45" s="22" t="e">
        <f t="shared" si="11"/>
        <v>#DIV/0!</v>
      </c>
      <c r="K45" s="22" t="e">
        <f t="shared" si="12"/>
        <v>#DIV/0!</v>
      </c>
    </row>
    <row r="46" spans="1:11" x14ac:dyDescent="0.25">
      <c r="A46" s="16">
        <f t="shared" si="6"/>
        <v>45</v>
      </c>
      <c r="B46" s="24">
        <f>T0_12!B47</f>
        <v>0</v>
      </c>
      <c r="C46" s="21">
        <f>Tв_3!B47</f>
        <v>0</v>
      </c>
      <c r="D46" s="22" t="e">
        <f t="shared" si="7"/>
        <v>#DIV/0!</v>
      </c>
      <c r="E46" s="21">
        <f>T0_12!I47</f>
        <v>0</v>
      </c>
      <c r="F46" s="22" t="e">
        <f t="shared" si="8"/>
        <v>#DIV/0!</v>
      </c>
      <c r="G46" s="21">
        <f>Tв_3!I47</f>
        <v>0</v>
      </c>
      <c r="H46" s="22" t="e">
        <f t="shared" si="9"/>
        <v>#DIV/0!</v>
      </c>
      <c r="I46" s="22" t="e">
        <f t="shared" si="10"/>
        <v>#DIV/0!</v>
      </c>
      <c r="J46" s="22" t="e">
        <f t="shared" si="11"/>
        <v>#DIV/0!</v>
      </c>
      <c r="K46" s="22" t="e">
        <f t="shared" si="12"/>
        <v>#DIV/0!</v>
      </c>
    </row>
    <row r="47" spans="1:11" x14ac:dyDescent="0.25">
      <c r="A47" s="17">
        <f t="shared" si="6"/>
        <v>46</v>
      </c>
      <c r="B47" s="24">
        <f>T0_12!B48</f>
        <v>3396</v>
      </c>
      <c r="C47" s="21">
        <f>Tв_3!B48</f>
        <v>24</v>
      </c>
      <c r="D47" s="22">
        <f t="shared" si="7"/>
        <v>0.99298245614035086</v>
      </c>
      <c r="E47" s="21">
        <f>T0_12!I48</f>
        <v>14.781162289234555</v>
      </c>
      <c r="F47" s="22">
        <f t="shared" si="8"/>
        <v>2.0519134092541294E-6</v>
      </c>
      <c r="G47" s="21">
        <f>Tв_3!I48</f>
        <v>14.781162289234555</v>
      </c>
      <c r="H47" s="22">
        <f t="shared" si="9"/>
        <v>-2.9034574740945931E-4</v>
      </c>
      <c r="I47" s="22">
        <f t="shared" si="10"/>
        <v>4.2917547830716978E-3</v>
      </c>
      <c r="J47" s="22">
        <f t="shared" si="11"/>
        <v>0.43220852055669046</v>
      </c>
      <c r="K47" s="22" t="str">
        <f t="shared" si="12"/>
        <v>0,992982456140351 ± 0,005</v>
      </c>
    </row>
    <row r="48" spans="1:11" x14ac:dyDescent="0.25">
      <c r="A48" s="16">
        <f t="shared" si="6"/>
        <v>47</v>
      </c>
      <c r="B48" s="24">
        <f>T0_12!B49</f>
        <v>0</v>
      </c>
      <c r="C48" s="21">
        <f>Tв_3!B49</f>
        <v>0</v>
      </c>
      <c r="D48" s="22" t="e">
        <f t="shared" si="7"/>
        <v>#DIV/0!</v>
      </c>
      <c r="E48" s="21">
        <f>T0_12!I49</f>
        <v>0</v>
      </c>
      <c r="F48" s="22" t="e">
        <f t="shared" si="8"/>
        <v>#DIV/0!</v>
      </c>
      <c r="G48" s="21">
        <f>Tв_3!I49</f>
        <v>0</v>
      </c>
      <c r="H48" s="22" t="e">
        <f t="shared" si="9"/>
        <v>#DIV/0!</v>
      </c>
      <c r="I48" s="22" t="e">
        <f t="shared" si="10"/>
        <v>#DIV/0!</v>
      </c>
      <c r="J48" s="22" t="e">
        <f t="shared" si="11"/>
        <v>#DIV/0!</v>
      </c>
      <c r="K48" s="22" t="e">
        <f t="shared" si="12"/>
        <v>#DIV/0!</v>
      </c>
    </row>
    <row r="49" spans="1:11" x14ac:dyDescent="0.25">
      <c r="A49" s="3">
        <f t="shared" si="6"/>
        <v>48</v>
      </c>
      <c r="B49" s="24">
        <f>T0_12!B50</f>
        <v>0</v>
      </c>
      <c r="C49" s="21">
        <f>Tв_3!B50</f>
        <v>0</v>
      </c>
      <c r="D49" s="22" t="e">
        <f t="shared" si="7"/>
        <v>#DIV/0!</v>
      </c>
      <c r="E49" s="21">
        <f>T0_12!I50</f>
        <v>0</v>
      </c>
      <c r="F49" s="22" t="e">
        <f t="shared" si="8"/>
        <v>#DIV/0!</v>
      </c>
      <c r="G49" s="21">
        <f>Tв_3!I50</f>
        <v>0</v>
      </c>
      <c r="H49" s="22" t="e">
        <f t="shared" si="9"/>
        <v>#DIV/0!</v>
      </c>
      <c r="I49" s="22" t="e">
        <f t="shared" si="10"/>
        <v>#DIV/0!</v>
      </c>
      <c r="J49" s="22" t="e">
        <f t="shared" si="11"/>
        <v>#DIV/0!</v>
      </c>
      <c r="K49" s="22" t="e">
        <f t="shared" si="12"/>
        <v>#DIV/0!</v>
      </c>
    </row>
    <row r="50" spans="1:11" x14ac:dyDescent="0.25">
      <c r="A50" s="3">
        <f t="shared" si="6"/>
        <v>49</v>
      </c>
      <c r="B50" s="24">
        <f>T0_12!B51</f>
        <v>0</v>
      </c>
      <c r="C50" s="21">
        <f>Tв_3!B51</f>
        <v>0</v>
      </c>
      <c r="D50" s="22" t="e">
        <f t="shared" si="7"/>
        <v>#DIV/0!</v>
      </c>
      <c r="E50" s="21">
        <f>T0_12!I51</f>
        <v>0</v>
      </c>
      <c r="F50" s="22" t="e">
        <f t="shared" si="8"/>
        <v>#DIV/0!</v>
      </c>
      <c r="G50" s="21">
        <f>Tв_3!I51</f>
        <v>0</v>
      </c>
      <c r="H50" s="22" t="e">
        <f t="shared" si="9"/>
        <v>#DIV/0!</v>
      </c>
      <c r="I50" s="22" t="e">
        <f t="shared" si="10"/>
        <v>#DIV/0!</v>
      </c>
      <c r="J50" s="22" t="e">
        <f t="shared" si="11"/>
        <v>#DIV/0!</v>
      </c>
      <c r="K50" s="22" t="e">
        <f t="shared" si="12"/>
        <v>#DIV/0!</v>
      </c>
    </row>
    <row r="51" spans="1:11" x14ac:dyDescent="0.25">
      <c r="A51" s="3">
        <f t="shared" si="6"/>
        <v>50</v>
      </c>
      <c r="B51" s="24">
        <f>T0_12!B52</f>
        <v>0</v>
      </c>
      <c r="C51" s="21">
        <f>Tв_3!B52</f>
        <v>0</v>
      </c>
      <c r="D51" s="22" t="e">
        <f t="shared" si="7"/>
        <v>#DIV/0!</v>
      </c>
      <c r="E51" s="21">
        <f>T0_12!I52</f>
        <v>0</v>
      </c>
      <c r="F51" s="22" t="e">
        <f t="shared" si="8"/>
        <v>#DIV/0!</v>
      </c>
      <c r="G51" s="21">
        <f>Tв_3!I52</f>
        <v>0</v>
      </c>
      <c r="H51" s="22" t="e">
        <f t="shared" si="9"/>
        <v>#DIV/0!</v>
      </c>
      <c r="I51" s="22" t="e">
        <f t="shared" si="10"/>
        <v>#DIV/0!</v>
      </c>
      <c r="J51" s="22" t="e">
        <f t="shared" si="11"/>
        <v>#DIV/0!</v>
      </c>
      <c r="K51" s="22" t="e">
        <f t="shared" si="12"/>
        <v>#DIV/0!</v>
      </c>
    </row>
    <row r="52" spans="1:11" x14ac:dyDescent="0.25">
      <c r="A52" s="17">
        <f t="shared" si="6"/>
        <v>51</v>
      </c>
      <c r="B52" s="24">
        <f>T0_12!B53</f>
        <v>3380</v>
      </c>
      <c r="C52" s="21">
        <f>Tв_3!B53</f>
        <v>40</v>
      </c>
      <c r="D52" s="22">
        <f t="shared" si="7"/>
        <v>0.98830409356725146</v>
      </c>
      <c r="E52" s="21">
        <f>T0_12!I53</f>
        <v>18.495106528950878</v>
      </c>
      <c r="F52" s="22">
        <f t="shared" si="8"/>
        <v>3.4198556820902158E-6</v>
      </c>
      <c r="G52" s="21">
        <f>Tв_3!I53</f>
        <v>18.495106528950878</v>
      </c>
      <c r="H52" s="22">
        <f t="shared" si="9"/>
        <v>-2.8897780513662322E-4</v>
      </c>
      <c r="I52" s="22">
        <f t="shared" si="10"/>
        <v>5.3450495412778031E-3</v>
      </c>
      <c r="J52" s="22">
        <f t="shared" si="11"/>
        <v>0.54083045654349371</v>
      </c>
      <c r="K52" s="22" t="str">
        <f t="shared" si="12"/>
        <v>0,988304093567251 ± 0,006</v>
      </c>
    </row>
    <row r="53" spans="1:11" x14ac:dyDescent="0.25">
      <c r="A53" s="17">
        <f t="shared" si="6"/>
        <v>52</v>
      </c>
      <c r="B53" s="24">
        <f>T0_12!B54</f>
        <v>3352</v>
      </c>
      <c r="C53" s="21">
        <f>Tв_3!B54</f>
        <v>68</v>
      </c>
      <c r="D53" s="22">
        <f t="shared" si="7"/>
        <v>0.9801169590643275</v>
      </c>
      <c r="E53" s="21">
        <f>T0_12!I54</f>
        <v>21.313208898784303</v>
      </c>
      <c r="F53" s="22">
        <f t="shared" si="8"/>
        <v>5.8137546595533667E-6</v>
      </c>
      <c r="G53" s="21">
        <f>Tв_3!I54</f>
        <v>21.321835982278177</v>
      </c>
      <c r="H53" s="22">
        <f t="shared" si="9"/>
        <v>-2.8658390615916011E-4</v>
      </c>
      <c r="I53" s="22">
        <f t="shared" si="10"/>
        <v>6.1117512459439574E-3</v>
      </c>
      <c r="J53" s="22">
        <f t="shared" si="11"/>
        <v>0.62357366530812453</v>
      </c>
      <c r="K53" s="22" t="str">
        <f t="shared" si="12"/>
        <v>0,980116959064327 ± 0,007</v>
      </c>
    </row>
    <row r="54" spans="1:11" x14ac:dyDescent="0.25">
      <c r="A54" s="3">
        <f t="shared" si="6"/>
        <v>53</v>
      </c>
      <c r="B54" s="24">
        <f>T0_12!B55</f>
        <v>0</v>
      </c>
      <c r="C54" s="21">
        <f>Tв_3!B55</f>
        <v>0</v>
      </c>
      <c r="D54" s="22" t="e">
        <f t="shared" si="7"/>
        <v>#DIV/0!</v>
      </c>
      <c r="E54" s="21">
        <f>T0_12!I55</f>
        <v>0</v>
      </c>
      <c r="F54" s="22" t="e">
        <f t="shared" si="8"/>
        <v>#DIV/0!</v>
      </c>
      <c r="G54" s="21">
        <f>Tв_3!I55</f>
        <v>0</v>
      </c>
      <c r="H54" s="22" t="e">
        <f t="shared" si="9"/>
        <v>#DIV/0!</v>
      </c>
      <c r="I54" s="22" t="e">
        <f t="shared" si="10"/>
        <v>#DIV/0!</v>
      </c>
      <c r="J54" s="22" t="e">
        <f t="shared" si="11"/>
        <v>#DIV/0!</v>
      </c>
      <c r="K54" s="22" t="e">
        <f t="shared" si="12"/>
        <v>#DIV/0!</v>
      </c>
    </row>
    <row r="55" spans="1:11" x14ac:dyDescent="0.25">
      <c r="A55" s="3">
        <f t="shared" si="6"/>
        <v>54</v>
      </c>
      <c r="B55" s="24">
        <f>T0_12!B56</f>
        <v>0</v>
      </c>
      <c r="C55" s="21">
        <f>Tв_3!B56</f>
        <v>0</v>
      </c>
      <c r="D55" s="22" t="e">
        <f t="shared" si="7"/>
        <v>#DIV/0!</v>
      </c>
      <c r="E55" s="21">
        <f>T0_12!I56</f>
        <v>0</v>
      </c>
      <c r="F55" s="22" t="e">
        <f t="shared" si="8"/>
        <v>#DIV/0!</v>
      </c>
      <c r="G55" s="21">
        <f>Tв_3!I56</f>
        <v>0</v>
      </c>
      <c r="H55" s="22" t="e">
        <f t="shared" si="9"/>
        <v>#DIV/0!</v>
      </c>
      <c r="I55" s="22" t="e">
        <f t="shared" si="10"/>
        <v>#DIV/0!</v>
      </c>
      <c r="J55" s="22" t="e">
        <f t="shared" si="11"/>
        <v>#DIV/0!</v>
      </c>
      <c r="K55" s="22" t="e">
        <f t="shared" si="12"/>
        <v>#DIV/0!</v>
      </c>
    </row>
    <row r="56" spans="1:11" x14ac:dyDescent="0.25">
      <c r="A56" s="3">
        <f t="shared" si="6"/>
        <v>55</v>
      </c>
      <c r="B56" s="24">
        <f>T0_12!B57</f>
        <v>0</v>
      </c>
      <c r="C56" s="21">
        <f>Tв_3!B57</f>
        <v>0</v>
      </c>
      <c r="D56" s="22" t="e">
        <f t="shared" si="7"/>
        <v>#DIV/0!</v>
      </c>
      <c r="E56" s="21">
        <f>T0_12!I57</f>
        <v>0</v>
      </c>
      <c r="F56" s="22" t="e">
        <f t="shared" si="8"/>
        <v>#DIV/0!</v>
      </c>
      <c r="G56" s="21">
        <f>Tв_3!I57</f>
        <v>0</v>
      </c>
      <c r="H56" s="22" t="e">
        <f t="shared" si="9"/>
        <v>#DIV/0!</v>
      </c>
      <c r="I56" s="22" t="e">
        <f t="shared" si="10"/>
        <v>#DIV/0!</v>
      </c>
      <c r="J56" s="22" t="e">
        <f t="shared" si="11"/>
        <v>#DIV/0!</v>
      </c>
      <c r="K56" s="22" t="e">
        <f t="shared" si="12"/>
        <v>#DIV/0!</v>
      </c>
    </row>
    <row r="57" spans="1:11" x14ac:dyDescent="0.25">
      <c r="A57" s="17">
        <f t="shared" si="6"/>
        <v>56</v>
      </c>
      <c r="B57" s="24">
        <f>T0_12!B58</f>
        <v>3374</v>
      </c>
      <c r="C57" s="21">
        <f>Tв_3!B58</f>
        <v>46</v>
      </c>
      <c r="D57" s="22">
        <f t="shared" si="7"/>
        <v>0.98654970760233918</v>
      </c>
      <c r="E57" s="21">
        <f>T0_12!I58</f>
        <v>22.046971799257179</v>
      </c>
      <c r="F57" s="22">
        <f t="shared" si="8"/>
        <v>3.9328340344037479E-6</v>
      </c>
      <c r="G57" s="21">
        <f>Tв_3!I58</f>
        <v>22.046971799257179</v>
      </c>
      <c r="H57" s="22">
        <f t="shared" si="9"/>
        <v>-2.8846482678430968E-4</v>
      </c>
      <c r="I57" s="22">
        <f t="shared" si="10"/>
        <v>6.3603669415590487E-3</v>
      </c>
      <c r="J57" s="22">
        <f t="shared" si="11"/>
        <v>0.64470820806555862</v>
      </c>
      <c r="K57" s="22" t="str">
        <f t="shared" si="12"/>
        <v>0,986549707602339 ± 0,007</v>
      </c>
    </row>
    <row r="58" spans="1:11" x14ac:dyDescent="0.25">
      <c r="A58" s="17">
        <f t="shared" si="6"/>
        <v>57</v>
      </c>
      <c r="B58" s="24">
        <f>T0_12!B59</f>
        <v>3358</v>
      </c>
      <c r="C58" s="21">
        <f>Tв_3!B59</f>
        <v>62</v>
      </c>
      <c r="D58" s="22">
        <f t="shared" si="7"/>
        <v>0.98187134502923978</v>
      </c>
      <c r="E58" s="21">
        <f>T0_12!I59</f>
        <v>27.281419722385518</v>
      </c>
      <c r="F58" s="22">
        <f t="shared" si="8"/>
        <v>5.3007763072398347E-6</v>
      </c>
      <c r="G58" s="21">
        <f>Tв_3!I59</f>
        <v>27.281419722385518</v>
      </c>
      <c r="H58" s="22">
        <f t="shared" si="9"/>
        <v>-2.8709688451147359E-4</v>
      </c>
      <c r="I58" s="22">
        <f t="shared" si="10"/>
        <v>7.8337455125904766E-3</v>
      </c>
      <c r="J58" s="22">
        <f t="shared" si="11"/>
        <v>0.79783828627336006</v>
      </c>
      <c r="K58" s="22" t="str">
        <f t="shared" si="12"/>
        <v>0,98187134502924 ± 0,008</v>
      </c>
    </row>
    <row r="59" spans="1:11" x14ac:dyDescent="0.25">
      <c r="A59" s="3">
        <f t="shared" si="6"/>
        <v>58</v>
      </c>
      <c r="B59" s="24">
        <f>T0_12!B60</f>
        <v>0</v>
      </c>
      <c r="C59" s="21">
        <f>Tв_3!B60</f>
        <v>0</v>
      </c>
      <c r="D59" s="22" t="e">
        <f t="shared" si="7"/>
        <v>#DIV/0!</v>
      </c>
      <c r="E59" s="21">
        <f>T0_12!I60</f>
        <v>0</v>
      </c>
      <c r="F59" s="22" t="e">
        <f t="shared" si="8"/>
        <v>#DIV/0!</v>
      </c>
      <c r="G59" s="21">
        <f>Tв_3!I60</f>
        <v>0</v>
      </c>
      <c r="H59" s="22" t="e">
        <f t="shared" si="9"/>
        <v>#DIV/0!</v>
      </c>
      <c r="I59" s="22" t="e">
        <f t="shared" si="10"/>
        <v>#DIV/0!</v>
      </c>
      <c r="J59" s="22" t="e">
        <f t="shared" si="11"/>
        <v>#DIV/0!</v>
      </c>
      <c r="K59" s="22" t="e">
        <f t="shared" si="12"/>
        <v>#DIV/0!</v>
      </c>
    </row>
    <row r="60" spans="1:11" x14ac:dyDescent="0.25">
      <c r="A60" s="3">
        <f t="shared" si="6"/>
        <v>59</v>
      </c>
      <c r="B60" s="24">
        <f>T0_12!B61</f>
        <v>0</v>
      </c>
      <c r="C60" s="21">
        <f>Tв_3!B61</f>
        <v>0</v>
      </c>
      <c r="D60" s="22" t="e">
        <f t="shared" si="7"/>
        <v>#DIV/0!</v>
      </c>
      <c r="E60" s="21">
        <f>T0_12!I61</f>
        <v>0</v>
      </c>
      <c r="F60" s="22" t="e">
        <f t="shared" si="8"/>
        <v>#DIV/0!</v>
      </c>
      <c r="G60" s="21">
        <f>Tв_3!I61</f>
        <v>0</v>
      </c>
      <c r="H60" s="22" t="e">
        <f t="shared" si="9"/>
        <v>#DIV/0!</v>
      </c>
      <c r="I60" s="22" t="e">
        <f t="shared" si="10"/>
        <v>#DIV/0!</v>
      </c>
      <c r="J60" s="22" t="e">
        <f t="shared" si="11"/>
        <v>#DIV/0!</v>
      </c>
      <c r="K60" s="22" t="e">
        <f t="shared" si="12"/>
        <v>#DIV/0!</v>
      </c>
    </row>
    <row r="61" spans="1:11" x14ac:dyDescent="0.25">
      <c r="A61" s="3">
        <f t="shared" si="6"/>
        <v>60</v>
      </c>
      <c r="B61" s="24">
        <f>T0_12!B62</f>
        <v>0</v>
      </c>
      <c r="C61" s="21">
        <f>Tв_3!B62</f>
        <v>0</v>
      </c>
      <c r="D61" s="22" t="e">
        <f t="shared" si="7"/>
        <v>#DIV/0!</v>
      </c>
      <c r="E61" s="21">
        <f>T0_12!I62</f>
        <v>0</v>
      </c>
      <c r="F61" s="22" t="e">
        <f t="shared" si="8"/>
        <v>#DIV/0!</v>
      </c>
      <c r="G61" s="21">
        <f>Tв_3!I62</f>
        <v>0</v>
      </c>
      <c r="H61" s="22" t="e">
        <f t="shared" si="9"/>
        <v>#DIV/0!</v>
      </c>
      <c r="I61" s="22" t="e">
        <f t="shared" si="10"/>
        <v>#DIV/0!</v>
      </c>
      <c r="J61" s="22" t="e">
        <f t="shared" si="11"/>
        <v>#DIV/0!</v>
      </c>
      <c r="K61" s="22" t="e">
        <f t="shared" si="12"/>
        <v>#DIV/0!</v>
      </c>
    </row>
    <row r="62" spans="1:11" x14ac:dyDescent="0.25">
      <c r="A62" s="18">
        <f t="shared" si="6"/>
        <v>61</v>
      </c>
      <c r="B62" s="24">
        <f>T0_12!B63</f>
        <v>3398</v>
      </c>
      <c r="C62" s="21">
        <f>Tв_3!B63</f>
        <v>22</v>
      </c>
      <c r="D62" s="22">
        <f t="shared" si="7"/>
        <v>0.99356725146198832</v>
      </c>
      <c r="E62" s="21">
        <f>T0_12!I63</f>
        <v>14.649938213356819</v>
      </c>
      <c r="F62" s="22">
        <f t="shared" si="8"/>
        <v>1.8809206251496187E-6</v>
      </c>
      <c r="G62" s="21">
        <f>Tв_3!I63</f>
        <v>14.649938213356819</v>
      </c>
      <c r="H62" s="22">
        <f t="shared" si="9"/>
        <v>-2.9051674019356383E-4</v>
      </c>
      <c r="I62" s="22">
        <f t="shared" si="10"/>
        <v>4.2561414950481793E-3</v>
      </c>
      <c r="J62" s="22">
        <f t="shared" si="11"/>
        <v>0.42836974435152364</v>
      </c>
      <c r="K62" s="22" t="str">
        <f t="shared" si="12"/>
        <v>0,993567251461988 ± 0,005</v>
      </c>
    </row>
    <row r="63" spans="1:11" x14ac:dyDescent="0.25">
      <c r="A63" s="16">
        <f t="shared" si="6"/>
        <v>62</v>
      </c>
      <c r="B63" s="24">
        <f>T0_12!B64</f>
        <v>0</v>
      </c>
      <c r="C63" s="21">
        <f>Tв_3!B64</f>
        <v>0</v>
      </c>
      <c r="D63" s="22" t="e">
        <f t="shared" si="7"/>
        <v>#DIV/0!</v>
      </c>
      <c r="E63" s="21">
        <f>T0_12!I64</f>
        <v>0</v>
      </c>
      <c r="F63" s="22" t="e">
        <f t="shared" si="8"/>
        <v>#DIV/0!</v>
      </c>
      <c r="G63" s="21">
        <f>Tв_3!I64</f>
        <v>0</v>
      </c>
      <c r="H63" s="22" t="e">
        <f t="shared" si="9"/>
        <v>#DIV/0!</v>
      </c>
      <c r="I63" s="22" t="e">
        <f t="shared" si="10"/>
        <v>#DIV/0!</v>
      </c>
      <c r="J63" s="22" t="e">
        <f t="shared" si="11"/>
        <v>#DIV/0!</v>
      </c>
      <c r="K63" s="22" t="e">
        <f t="shared" si="12"/>
        <v>#DIV/0!</v>
      </c>
    </row>
    <row r="64" spans="1:11" x14ac:dyDescent="0.25">
      <c r="A64" s="16">
        <f t="shared" si="6"/>
        <v>63</v>
      </c>
      <c r="B64" s="24">
        <f>T0_12!B65</f>
        <v>0</v>
      </c>
      <c r="C64" s="21">
        <f>Tв_3!B65</f>
        <v>0</v>
      </c>
      <c r="D64" s="22" t="e">
        <f t="shared" si="7"/>
        <v>#DIV/0!</v>
      </c>
      <c r="E64" s="21">
        <f>T0_12!I65</f>
        <v>0</v>
      </c>
      <c r="F64" s="22" t="e">
        <f t="shared" si="8"/>
        <v>#DIV/0!</v>
      </c>
      <c r="G64" s="21">
        <f>Tв_3!I65</f>
        <v>0</v>
      </c>
      <c r="H64" s="22" t="e">
        <f t="shared" si="9"/>
        <v>#DIV/0!</v>
      </c>
      <c r="I64" s="22" t="e">
        <f t="shared" si="10"/>
        <v>#DIV/0!</v>
      </c>
      <c r="J64" s="22" t="e">
        <f t="shared" si="11"/>
        <v>#DIV/0!</v>
      </c>
      <c r="K64" s="22" t="e">
        <f t="shared" si="12"/>
        <v>#DIV/0!</v>
      </c>
    </row>
    <row r="65" spans="1:11" x14ac:dyDescent="0.25">
      <c r="A65" s="16">
        <f t="shared" si="6"/>
        <v>64</v>
      </c>
      <c r="B65" s="24">
        <f>T0_12!B66</f>
        <v>0</v>
      </c>
      <c r="C65" s="21">
        <f>Tв_3!B66</f>
        <v>0</v>
      </c>
      <c r="D65" s="22" t="e">
        <f t="shared" si="7"/>
        <v>#DIV/0!</v>
      </c>
      <c r="E65" s="21">
        <f>T0_12!I66</f>
        <v>0</v>
      </c>
      <c r="F65" s="22" t="e">
        <f t="shared" si="8"/>
        <v>#DIV/0!</v>
      </c>
      <c r="G65" s="21">
        <f>Tв_3!I66</f>
        <v>0</v>
      </c>
      <c r="H65" s="22" t="e">
        <f t="shared" si="9"/>
        <v>#DIV/0!</v>
      </c>
      <c r="I65" s="22" t="e">
        <f t="shared" si="10"/>
        <v>#DIV/0!</v>
      </c>
      <c r="J65" s="22" t="e">
        <f t="shared" si="11"/>
        <v>#DIV/0!</v>
      </c>
      <c r="K65" s="22" t="e">
        <f t="shared" si="12"/>
        <v>#DIV/0!</v>
      </c>
    </row>
    <row r="66" spans="1:11" x14ac:dyDescent="0.25">
      <c r="A66" s="16">
        <f t="shared" si="6"/>
        <v>65</v>
      </c>
      <c r="B66" s="24">
        <f>T0_12!B67</f>
        <v>0</v>
      </c>
      <c r="C66" s="21">
        <f>Tв_3!B67</f>
        <v>0</v>
      </c>
      <c r="D66" s="22" t="e">
        <f t="shared" si="7"/>
        <v>#DIV/0!</v>
      </c>
      <c r="E66" s="21">
        <f>T0_12!I67</f>
        <v>0</v>
      </c>
      <c r="F66" s="22" t="e">
        <f t="shared" si="8"/>
        <v>#DIV/0!</v>
      </c>
      <c r="G66" s="21">
        <f>Tв_3!I67</f>
        <v>0</v>
      </c>
      <c r="H66" s="22" t="e">
        <f t="shared" si="9"/>
        <v>#DIV/0!</v>
      </c>
      <c r="I66" s="22" t="e">
        <f t="shared" si="10"/>
        <v>#DIV/0!</v>
      </c>
      <c r="J66" s="22" t="e">
        <f t="shared" si="11"/>
        <v>#DIV/0!</v>
      </c>
      <c r="K66" s="22" t="e">
        <f t="shared" si="12"/>
        <v>#DIV/0!</v>
      </c>
    </row>
    <row r="67" spans="1:11" x14ac:dyDescent="0.25">
      <c r="A67" s="17">
        <f t="shared" si="6"/>
        <v>66</v>
      </c>
      <c r="B67" s="24">
        <f>T0_12!B68</f>
        <v>3360</v>
      </c>
      <c r="C67" s="21">
        <f>Tв_3!B68</f>
        <v>60</v>
      </c>
      <c r="D67" s="22">
        <f t="shared" si="7"/>
        <v>0.98245614035087714</v>
      </c>
      <c r="E67" s="21">
        <f>T0_12!I68</f>
        <v>25.079184939733974</v>
      </c>
      <c r="F67" s="22">
        <f t="shared" si="8"/>
        <v>5.1297835231353237E-6</v>
      </c>
      <c r="G67" s="21">
        <f>Tв_3!I68</f>
        <v>25.079184939733974</v>
      </c>
      <c r="H67" s="22">
        <f t="shared" si="9"/>
        <v>-2.872678772955781E-4</v>
      </c>
      <c r="I67" s="22">
        <f t="shared" si="10"/>
        <v>7.2055927981490931E-3</v>
      </c>
      <c r="J67" s="22">
        <f t="shared" si="11"/>
        <v>0.73342640981160412</v>
      </c>
      <c r="K67" s="22" t="str">
        <f t="shared" si="12"/>
        <v>0,982456140350877 ± 0,008</v>
      </c>
    </row>
    <row r="68" spans="1:11" x14ac:dyDescent="0.25">
      <c r="A68" s="16">
        <f t="shared" ref="A68:A77" si="13">A67+1</f>
        <v>67</v>
      </c>
      <c r="B68" s="24">
        <f>T0_12!B69</f>
        <v>0</v>
      </c>
      <c r="C68" s="21">
        <f>Tв_3!B69</f>
        <v>0</v>
      </c>
      <c r="D68" s="22" t="e">
        <f t="shared" si="7"/>
        <v>#DIV/0!</v>
      </c>
      <c r="E68" s="21">
        <f>T0_12!I69</f>
        <v>0</v>
      </c>
      <c r="F68" s="22" t="e">
        <f t="shared" si="8"/>
        <v>#DIV/0!</v>
      </c>
      <c r="G68" s="21">
        <f>Tв_3!I69</f>
        <v>0</v>
      </c>
      <c r="H68" s="22" t="e">
        <f t="shared" si="9"/>
        <v>#DIV/0!</v>
      </c>
      <c r="I68" s="22" t="e">
        <f t="shared" si="10"/>
        <v>#DIV/0!</v>
      </c>
      <c r="J68" s="22" t="e">
        <f t="shared" si="11"/>
        <v>#DIV/0!</v>
      </c>
      <c r="K68" s="22" t="e">
        <f t="shared" si="12"/>
        <v>#DIV/0!</v>
      </c>
    </row>
    <row r="69" spans="1:11" x14ac:dyDescent="0.25">
      <c r="A69" s="16">
        <f t="shared" si="13"/>
        <v>68</v>
      </c>
      <c r="B69" s="24">
        <f>T0_12!B70</f>
        <v>0</v>
      </c>
      <c r="C69" s="21">
        <f>Tв_3!B70</f>
        <v>0</v>
      </c>
      <c r="D69" s="22" t="e">
        <f t="shared" si="7"/>
        <v>#DIV/0!</v>
      </c>
      <c r="E69" s="21">
        <f>T0_12!I70</f>
        <v>0</v>
      </c>
      <c r="F69" s="22" t="e">
        <f t="shared" si="8"/>
        <v>#DIV/0!</v>
      </c>
      <c r="G69" s="21">
        <f>Tв_3!I70</f>
        <v>0</v>
      </c>
      <c r="H69" s="22" t="e">
        <f t="shared" si="9"/>
        <v>#DIV/0!</v>
      </c>
      <c r="I69" s="22" t="e">
        <f t="shared" si="10"/>
        <v>#DIV/0!</v>
      </c>
      <c r="J69" s="22" t="e">
        <f t="shared" si="11"/>
        <v>#DIV/0!</v>
      </c>
      <c r="K69" s="22" t="e">
        <f t="shared" si="12"/>
        <v>#DIV/0!</v>
      </c>
    </row>
    <row r="70" spans="1:11" x14ac:dyDescent="0.25">
      <c r="A70" s="16">
        <f t="shared" si="13"/>
        <v>69</v>
      </c>
      <c r="B70" s="24">
        <f>T0_12!B71</f>
        <v>0</v>
      </c>
      <c r="C70" s="21">
        <f>Tв_3!B71</f>
        <v>0</v>
      </c>
      <c r="D70" s="22" t="e">
        <f t="shared" si="7"/>
        <v>#DIV/0!</v>
      </c>
      <c r="E70" s="21">
        <f>T0_12!I71</f>
        <v>0</v>
      </c>
      <c r="F70" s="22" t="e">
        <f t="shared" si="8"/>
        <v>#DIV/0!</v>
      </c>
      <c r="G70" s="21">
        <f>Tв_3!I71</f>
        <v>0</v>
      </c>
      <c r="H70" s="22" t="e">
        <f t="shared" si="9"/>
        <v>#DIV/0!</v>
      </c>
      <c r="I70" s="22" t="e">
        <f t="shared" si="10"/>
        <v>#DIV/0!</v>
      </c>
      <c r="J70" s="22" t="e">
        <f t="shared" si="11"/>
        <v>#DIV/0!</v>
      </c>
      <c r="K70" s="22" t="e">
        <f t="shared" si="12"/>
        <v>#DIV/0!</v>
      </c>
    </row>
    <row r="71" spans="1:11" x14ac:dyDescent="0.25">
      <c r="A71" s="16">
        <f t="shared" si="13"/>
        <v>70</v>
      </c>
      <c r="B71" s="24">
        <f>T0_12!B72</f>
        <v>0</v>
      </c>
      <c r="C71" s="21">
        <f>Tв_3!B72</f>
        <v>0</v>
      </c>
      <c r="D71" s="22" t="e">
        <f t="shared" si="7"/>
        <v>#DIV/0!</v>
      </c>
      <c r="E71" s="21">
        <f>T0_12!I72</f>
        <v>0</v>
      </c>
      <c r="F71" s="22" t="e">
        <f t="shared" si="8"/>
        <v>#DIV/0!</v>
      </c>
      <c r="G71" s="21">
        <f>Tв_3!I72</f>
        <v>0</v>
      </c>
      <c r="H71" s="22" t="e">
        <f t="shared" si="9"/>
        <v>#DIV/0!</v>
      </c>
      <c r="I71" s="22" t="e">
        <f t="shared" si="10"/>
        <v>#DIV/0!</v>
      </c>
      <c r="J71" s="22" t="e">
        <f t="shared" si="11"/>
        <v>#DIV/0!</v>
      </c>
      <c r="K71" s="22" t="e">
        <f t="shared" si="12"/>
        <v>#DIV/0!</v>
      </c>
    </row>
    <row r="72" spans="1:11" x14ac:dyDescent="0.25">
      <c r="A72" s="17">
        <f t="shared" si="13"/>
        <v>71</v>
      </c>
      <c r="B72" s="24">
        <f>T0_12!B73</f>
        <v>3374</v>
      </c>
      <c r="C72" s="21">
        <f>Tв_3!B73</f>
        <v>46</v>
      </c>
      <c r="D72" s="22">
        <f t="shared" ref="D72:D77" si="14">B72/(B72+C72)</f>
        <v>0.98654970760233918</v>
      </c>
      <c r="E72" s="21">
        <f>T0_12!I73</f>
        <v>22.785355248341059</v>
      </c>
      <c r="F72" s="22">
        <f t="shared" ref="F72:F77" si="15">C72/POWER(B72+C72,2)</f>
        <v>3.9328340344037479E-6</v>
      </c>
      <c r="G72" s="21">
        <f>Tв_3!I73</f>
        <v>22.785355248341059</v>
      </c>
      <c r="H72" s="22">
        <f t="shared" ref="H72:H77" si="16">-B72/POWER(B72+C72,2)</f>
        <v>-2.8846482678430968E-4</v>
      </c>
      <c r="I72" s="22">
        <f t="shared" ref="I72:I77" si="17">POWER(POWER(F72*E72,2)+POWER(H72*G72,2),0.5)</f>
        <v>6.5733843900553394E-3</v>
      </c>
      <c r="J72" s="22">
        <f t="shared" ref="J72:J77" si="18">I72/D72*100</f>
        <v>0.66630037385860286</v>
      </c>
      <c r="K72" s="22" t="str">
        <f t="shared" ref="K72:K77" si="19" xml:space="preserve"> D72 &amp; " ± " &amp; (ROUNDUP(I72, 3))</f>
        <v>0,986549707602339 ± 0,007</v>
      </c>
    </row>
    <row r="73" spans="1:11" x14ac:dyDescent="0.25">
      <c r="A73" s="16">
        <f t="shared" si="13"/>
        <v>72</v>
      </c>
      <c r="B73" s="24">
        <f>T0_12!B74</f>
        <v>0</v>
      </c>
      <c r="C73" s="21">
        <f>Tв_3!B74</f>
        <v>0</v>
      </c>
      <c r="D73" s="22" t="e">
        <f t="shared" si="14"/>
        <v>#DIV/0!</v>
      </c>
      <c r="E73" s="21">
        <f>T0_12!I74</f>
        <v>0</v>
      </c>
      <c r="F73" s="22" t="e">
        <f t="shared" si="15"/>
        <v>#DIV/0!</v>
      </c>
      <c r="G73" s="21">
        <f>Tв_3!I74</f>
        <v>0</v>
      </c>
      <c r="H73" s="22" t="e">
        <f t="shared" si="16"/>
        <v>#DIV/0!</v>
      </c>
      <c r="I73" s="22" t="e">
        <f t="shared" si="17"/>
        <v>#DIV/0!</v>
      </c>
      <c r="J73" s="22" t="e">
        <f t="shared" si="18"/>
        <v>#DIV/0!</v>
      </c>
      <c r="K73" s="22" t="e">
        <f t="shared" si="19"/>
        <v>#DIV/0!</v>
      </c>
    </row>
    <row r="74" spans="1:11" x14ac:dyDescent="0.25">
      <c r="A74" s="16">
        <f t="shared" si="13"/>
        <v>73</v>
      </c>
      <c r="B74" s="24">
        <f>T0_12!B75</f>
        <v>0</v>
      </c>
      <c r="C74" s="21">
        <f>Tв_3!B75</f>
        <v>0</v>
      </c>
      <c r="D74" s="22" t="e">
        <f t="shared" si="14"/>
        <v>#DIV/0!</v>
      </c>
      <c r="E74" s="21">
        <f>T0_12!I75</f>
        <v>0</v>
      </c>
      <c r="F74" s="22" t="e">
        <f t="shared" si="15"/>
        <v>#DIV/0!</v>
      </c>
      <c r="G74" s="21">
        <f>Tв_3!I75</f>
        <v>0</v>
      </c>
      <c r="H74" s="22" t="e">
        <f t="shared" si="16"/>
        <v>#DIV/0!</v>
      </c>
      <c r="I74" s="22" t="e">
        <f t="shared" si="17"/>
        <v>#DIV/0!</v>
      </c>
      <c r="J74" s="22" t="e">
        <f t="shared" si="18"/>
        <v>#DIV/0!</v>
      </c>
      <c r="K74" s="22" t="e">
        <f t="shared" si="19"/>
        <v>#DIV/0!</v>
      </c>
    </row>
    <row r="75" spans="1:11" x14ac:dyDescent="0.25">
      <c r="A75" s="16">
        <f t="shared" si="13"/>
        <v>74</v>
      </c>
      <c r="B75" s="24">
        <f>T0_12!B76</f>
        <v>0</v>
      </c>
      <c r="C75" s="21">
        <f>Tв_3!B76</f>
        <v>0</v>
      </c>
      <c r="D75" s="22" t="e">
        <f t="shared" si="14"/>
        <v>#DIV/0!</v>
      </c>
      <c r="E75" s="21">
        <f>T0_12!I76</f>
        <v>0</v>
      </c>
      <c r="F75" s="22" t="e">
        <f t="shared" si="15"/>
        <v>#DIV/0!</v>
      </c>
      <c r="G75" s="21">
        <f>Tв_3!I76</f>
        <v>0</v>
      </c>
      <c r="H75" s="22" t="e">
        <f t="shared" si="16"/>
        <v>#DIV/0!</v>
      </c>
      <c r="I75" s="22" t="e">
        <f t="shared" si="17"/>
        <v>#DIV/0!</v>
      </c>
      <c r="J75" s="22" t="e">
        <f t="shared" si="18"/>
        <v>#DIV/0!</v>
      </c>
      <c r="K75" s="22" t="e">
        <f t="shared" si="19"/>
        <v>#DIV/0!</v>
      </c>
    </row>
    <row r="76" spans="1:11" x14ac:dyDescent="0.25">
      <c r="A76" s="16">
        <f t="shared" si="13"/>
        <v>75</v>
      </c>
      <c r="B76" s="24">
        <f>T0_12!B77</f>
        <v>0</v>
      </c>
      <c r="C76" s="21">
        <f>Tв_3!B77</f>
        <v>0</v>
      </c>
      <c r="D76" s="22" t="e">
        <f t="shared" si="14"/>
        <v>#DIV/0!</v>
      </c>
      <c r="E76" s="21">
        <f>T0_12!I77</f>
        <v>0</v>
      </c>
      <c r="F76" s="22" t="e">
        <f t="shared" si="15"/>
        <v>#DIV/0!</v>
      </c>
      <c r="G76" s="21">
        <f>Tв_3!I77</f>
        <v>0</v>
      </c>
      <c r="H76" s="22" t="e">
        <f t="shared" si="16"/>
        <v>#DIV/0!</v>
      </c>
      <c r="I76" s="22" t="e">
        <f t="shared" si="17"/>
        <v>#DIV/0!</v>
      </c>
      <c r="J76" s="22" t="e">
        <f t="shared" si="18"/>
        <v>#DIV/0!</v>
      </c>
      <c r="K76" s="22" t="e">
        <f t="shared" si="19"/>
        <v>#DIV/0!</v>
      </c>
    </row>
    <row r="77" spans="1:11" x14ac:dyDescent="0.25">
      <c r="A77" s="17">
        <f t="shared" si="13"/>
        <v>76</v>
      </c>
      <c r="B77" s="24">
        <f>T0_12!B78</f>
        <v>3374</v>
      </c>
      <c r="C77" s="21">
        <f>Tв_3!B78</f>
        <v>46</v>
      </c>
      <c r="D77" s="22">
        <f t="shared" si="14"/>
        <v>0.98654970760233918</v>
      </c>
      <c r="E77" s="21">
        <f>T0_12!I78</f>
        <v>22.785355248341059</v>
      </c>
      <c r="F77" s="22">
        <f t="shared" si="15"/>
        <v>3.9328340344037479E-6</v>
      </c>
      <c r="G77" s="21">
        <f>Tв_3!I78</f>
        <v>22.785355248341059</v>
      </c>
      <c r="H77" s="22">
        <f t="shared" si="16"/>
        <v>-2.8846482678430968E-4</v>
      </c>
      <c r="I77" s="22">
        <f t="shared" si="17"/>
        <v>6.5733843900553394E-3</v>
      </c>
      <c r="J77" s="22">
        <f t="shared" si="18"/>
        <v>0.66630037385860286</v>
      </c>
      <c r="K77" s="22" t="str">
        <f t="shared" si="19"/>
        <v>0,986549707602339 ± 0,007</v>
      </c>
    </row>
    <row r="78" spans="1:11" x14ac:dyDescent="0.25">
      <c r="A78" s="16"/>
      <c r="B78" s="20">
        <v>0</v>
      </c>
      <c r="C78" s="21">
        <v>0</v>
      </c>
      <c r="D78" s="22" t="e">
        <f>B79/(B79+C78)</f>
        <v>#DIV/0!</v>
      </c>
      <c r="E78" s="21">
        <f>T0_12!I79</f>
        <v>0</v>
      </c>
      <c r="F78" s="22" t="e">
        <f>C78/POWER(B79+C78,2)</f>
        <v>#DIV/0!</v>
      </c>
      <c r="G78" s="21">
        <f>Tв_3!I79</f>
        <v>0</v>
      </c>
      <c r="H78" s="22" t="e">
        <f>-B79/POWER(B79+C78,2)</f>
        <v>#DIV/0!</v>
      </c>
      <c r="I78" s="22" t="e">
        <f t="shared" ref="I78" si="20">POWER(POWER(F78*E78,2)+POWER(H78*G78,2),0.5)</f>
        <v>#DIV/0!</v>
      </c>
      <c r="J78" s="22" t="e">
        <f t="shared" ref="J78" si="21">I78/D78*100</f>
        <v>#DIV/0!</v>
      </c>
      <c r="K78" s="22" t="e">
        <f t="shared" ref="K78" si="22" xml:space="preserve"> D78 &amp; " ± " &amp; (ROUNDUP(I78, 3))</f>
        <v>#DIV/0!</v>
      </c>
    </row>
    <row r="79" spans="1:11" x14ac:dyDescent="0.25">
      <c r="A79" s="16"/>
      <c r="B79" s="24">
        <v>0</v>
      </c>
      <c r="C79" s="21">
        <v>0</v>
      </c>
      <c r="D79" s="22" t="e">
        <f>#REF!/(#REF!+C79)</f>
        <v>#REF!</v>
      </c>
      <c r="E79" s="21">
        <f>T0_12!I81</f>
        <v>4</v>
      </c>
      <c r="F79" s="22" t="e">
        <f>C79/POWER(#REF!+C79,2)</f>
        <v>#REF!</v>
      </c>
      <c r="G79" s="21">
        <f>Tв_3!I80</f>
        <v>0</v>
      </c>
      <c r="H79" s="22" t="e">
        <f>-#REF!/POWER(#REF!+C79,2)</f>
        <v>#REF!</v>
      </c>
      <c r="I79" s="22" t="e">
        <f t="shared" ref="I79:I86" si="23">POWER(POWER(F79*E79,2)+POWER(H79*G79,2),0.5)</f>
        <v>#REF!</v>
      </c>
      <c r="J79" s="22" t="e">
        <f t="shared" ref="J79:J86" si="24">I79/D79*100</f>
        <v>#REF!</v>
      </c>
      <c r="K79" s="22" t="e">
        <f t="shared" ref="K79:K86" si="25" xml:space="preserve"> D79 &amp; " ± " &amp; (ROUNDUP(I79, 3))</f>
        <v>#REF!</v>
      </c>
    </row>
    <row r="80" spans="1:11" x14ac:dyDescent="0.25">
      <c r="A80" s="17" t="s">
        <v>61</v>
      </c>
      <c r="B80" s="24">
        <f>T0_12!B81</f>
        <v>3418</v>
      </c>
      <c r="C80" s="21">
        <f>Tв_3!B81</f>
        <v>2</v>
      </c>
      <c r="D80" s="22">
        <f t="shared" ref="D79:D86" si="26">B80/(B80+C80)</f>
        <v>0.99941520467836253</v>
      </c>
      <c r="E80" s="21">
        <f>T0_12!I81</f>
        <v>4</v>
      </c>
      <c r="F80" s="22">
        <f t="shared" ref="F79:F86" si="27">C80/POWER(B80+C80,2)</f>
        <v>1.709927841045108E-7</v>
      </c>
      <c r="G80" s="21">
        <f>Tв_3!I81</f>
        <v>4</v>
      </c>
      <c r="H80" s="22">
        <f t="shared" ref="H79:H86" si="28">-B80/POWER(B80+C80,2)</f>
        <v>-2.9222666803460894E-4</v>
      </c>
      <c r="I80" s="22">
        <f t="shared" si="23"/>
        <v>1.1689068722470016E-3</v>
      </c>
      <c r="J80" s="22">
        <f t="shared" si="24"/>
        <v>0.11695908435005106</v>
      </c>
      <c r="K80" s="22" t="str">
        <f t="shared" si="25"/>
        <v>0,999415204678363 ± 0,002</v>
      </c>
    </row>
    <row r="81" spans="1:11" x14ac:dyDescent="0.25">
      <c r="A81" s="17" t="s">
        <v>62</v>
      </c>
      <c r="B81" s="24">
        <f>T0_12!B82</f>
        <v>3420</v>
      </c>
      <c r="C81" s="21">
        <f>Tв_3!B82</f>
        <v>0</v>
      </c>
      <c r="D81" s="22">
        <f t="shared" si="26"/>
        <v>1</v>
      </c>
      <c r="E81" s="21">
        <f>T0_12!I82</f>
        <v>0</v>
      </c>
      <c r="F81" s="22">
        <f t="shared" si="27"/>
        <v>0</v>
      </c>
      <c r="G81" s="21">
        <f>Tв_3!I82</f>
        <v>0</v>
      </c>
      <c r="H81" s="22">
        <f t="shared" si="28"/>
        <v>-2.9239766081871346E-4</v>
      </c>
      <c r="I81" s="22">
        <f t="shared" si="23"/>
        <v>0</v>
      </c>
      <c r="J81" s="22">
        <f t="shared" si="24"/>
        <v>0</v>
      </c>
      <c r="K81" s="22" t="str">
        <f t="shared" si="25"/>
        <v>1 ± 0</v>
      </c>
    </row>
    <row r="82" spans="1:11" x14ac:dyDescent="0.25">
      <c r="A82" s="17" t="s">
        <v>63</v>
      </c>
      <c r="B82" s="24">
        <f>T0_12!B83</f>
        <v>3036</v>
      </c>
      <c r="C82" s="21">
        <f>Tв_3!B83</f>
        <v>384</v>
      </c>
      <c r="D82" s="22">
        <f t="shared" si="26"/>
        <v>0.88771929824561402</v>
      </c>
      <c r="E82" s="21">
        <f>T0_12!I83</f>
        <v>138.99342579342775</v>
      </c>
      <c r="F82" s="22">
        <f t="shared" si="27"/>
        <v>3.283061454806607E-5</v>
      </c>
      <c r="G82" s="21">
        <f>Tв_3!I83</f>
        <v>138.99342579342775</v>
      </c>
      <c r="H82" s="22">
        <f t="shared" si="28"/>
        <v>-2.5956704627064741E-4</v>
      </c>
      <c r="I82" s="22">
        <f t="shared" si="23"/>
        <v>3.6365552271776166E-2</v>
      </c>
      <c r="J82" s="22">
        <f t="shared" si="24"/>
        <v>4.0965147816032443</v>
      </c>
      <c r="K82" s="22" t="str">
        <f t="shared" si="25"/>
        <v>0,887719298245614 ± 0,037</v>
      </c>
    </row>
    <row r="83" spans="1:11" x14ac:dyDescent="0.25">
      <c r="A83" s="17" t="s">
        <v>64</v>
      </c>
      <c r="B83" s="24">
        <f>T0_12!B84</f>
        <v>3036</v>
      </c>
      <c r="C83" s="21">
        <f>Tв_3!B84</f>
        <v>384</v>
      </c>
      <c r="D83" s="22">
        <f t="shared" si="26"/>
        <v>0.88771929824561402</v>
      </c>
      <c r="E83" s="21">
        <f>T0_12!I84</f>
        <v>138.87429195325262</v>
      </c>
      <c r="F83" s="22">
        <f t="shared" si="27"/>
        <v>3.283061454806607E-5</v>
      </c>
      <c r="G83" s="21">
        <f>Tв_3!I84</f>
        <v>138.87429195325262</v>
      </c>
      <c r="H83" s="22">
        <f t="shared" si="28"/>
        <v>-2.5956704627064741E-4</v>
      </c>
      <c r="I83" s="22">
        <f t="shared" si="23"/>
        <v>3.6334382683232719E-2</v>
      </c>
      <c r="J83" s="22">
        <f t="shared" si="24"/>
        <v>4.0930035828938047</v>
      </c>
      <c r="K83" s="22" t="str">
        <f t="shared" si="25"/>
        <v>0,887719298245614 ± 0,037</v>
      </c>
    </row>
    <row r="84" spans="1:11" x14ac:dyDescent="0.25">
      <c r="A84" s="17" t="s">
        <v>65</v>
      </c>
      <c r="B84" s="24">
        <f>T0_12!B85</f>
        <v>3316</v>
      </c>
      <c r="C84" s="21">
        <f>Tв_3!B85</f>
        <v>104</v>
      </c>
      <c r="D84" s="22">
        <f t="shared" si="26"/>
        <v>0.96959064327485378</v>
      </c>
      <c r="E84" s="21">
        <f>T0_12!I85</f>
        <v>45.279210423236449</v>
      </c>
      <c r="F84" s="22">
        <f t="shared" si="27"/>
        <v>8.8916247734345615E-6</v>
      </c>
      <c r="G84" s="21">
        <f>Tв_3!I85</f>
        <v>45.279210423236449</v>
      </c>
      <c r="H84" s="22">
        <f t="shared" si="28"/>
        <v>-2.835060360452789E-4</v>
      </c>
      <c r="I84" s="22">
        <f t="shared" si="23"/>
        <v>1.2843241390343088E-2</v>
      </c>
      <c r="J84" s="22">
        <f t="shared" si="24"/>
        <v>1.3246045101017299</v>
      </c>
      <c r="K84" s="22" t="str">
        <f t="shared" si="25"/>
        <v>0,969590643274854 ± 0,013</v>
      </c>
    </row>
    <row r="85" spans="1:11" x14ac:dyDescent="0.25">
      <c r="A85" s="17" t="s">
        <v>66</v>
      </c>
      <c r="B85" s="24">
        <f>T0_12!B86</f>
        <v>3326</v>
      </c>
      <c r="C85" s="21">
        <f>Tв_3!B86</f>
        <v>94</v>
      </c>
      <c r="D85" s="22">
        <f t="shared" si="26"/>
        <v>0.97251461988304089</v>
      </c>
      <c r="E85" s="21">
        <f>T0_12!I86</f>
        <v>37.58943358500337</v>
      </c>
      <c r="F85" s="22">
        <f t="shared" si="27"/>
        <v>8.0366608529120075E-6</v>
      </c>
      <c r="G85" s="21">
        <f>Tв_3!I86</f>
        <v>37.58943358500337</v>
      </c>
      <c r="H85" s="22">
        <f t="shared" si="28"/>
        <v>-2.8436099996580146E-4</v>
      </c>
      <c r="I85" s="22">
        <f t="shared" si="23"/>
        <v>1.0693236980638203E-2</v>
      </c>
      <c r="J85" s="22">
        <f t="shared" si="24"/>
        <v>1.0995451134630985</v>
      </c>
      <c r="K85" s="22" t="str">
        <f t="shared" si="25"/>
        <v>0,972514619883041 ± 0,011</v>
      </c>
    </row>
    <row r="86" spans="1:11" x14ac:dyDescent="0.25">
      <c r="A86" s="17" t="s">
        <v>67</v>
      </c>
      <c r="B86" s="24">
        <f>T0_12!B87</f>
        <v>2960</v>
      </c>
      <c r="C86" s="21">
        <f>Tв_3!B87</f>
        <v>460</v>
      </c>
      <c r="D86" s="22">
        <f t="shared" si="26"/>
        <v>0.86549707602339176</v>
      </c>
      <c r="E86" s="21">
        <f>T0_12!I87</f>
        <v>136.31606275680517</v>
      </c>
      <c r="F86" s="22">
        <f t="shared" si="27"/>
        <v>3.9328340344037479E-5</v>
      </c>
      <c r="G86" s="21">
        <f>Tв_3!I87</f>
        <v>136.31606275680517</v>
      </c>
      <c r="H86" s="22">
        <f t="shared" si="28"/>
        <v>-2.5306932047467596E-4</v>
      </c>
      <c r="I86" s="22">
        <f t="shared" si="23"/>
        <v>3.4911498914578808E-2</v>
      </c>
      <c r="J86" s="22">
        <f t="shared" si="24"/>
        <v>4.0336934556709299</v>
      </c>
      <c r="K86" s="22" t="str">
        <f t="shared" si="25"/>
        <v>0,865497076023392 ± 0,035</v>
      </c>
    </row>
    <row r="87" spans="1:11" x14ac:dyDescent="0.25">
      <c r="A87" s="17" t="s">
        <v>68</v>
      </c>
      <c r="B87" s="24">
        <f>T0_12!B88</f>
        <v>2504</v>
      </c>
      <c r="C87" s="21">
        <f>Tв_3!B88</f>
        <v>916</v>
      </c>
      <c r="D87" s="22">
        <f t="shared" ref="D87" si="29">B87/(B87+C87)</f>
        <v>0.73216374269005846</v>
      </c>
      <c r="E87" s="21">
        <f>T0_12!I88</f>
        <v>253.87045298055409</v>
      </c>
      <c r="F87" s="22">
        <f t="shared" ref="F87" si="30">C87/POWER(B87+C87,2)</f>
        <v>7.8314695119865947E-5</v>
      </c>
      <c r="G87" s="21">
        <f>Tв_3!I88</f>
        <v>253.87045298055409</v>
      </c>
      <c r="H87" s="22">
        <f t="shared" ref="H87" si="31">-B87/POWER(B87+C87,2)</f>
        <v>-2.1408296569884751E-4</v>
      </c>
      <c r="I87" s="22">
        <f t="shared" ref="I87" si="32">POWER(POWER(F87*E87,2)+POWER(H87*G87,2),0.5)</f>
        <v>5.7871721599729545E-2</v>
      </c>
      <c r="J87" s="22">
        <f t="shared" ref="J87" si="33">I87/D87*100</f>
        <v>7.9042047871835077</v>
      </c>
      <c r="K87" s="22" t="str">
        <f t="shared" ref="K87" si="34" xml:space="preserve"> D87 &amp; " ± " &amp; (ROUNDUP(I87, 3))</f>
        <v>0,732163742690058 ± 0,058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T0_1</vt:lpstr>
      <vt:lpstr>T0_12</vt:lpstr>
      <vt:lpstr>Tв_23</vt:lpstr>
      <vt:lpstr>Tв_3</vt:lpstr>
      <vt:lpstr>l_12</vt:lpstr>
      <vt:lpstr>l_13</vt:lpstr>
      <vt:lpstr>l_23</vt:lpstr>
      <vt:lpstr>m_21</vt:lpstr>
      <vt:lpstr>m_31</vt:lpstr>
      <vt:lpstr>m_32</vt:lpstr>
      <vt:lpstr>Время</vt:lpstr>
      <vt:lpstr>Память</vt:lpstr>
      <vt:lpstr>Кг_s1</vt:lpstr>
      <vt:lpstr>Кг_s12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Шайкин Кирилл Александрович</cp:lastModifiedBy>
  <dcterms:created xsi:type="dcterms:W3CDTF">2015-06-05T18:19:34Z</dcterms:created>
  <dcterms:modified xsi:type="dcterms:W3CDTF">2025-05-27T19:27:45Z</dcterms:modified>
</cp:coreProperties>
</file>